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71F0177B-6CBA-432E-B7E3-322DEA4DFF33}" xr6:coauthVersionLast="47" xr6:coauthVersionMax="47" xr10:uidLastSave="{00000000-0000-0000-0000-000000000000}"/>
  <bookViews>
    <workbookView xWindow="-108" yWindow="-108" windowWidth="23256" windowHeight="12576" xr2:uid="{00000000-000D-0000-FFFF-FFFF00000000}"/>
  </bookViews>
  <sheets>
    <sheet name="Client Summary" sheetId="9" r:id="rId1"/>
    <sheet name="Staff Summary" sheetId="8" r:id="rId2"/>
    <sheet name="PivotTS" sheetId="15" state="hidden" r:id="rId3"/>
    <sheet name="TS" sheetId="14" r:id="rId4"/>
    <sheet name="TEMP" sheetId="18" state="hidden" r:id="rId5"/>
    <sheet name="Master" sheetId="13" state="hidden" r:id="rId6"/>
    <sheet name="Jeric Rivera" sheetId="20" r:id="rId7"/>
    <sheet name="Ann Morei Narag" sheetId="5" r:id="rId8"/>
    <sheet name="Jennica Felipe" sheetId="4" r:id="rId9"/>
    <sheet name="Jordan Martinez" sheetId="12" r:id="rId10"/>
    <sheet name="Client Name" sheetId="2" state="hidden" r:id="rId11"/>
  </sheets>
  <definedNames>
    <definedName name="_xlnm._FilterDatabase" localSheetId="3" hidden="1">TS!$A$1:$I$5503</definedName>
  </definedNames>
  <calcPr calcId="191028"/>
  <pivotCaches>
    <pivotCache cacheId="239"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8" l="1"/>
  <c r="M1" i="20" l="1" a="1"/>
  <c r="M1" i="20" s="1"/>
  <c r="G5501" i="14" l="1"/>
  <c r="G5500" i="14"/>
  <c r="G5313" i="14"/>
  <c r="G5312" i="14"/>
  <c r="G5259" i="14"/>
  <c r="G5063" i="14"/>
  <c r="G5062" i="14"/>
  <c r="G4828" i="14"/>
  <c r="G4569" i="14"/>
  <c r="G4517" i="14"/>
  <c r="G4516" i="14"/>
  <c r="G4353" i="14"/>
  <c r="G4352" i="14"/>
  <c r="G4291" i="14"/>
  <c r="G4289" i="14"/>
  <c r="G4114" i="14"/>
  <c r="G4047" i="14"/>
  <c r="G4046" i="14"/>
  <c r="G4045" i="14"/>
  <c r="G4044" i="14"/>
  <c r="G4043" i="14"/>
  <c r="G3822" i="14"/>
  <c r="G3758" i="14"/>
  <c r="G3757" i="14"/>
  <c r="G3485" i="14"/>
  <c r="G3484" i="14"/>
  <c r="G3291" i="14"/>
  <c r="G3290" i="14"/>
  <c r="G3214" i="14"/>
  <c r="G3023" i="14"/>
  <c r="G2952" i="14"/>
  <c r="G2950" i="14"/>
  <c r="G2751" i="14"/>
  <c r="G2749" i="14"/>
  <c r="G2474" i="14"/>
  <c r="G2396" i="14"/>
  <c r="G2203" i="14"/>
  <c r="G1758" i="14"/>
  <c r="G1505" i="14"/>
  <c r="G1189" i="14"/>
  <c r="G889" i="14"/>
  <c r="G888" i="14"/>
  <c r="G798" i="14"/>
  <c r="G534" i="14"/>
  <c r="G274" i="14"/>
  <c r="G272" i="14"/>
  <c r="M1" i="12" a="1"/>
  <c r="M1" i="12" s="1"/>
  <c r="M1" i="5" a="1"/>
  <c r="M1" i="5" s="1"/>
  <c r="M1" i="4" a="1"/>
  <c r="M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<sst xmlns="http://schemas.openxmlformats.org/spreadsheetml/2006/main" count="40747" uniqueCount="4844">
  <si>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</si>
  <si>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</si>
  <si>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</si>
  <si>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</si>
  <si>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</si>
  <si>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</si>
  <si>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</si>
  <si>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</si>
  <si>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</si>
  <si>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</si>
  <si>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</si>
  <si>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</si>
  <si>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</si>
  <si>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</si>
  <si>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</si>
  <si>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</si>
  <si>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</si>
  <si>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</si>
  <si>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</si>
  <si>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</si>
  <si>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</si>
  <si>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</si>
  <si>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</si>
  <si>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</si>
  <si>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</si>
  <si>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</si>
  <si>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</si>
  <si>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</si>
  <si>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</si>
  <si>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</si>
  <si>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</si>
  <si>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</si>
  <si>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</si>
  <si>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</si>
  <si>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</si>
  <si>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</si>
  <si>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</si>
  <si>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</si>
  <si>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</si>
  <si>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</si>
  <si>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</si>
  <si>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</si>
  <si>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</si>
  <si>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</si>
  <si>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</si>
  <si>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</si>
  <si>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</si>
  <si>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</si>
  <si>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</si>
  <si>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</si>
  <si>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</si>
  <si>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</si>
  <si>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</si>
  <si>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</si>
  <si>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</si>
  <si>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</si>
  <si>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</si>
  <si>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</si>
  <si>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</si>
  <si>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</si>
  <si>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</si>
  <si>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</si>
  <si>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</si>
  <si>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</si>
  <si>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</si>
  <si>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</si>
  <si>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</si>
  <si>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</si>
  <si>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</si>
  <si>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</si>
  <si>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</si>
  <si>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</si>
  <si>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</si>
  <si>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</si>
  <si>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</si>
  <si>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</si>
  <si>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</si>
  <si>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</si>
  <si>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</si>
  <si>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</si>
  <si>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</si>
  <si>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</si>
  <si>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</si>
  <si>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</si>
  <si>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</si>
  <si>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</si>
  <si>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</si>
  <si>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</si>
  <si>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</si>
  <si>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</si>
  <si>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</si>
  <si>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</si>
  <si>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</si>
  <si>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</si>
  <si>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</si>
  <si>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</si>
  <si>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</si>
  <si>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</si>
  <si>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</si>
  <si>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</si>
  <si>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</si>
  <si>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</si>
  <si>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</si>
  <si>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</si>
  <si>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</si>
  <si>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</si>
  <si>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</si>
  <si>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</si>
  <si>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</si>
  <si>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</si>
  <si>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</si>
  <si>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</si>
  <si>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</si>
  <si>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</si>
  <si>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</si>
  <si>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</si>
  <si>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</si>
  <si>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</si>
  <si>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</si>
  <si>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</si>
  <si>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</si>
  <si>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</si>
  <si>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</si>
  <si>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</si>
  <si>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</si>
  <si>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</si>
  <si>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</si>
  <si>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</si>
  <si>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</si>
  <si>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</si>
  <si>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</si>
  <si>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</si>
  <si>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</si>
  <si>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</si>
  <si>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</si>
  <si>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</si>
  <si>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</si>
  <si>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</si>
  <si>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</si>
  <si>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</si>
  <si>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</si>
  <si>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</si>
  <si>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</si>
  <si>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</si>
  <si>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</si>
  <si>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</si>
  <si>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</si>
  <si>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</si>
  <si>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</si>
  <si>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</si>
  <si>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</si>
  <si>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</si>
  <si>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</si>
  <si>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</si>
  <si>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</si>
  <si>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</si>
  <si>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</si>
  <si>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</si>
  <si>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</si>
  <si>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</si>
  <si>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</si>
  <si>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</si>
  <si>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</si>
  <si>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</si>
  <si>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</si>
  <si>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</si>
  <si>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</si>
  <si>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</si>
  <si>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</si>
  <si>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</si>
  <si>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</si>
  <si>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</si>
  <si>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</si>
  <si>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</si>
  <si>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</si>
  <si>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</si>
  <si>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</si>
  <si>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</si>
  <si>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</si>
  <si>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</si>
  <si>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</si>
  <si>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</si>
  <si>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</si>
  <si>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</si>
  <si>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</si>
  <si>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</si>
  <si>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</si>
  <si>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</si>
  <si>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</si>
  <si>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</si>
  <si>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</si>
  <si>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</si>
  <si>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</si>
  <si>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</si>
  <si>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</si>
  <si>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</si>
  <si>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</si>
  <si>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</si>
  <si>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</si>
  <si>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</si>
  <si>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</si>
  <si>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</si>
  <si>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</si>
  <si>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</si>
  <si>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</si>
  <si>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</si>
  <si>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</si>
  <si>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</si>
  <si>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</si>
  <si>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</si>
  <si>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</si>
  <si>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</si>
  <si>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</si>
  <si>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</si>
  <si>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</si>
  <si>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</si>
  <si>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</si>
  <si>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</si>
  <si>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</si>
  <si>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</si>
  <si>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</si>
  <si>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</si>
  <si>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</si>
  <si>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</si>
  <si>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</si>
  <si>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</si>
  <si>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</si>
  <si>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</si>
  <si>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</si>
  <si>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</si>
  <si>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</si>
  <si>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</si>
  <si>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</si>
  <si>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</si>
  <si>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</si>
  <si>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</si>
  <si>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</si>
  <si>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</si>
  <si>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</si>
  <si>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</si>
  <si>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</si>
  <si>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</si>
  <si>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</si>
  <si>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</si>
  <si>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</si>
  <si>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</si>
  <si>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</si>
  <si>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</si>
  <si>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</si>
  <si>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</si>
  <si>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</si>
  <si>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</si>
  <si>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</si>
  <si>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</si>
  <si>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</si>
  <si>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</si>
  <si>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</si>
  <si>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</si>
  <si>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</si>
  <si>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</si>
  <si>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</si>
  <si>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</si>
  <si>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</si>
  <si>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</si>
  <si>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</si>
  <si>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</si>
  <si>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</si>
  <si>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</si>
  <si>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</si>
  <si>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</si>
  <si>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</si>
  <si>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</si>
  <si>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</si>
  <si>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</si>
  <si>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</si>
  <si>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</si>
  <si>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</si>
  <si>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</si>
  <si>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</si>
  <si>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</si>
  <si>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</si>
  <si>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</si>
  <si>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</si>
  <si>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</si>
  <si>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</si>
  <si>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</si>
  <si>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</si>
  <si>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</si>
  <si>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</si>
  <si>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</si>
  <si>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</si>
  <si>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</si>
  <si>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</si>
  <si>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</si>
  <si>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</si>
  <si>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</si>
  <si>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</si>
  <si>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</si>
  <si>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</si>
  <si>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</si>
  <si>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</si>
  <si>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</si>
  <si>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</si>
  <si>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</si>
  <si>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</si>
  <si>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</si>
  <si>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</si>
  <si>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</si>
  <si>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</si>
  <si>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</si>
  <si>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</si>
  <si>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</si>
  <si>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</si>
  <si>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</si>
  <si>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</si>
  <si>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</si>
  <si>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</si>
  <si>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</si>
  <si>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</si>
  <si>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</si>
  <si>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</si>
  <si>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</si>
  <si>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</si>
  <si>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</si>
  <si>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</si>
  <si>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</si>
  <si>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</si>
  <si>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</si>
  <si>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</si>
  <si>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</si>
  <si>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</si>
  <si>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</si>
  <si>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</si>
  <si>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</si>
  <si>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</si>
  <si>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</si>
  <si>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</si>
  <si>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</si>
  <si>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</si>
  <si>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</si>
  <si>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</si>
  <si>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</si>
  <si>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</si>
  <si>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</si>
  <si>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</si>
  <si>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</si>
  <si>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</si>
  <si>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</si>
  <si>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</si>
  <si>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</si>
  <si>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</si>
  <si>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</si>
  <si>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</si>
  <si>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</si>
  <si>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</si>
  <si>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</si>
  <si>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</si>
  <si>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</si>
  <si>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</si>
  <si>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</si>
  <si>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</si>
  <si>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</si>
  <si>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</si>
  <si>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</si>
  <si>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</si>
  <si>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</si>
  <si>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</si>
  <si>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</si>
  <si>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</si>
  <si>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</si>
  <si>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</si>
  <si>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</si>
  <si>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</si>
  <si>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</si>
  <si>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</si>
  <si>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</si>
  <si>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</si>
  <si>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</si>
  <si>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</si>
  <si>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</si>
  <si>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</si>
  <si>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</si>
  <si>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</si>
  <si>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</si>
  <si>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</si>
  <si>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</si>
  <si>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</si>
  <si>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</si>
  <si>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</si>
  <si>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</si>
  <si>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</si>
  <si>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</si>
  <si>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</si>
  <si>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</si>
  <si>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</si>
  <si>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</si>
  <si>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</si>
  <si>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</si>
  <si>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</si>
  <si>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</si>
  <si>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</si>
  <si>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</si>
  <si>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</si>
  <si>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</si>
  <si>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</si>
  <si>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</si>
  <si>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</si>
  <si>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</si>
  <si>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</si>
  <si>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</si>
  <si>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</si>
  <si>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</si>
  <si>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</si>
  <si>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</si>
  <si>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</si>
  <si>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</si>
  <si>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</si>
  <si>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</si>
  <si>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</si>
  <si>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</si>
  <si>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</si>
  <si>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</si>
  <si>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</si>
  <si>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</si>
  <si>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</si>
  <si>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</si>
  <si>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</si>
  <si>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</si>
  <si>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</si>
  <si>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</si>
  <si>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</si>
  <si>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</si>
  <si>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</si>
  <si>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</si>
  <si>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</si>
  <si>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</si>
  <si>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</si>
  <si>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</si>
  <si>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</si>
  <si>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</si>
  <si>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</si>
  <si>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</si>
  <si>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</si>
  <si>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</si>
  <si>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</si>
  <si>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</si>
  <si>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</si>
  <si>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</si>
  <si>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</si>
  <si>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</si>
  <si>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</si>
  <si>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</si>
  <si>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</si>
  <si>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</si>
  <si>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</si>
  <si>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</si>
  <si>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</si>
  <si>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</si>
  <si>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</si>
  <si>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</si>
  <si>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</si>
  <si>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</si>
  <si>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</si>
  <si>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</si>
  <si>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</si>
  <si>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</si>
  <si>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</si>
  <si>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</si>
  <si>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</si>
  <si>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</si>
  <si>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</si>
  <si>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</si>
  <si>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</si>
  <si>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</si>
  <si>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</si>
  <si>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</si>
  <si>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</si>
  <si>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</si>
  <si>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</si>
  <si>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</si>
  <si>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</si>
  <si>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</si>
  <si>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</si>
  <si>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</si>
  <si>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</si>
  <si>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</si>
  <si>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</si>
  <si>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</si>
  <si>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</si>
  <si>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</si>
  <si>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</si>
  <si>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</si>
  <si>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</si>
  <si>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</si>
  <si>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</si>
  <si>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</si>
  <si>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</si>
  <si>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</si>
  <si>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</si>
  <si>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</si>
  <si>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</si>
  <si>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</si>
  <si>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</si>
  <si>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</si>
  <si>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</si>
  <si>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</si>
  <si>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</si>
  <si>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</si>
  <si>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</si>
  <si>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</si>
  <si>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</si>
  <si>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</si>
  <si>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</si>
  <si>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</si>
  <si>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</si>
  <si>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</si>
  <si>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</si>
  <si>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</si>
  <si>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</si>
  <si>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</si>
  <si>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</si>
  <si>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</si>
  <si>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</si>
  <si>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</si>
  <si>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</si>
  <si>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</si>
  <si>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</si>
  <si>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</si>
  <si>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</si>
  <si>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</si>
  <si>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</si>
  <si>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</si>
  <si>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</si>
  <si>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</si>
  <si>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</si>
  <si>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</si>
  <si>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</si>
  <si>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</si>
  <si>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</si>
  <si>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</si>
  <si>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</si>
  <si>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</si>
  <si>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</si>
  <si>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</si>
  <si>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</si>
  <si>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</si>
  <si>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</si>
  <si>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</si>
  <si>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</si>
  <si>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</si>
  <si>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</si>
  <si>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</si>
  <si>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</si>
  <si>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</si>
  <si>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</si>
  <si>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</si>
  <si>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</si>
  <si>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</si>
  <si>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</si>
  <si>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</si>
  <si>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</si>
  <si>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</si>
  <si>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</si>
  <si>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</si>
  <si>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</si>
  <si>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</si>
  <si>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</si>
  <si>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</si>
  <si>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</si>
  <si>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</si>
  <si>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</si>
  <si>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</si>
  <si>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</si>
  <si>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</si>
  <si>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</si>
  <si>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</si>
  <si>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</si>
  <si>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</si>
  <si>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</si>
  <si>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</si>
  <si>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</si>
  <si>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</si>
  <si>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</si>
  <si>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</si>
  <si>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</si>
  <si>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</si>
  <si>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</si>
  <si>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</si>
  <si>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</si>
  <si>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</si>
  <si>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</si>
  <si>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</si>
  <si>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</si>
  <si>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</si>
  <si>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</si>
  <si>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</si>
  <si>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</si>
  <si>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</si>
  <si>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</si>
  <si>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</si>
  <si>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</si>
  <si>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</si>
  <si>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</si>
  <si>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</si>
  <si>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</si>
  <si>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</si>
  <si>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</si>
  <si>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</si>
  <si>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</si>
  <si>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</si>
  <si>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</si>
  <si>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</si>
  <si>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</si>
  <si>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</si>
  <si>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</si>
  <si>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</si>
  <si>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</si>
  <si>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</si>
  <si>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</si>
  <si>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</si>
  <si>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</si>
  <si>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</si>
  <si>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</si>
  <si>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</si>
  <si>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</si>
  <si>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</si>
  <si>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</si>
  <si>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</si>
  <si>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</si>
  <si>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</si>
  <si>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</si>
  <si>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</si>
  <si>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</si>
  <si>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</si>
  <si>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</si>
  <si>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</si>
  <si>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</si>
  <si>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</si>
  <si>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</si>
  <si>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</si>
  <si>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</si>
  <si>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</si>
  <si>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</si>
  <si>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</si>
  <si>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</si>
  <si>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</si>
  <si>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</si>
  <si>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</si>
  <si>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</si>
  <si>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</si>
  <si>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</si>
  <si>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</si>
  <si>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</si>
  <si>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</si>
  <si>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</si>
  <si>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</si>
  <si>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</si>
  <si>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</si>
  <si>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</si>
  <si>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</si>
  <si>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</si>
  <si>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</si>
  <si>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</si>
  <si>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</si>
  <si>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</si>
  <si>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</si>
  <si>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</si>
  <si>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</si>
  <si>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</si>
  <si>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</si>
  <si>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</si>
  <si>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</si>
  <si>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</si>
  <si>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</si>
  <si>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</si>
  <si>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</si>
  <si>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</si>
  <si>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</si>
  <si>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</si>
  <si>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</si>
  <si>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</si>
  <si>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</si>
  <si>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</si>
  <si>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</si>
  <si>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</si>
  <si>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</si>
  <si>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</si>
  <si>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</si>
  <si>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</si>
  <si>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</si>
  <si>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</si>
  <si>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</si>
  <si>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</si>
  <si>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</si>
  <si>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</si>
  <si>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</si>
  <si>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</si>
  <si>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</si>
  <si>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</si>
  <si>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</si>
  <si>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</si>
  <si>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</si>
  <si>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</si>
  <si>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</si>
  <si>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</si>
  <si>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</si>
  <si>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</si>
  <si>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</si>
  <si>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</si>
  <si>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</si>
  <si>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</si>
  <si>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</si>
  <si>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</si>
  <si>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</si>
  <si>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</si>
  <si>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</si>
  <si>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</si>
  <si>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</si>
  <si>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</si>
  <si>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</si>
  <si>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</si>
  <si>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</si>
  <si>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</si>
  <si>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</si>
  <si>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</si>
  <si>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</si>
  <si>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</si>
  <si>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</si>
  <si>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</si>
  <si>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</si>
  <si>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</si>
  <si>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</si>
  <si>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</si>
  <si>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</si>
  <si>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</si>
  <si>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</si>
  <si>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</si>
  <si>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</si>
  <si>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</si>
  <si>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</si>
  <si>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</si>
  <si>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</si>
  <si>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</si>
  <si>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</si>
  <si>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</si>
  <si>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[Time] Date</t>
  </si>
  <si>
    <t>[Staff] Name</t>
  </si>
  <si>
    <t>[Task] Name + Label</t>
  </si>
  <si>
    <t>[Time] Time (Totalled)</t>
  </si>
  <si>
    <t>[Job] Billing Details</t>
  </si>
  <si>
    <t>[Time] Billable</t>
  </si>
  <si>
    <t>[Time] Note</t>
  </si>
  <si>
    <t>Aileen Fajardo</t>
  </si>
  <si>
    <t>Bookkeeping</t>
  </si>
  <si>
    <t>Yes</t>
  </si>
  <si>
    <t>Email</t>
  </si>
  <si>
    <t>Download Bank Statement</t>
  </si>
  <si>
    <t>Tasman Agri Pty Ltd</t>
  </si>
  <si>
    <t>Email/Inbox Management</t>
  </si>
  <si>
    <t>Send RA to suppliers</t>
  </si>
  <si>
    <t>Emails</t>
  </si>
  <si>
    <t>Send Statement Requests to Suppliers</t>
  </si>
  <si>
    <t xml:space="preserve">Download Bank Statements </t>
  </si>
  <si>
    <t>Download Bank Statements</t>
  </si>
  <si>
    <t>Accounts Receivable</t>
  </si>
  <si>
    <t>Bank Reconciliation</t>
  </si>
  <si>
    <t>AP and Email/Inbox Management</t>
  </si>
  <si>
    <t>Nephew Brand Pty Ltd</t>
  </si>
  <si>
    <t>Review</t>
  </si>
  <si>
    <t>Accounts Payable</t>
  </si>
  <si>
    <t>Queste Pty Ltd</t>
  </si>
  <si>
    <t>General</t>
  </si>
  <si>
    <t>No</t>
  </si>
  <si>
    <t>Sign Performance Evaluation</t>
  </si>
  <si>
    <t>Afternoon Break</t>
  </si>
  <si>
    <t>Morning Break</t>
  </si>
  <si>
    <t>Payroll Processing</t>
  </si>
  <si>
    <t>Update employee's details</t>
  </si>
  <si>
    <t>chats, emails, Sprout</t>
  </si>
  <si>
    <t>check Sprout logs of the team and chase</t>
  </si>
  <si>
    <t>emails, chats, sort attendance issues, check handover sched</t>
  </si>
  <si>
    <t>break</t>
  </si>
  <si>
    <t>chats, emails, Sprout, Asana, capacity, etc</t>
  </si>
  <si>
    <t>April Rose Tortal</t>
  </si>
  <si>
    <t>Sick Leave</t>
  </si>
  <si>
    <t>Bernadette Feliciano</t>
  </si>
  <si>
    <t>Business Development</t>
  </si>
  <si>
    <t>continuation of all flows  multiple meetings for finalization of flows</t>
  </si>
  <si>
    <t>Carly Chant</t>
  </si>
  <si>
    <t>Client Meeting</t>
  </si>
  <si>
    <t>Alliance Electric Pty Ltd</t>
  </si>
  <si>
    <t>Non-billable. Discussion about scope and options.</t>
  </si>
  <si>
    <t>Charm Dequito</t>
  </si>
  <si>
    <t xml:space="preserve">Email Management </t>
  </si>
  <si>
    <t xml:space="preserve">Statement Checking </t>
  </si>
  <si>
    <t xml:space="preserve">Posting of invoices </t>
  </si>
  <si>
    <t>Charmie Patos</t>
  </si>
  <si>
    <t>Booked Invoices</t>
  </si>
  <si>
    <t>Payroll Processing A/P Processing Bank Recon</t>
  </si>
  <si>
    <t xml:space="preserve">Booked Invoices Continue to recon VBI &amp; RCTI Booked VBI </t>
  </si>
  <si>
    <t>Asana checking Sprout Checking XPM</t>
  </si>
  <si>
    <t>Daniel Estoesta</t>
  </si>
  <si>
    <t>Automations</t>
  </si>
  <si>
    <t>Dexterous Group</t>
  </si>
  <si>
    <t>Budget - Monthly</t>
  </si>
  <si>
    <t>Philip Lomax</t>
  </si>
  <si>
    <t>Dherick Jay Paalam</t>
  </si>
  <si>
    <t>Run four Alliance automations + AP automation; Added 2 supplier to Alliance Automation Tax Invoice</t>
  </si>
  <si>
    <t>Edward Jon Arquiza</t>
  </si>
  <si>
    <t>Connected Culture Automation Development and Testing. Alliance Debtors Report Generation. Payroll Journal Reports Generation.</t>
  </si>
  <si>
    <t>Efleda Reyes</t>
  </si>
  <si>
    <t>Pinnacle Oporto Ulladulla Pty Ltd</t>
  </si>
  <si>
    <t>Bank recon, adding bills</t>
  </si>
  <si>
    <t>Pinnacle Oporto Warrawong Pty Ltd</t>
  </si>
  <si>
    <t xml:space="preserve">Pinnacle Cj's Warrawong Pty Ltd </t>
  </si>
  <si>
    <t>Pinnacle Hospitality Group Pty Ltd</t>
  </si>
  <si>
    <t>Reading previous email re supplier bill dated months ago, checking the account</t>
  </si>
  <si>
    <t>Pinnacle CJ's Nowra Pty Ltd</t>
  </si>
  <si>
    <t>Bank recon</t>
  </si>
  <si>
    <t>Emails, loading bills, bank recon, weekly report</t>
  </si>
  <si>
    <t>Break</t>
  </si>
  <si>
    <t>CFO Advisory</t>
  </si>
  <si>
    <t>Review Jan'24 results to date + month-end instructions to the team</t>
  </si>
  <si>
    <t>CFO001 - CFO Services</t>
  </si>
  <si>
    <t>Respond to queries from Lynn + request from Eli Add instructions to the revenue recognition schedule Month-end instructions to the team</t>
  </si>
  <si>
    <t>Emily Ear</t>
  </si>
  <si>
    <t>Company Tax Returns</t>
  </si>
  <si>
    <t>A. S. White Global Pty Ltd</t>
  </si>
  <si>
    <t xml:space="preserve">lodgement of 2023 CTR, payment slip to James Livingston, other questions from James re lodgment abd payment  due date </t>
  </si>
  <si>
    <t>Franz Xavier Cruz</t>
  </si>
  <si>
    <t>inbox</t>
  </si>
  <si>
    <t>review management reporting flowchart</t>
  </si>
  <si>
    <t>check attendance and fare allow adjustment</t>
  </si>
  <si>
    <t>check emails/teams</t>
  </si>
  <si>
    <t>Learning &amp; Development</t>
  </si>
  <si>
    <t>Management Reporting</t>
  </si>
  <si>
    <t>People Management - Introductory Course</t>
  </si>
  <si>
    <t>new EA allow</t>
  </si>
  <si>
    <t>review</t>
  </si>
  <si>
    <t>new EA</t>
  </si>
  <si>
    <t>Geneline Barongan</t>
  </si>
  <si>
    <t>Received raw invoices.</t>
  </si>
  <si>
    <t xml:space="preserve">- Inventory of Equipment - ASIC - Annual company reviews  - ATO call - Pinnacle Oporto Ulladulla - GST Registration - Update Carly's LinkedIn - PCF Replenishment </t>
  </si>
  <si>
    <t>Gerardo Macawile</t>
  </si>
  <si>
    <t>emails. checking of bank recon and invoices for month end</t>
  </si>
  <si>
    <t>Alder Road Food Group Pty Ltd</t>
  </si>
  <si>
    <t>approve ap invoices</t>
  </si>
  <si>
    <t>checking of invoices for the month of january.</t>
  </si>
  <si>
    <t>bank recon process invoices from inbox</t>
  </si>
  <si>
    <t>bank recon</t>
  </si>
  <si>
    <t>checking bs recons. review for December quarter</t>
  </si>
  <si>
    <t>bank recon email.  process ap invoice from inbox</t>
  </si>
  <si>
    <t>leave liability report</t>
  </si>
  <si>
    <t>Bookkeeping - AP</t>
  </si>
  <si>
    <t>approve pa invoices</t>
  </si>
  <si>
    <t>approve ap invoices  preparing for Batch payment</t>
  </si>
  <si>
    <t>Irish Guia Medel</t>
  </si>
  <si>
    <t>Fusion Holdings (AAA) Pty Ltd</t>
  </si>
  <si>
    <t>Recording of invoices, bank recs</t>
  </si>
  <si>
    <t>Billing invoices</t>
  </si>
  <si>
    <t>Checking accounts, email follow-ups</t>
  </si>
  <si>
    <t>Recording invoices, bank recs</t>
  </si>
  <si>
    <t>Recording invoices, Bank recs &amp; queries sent to client</t>
  </si>
  <si>
    <t>Bank recs, recording of invoices</t>
  </si>
  <si>
    <t>Checking emails for payroll</t>
  </si>
  <si>
    <t>Checking inbox for payroll related requests</t>
  </si>
  <si>
    <t>Payroll</t>
  </si>
  <si>
    <t>bank rec review</t>
  </si>
  <si>
    <t>bank rec review transactions provide comments</t>
  </si>
  <si>
    <t>process hubdoc</t>
  </si>
  <si>
    <t>perforrmance pro finalsed all forms and move to Ralph</t>
  </si>
  <si>
    <t>assist Rac - questions/queries in holdsworth</t>
  </si>
  <si>
    <t>assist rac with queries</t>
  </si>
  <si>
    <t>assist rac with questions, parental leave, staff reimbursements</t>
  </si>
  <si>
    <t>Meetings</t>
  </si>
  <si>
    <t>rejie performance evaluation</t>
  </si>
  <si>
    <t>Jeric Rivera</t>
  </si>
  <si>
    <t>Jessica Sinclair</t>
  </si>
  <si>
    <t>P&amp;C Advisory</t>
  </si>
  <si>
    <t>Prime Build Services</t>
  </si>
  <si>
    <t>Shortlisting Snr FA candidates Lever training video for Louie created  Progressing salary review project (setting up spreadsheet with formulas etc needed for analysis)</t>
  </si>
  <si>
    <t>Daily team huddle with HR Admin Inbox queries Mtg with S&amp;C - Recruiters Shortlisting CV's - Finance</t>
  </si>
  <si>
    <t>SimplyAi Pty Ltd</t>
  </si>
  <si>
    <t>Completing audit of contracts for transition to monthly pay cycle Drafted change mgmt plan for above &amp; first consultation email Inbox queries Weekly sync Head of HR, COO - 1 hr 10 mins Org change mtg, COO, Jason C 40mins</t>
  </si>
  <si>
    <t>Jimwelle Villon</t>
  </si>
  <si>
    <t>Shipley Australasia Pty Limited</t>
  </si>
  <si>
    <t>bank recon, ap emails</t>
  </si>
  <si>
    <t>AP bills from procore, hubdoc, email,</t>
  </si>
  <si>
    <t>Bills, Hubdoc, Email sort/ queries.</t>
  </si>
  <si>
    <t>Revenue Reallocation for Livewire</t>
  </si>
  <si>
    <t>AP Bills review</t>
  </si>
  <si>
    <t>Jonathan Yanga</t>
  </si>
  <si>
    <t>Fintech Equity Pty Ltd - Bank Reconciliation Automation</t>
  </si>
  <si>
    <t>Jose Bien Contreras</t>
  </si>
  <si>
    <t>Run: LOC Dev: Email Trigger Automation</t>
  </si>
  <si>
    <t>Kate Gow</t>
  </si>
  <si>
    <t>Reconciliation</t>
  </si>
  <si>
    <t>Check reconciliation and outstanding bills - reconcile saver account</t>
  </si>
  <si>
    <t>RSVP.com.au Pty Limited</t>
  </si>
  <si>
    <t>Review Icare wages estimate Call with Icare to check premium estimate</t>
  </si>
  <si>
    <t>Reconciliation of wages, identification of returned amounts, balance net wages</t>
  </si>
  <si>
    <t>REview invoicing and process, review loan accounts</t>
  </si>
  <si>
    <t>Payroll journals and balance YTDs</t>
  </si>
  <si>
    <t>BX Pty. Limited</t>
  </si>
  <si>
    <t>Set up Alex P and pay commission, process notes for this Review emails Check super payment and follow up Matt on this</t>
  </si>
  <si>
    <t>Email with Nick - review OFC emails</t>
  </si>
  <si>
    <t>Client Admin</t>
  </si>
  <si>
    <t>Invoicing one focus</t>
  </si>
  <si>
    <t>REview spectrum ionvoices, BAS etc.</t>
  </si>
  <si>
    <t>Client Manager</t>
  </si>
  <si>
    <t>Spectrum Retail Developments Pty Ltd</t>
  </si>
  <si>
    <t>Linking to ATO</t>
  </si>
  <si>
    <t>Call with Icare re policy , decl of wages, updates to contacts etc.</t>
  </si>
  <si>
    <t>Email, Wyzed</t>
  </si>
  <si>
    <t>TEams, SMS with Sylvie, Asana, email</t>
  </si>
  <si>
    <t>Onboarding - review handover document and complete for Richbox - message to Mary and Ann on this.   Message Bern with comments on template</t>
  </si>
  <si>
    <t>IAS/BAS Preparation &amp; Lodgement - Oct-Dec</t>
  </si>
  <si>
    <t>Upstage World Pty Ltd</t>
  </si>
  <si>
    <t xml:space="preserve">Checklist for BAS STP reporting and lodgements </t>
  </si>
  <si>
    <t>Out-of-Scope Services</t>
  </si>
  <si>
    <t>Bank reconciliation check and email to Ef</t>
  </si>
  <si>
    <t>Email to Eric / Sarah re wages rec payable / cash amounts</t>
  </si>
  <si>
    <t>One Focus Pty Ltd</t>
  </si>
  <si>
    <t>Set up termination payrun - phone / email Steve Z</t>
  </si>
  <si>
    <t>Report of pay rates and oncosts</t>
  </si>
  <si>
    <t>Review of costing reversals</t>
  </si>
  <si>
    <t xml:space="preserve">REview costing reversals </t>
  </si>
  <si>
    <t>Costing reversal review</t>
  </si>
  <si>
    <t xml:space="preserve">REversals audit, emails Costing updates </t>
  </si>
  <si>
    <t>Len Mark Onanad</t>
  </si>
  <si>
    <t xml:space="preserve">BAS exportation process and send an email to Accounting team for BAS guidelines as instructed by Shalini. </t>
  </si>
  <si>
    <t>Chat with Irish</t>
  </si>
  <si>
    <t>Chat with Mel XPM</t>
  </si>
  <si>
    <t>Chat with Shalini, BAS updates</t>
  </si>
  <si>
    <t>Daniel Scheuch</t>
  </si>
  <si>
    <t>Attending to Logica's queries and checking of pending action in ATO portal.</t>
  </si>
  <si>
    <t>Attending to Cess's queries</t>
  </si>
  <si>
    <t>Meeting with Shalini : BAS resolution</t>
  </si>
  <si>
    <t>Catch up with Cess regarding 6K adjustment</t>
  </si>
  <si>
    <t>Catch up with Nick via team and reading his message via ASANA. Searching the update in ATO website,</t>
  </si>
  <si>
    <t xml:space="preserve">15 mins coffee breaks as paid per Labor Code of the Philippines, Article 85. ( Afternoon Break ) </t>
  </si>
  <si>
    <t>15 mins coffee breaks as paid per Labor Code of the Philippines, Article 85. ( Morning Break )</t>
  </si>
  <si>
    <t>HR/Recuitment</t>
  </si>
  <si>
    <t>Fill out of APE online and reading protocol of clinic</t>
  </si>
  <si>
    <t>Miller,Jolynn</t>
  </si>
  <si>
    <t>BAS checklist</t>
  </si>
  <si>
    <t>Non Billable updating and fixing  XPM, Asana and BAS check list, ATO portal</t>
  </si>
  <si>
    <t>Responding to Shalini's queries. Sales recon update</t>
  </si>
  <si>
    <t>Bas cont</t>
  </si>
  <si>
    <t>Responding to Queries and checking of Tax refund</t>
  </si>
  <si>
    <t>Dec. 2023 BAS, payroll setting, STP and email compore. Finding variance 144</t>
  </si>
  <si>
    <t>Nonbillable: Attending to Queries and checking of Xero file</t>
  </si>
  <si>
    <t>DEc. 2023 BAS</t>
  </si>
  <si>
    <t>DEC 2023 BAS</t>
  </si>
  <si>
    <t>Tax Admin</t>
  </si>
  <si>
    <t xml:space="preserve">Check XPM </t>
  </si>
  <si>
    <t>Signatory list</t>
  </si>
  <si>
    <t>Unpaid Leave</t>
  </si>
  <si>
    <t>Work late and it will deducted to my salary.</t>
  </si>
  <si>
    <t>Libby Bruderlin</t>
  </si>
  <si>
    <t>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t>
  </si>
  <si>
    <t>Lindsay Casero</t>
  </si>
  <si>
    <t>Logika Sri-Rangarajan</t>
  </si>
  <si>
    <t xml:space="preserve">Tax Call with James Livingstone re tax plan </t>
  </si>
  <si>
    <t>Bellinger Asset Management Pty Limited</t>
  </si>
  <si>
    <t>FY24 - Dec tax payable rec</t>
  </si>
  <si>
    <t>Ma Angela Ibanez</t>
  </si>
  <si>
    <t>Debt Collection</t>
  </si>
  <si>
    <t>Asana task clean up and folder clean up</t>
  </si>
  <si>
    <t>Maria Carlos</t>
  </si>
  <si>
    <t>Adhoc Support &amp; Advice</t>
  </si>
  <si>
    <t>final revision dashboard before phase 2 automation</t>
  </si>
  <si>
    <t>dashboard finalization - phase 2 automation</t>
  </si>
  <si>
    <t>follow up MIZ BIR update / Bambi refund / quotation for RO / TP and reimbursements</t>
  </si>
  <si>
    <t>emails / reimbursements / replying to sprout about 13th month setup</t>
  </si>
  <si>
    <t>performance review Rejie, Gen, Mel</t>
  </si>
  <si>
    <t>month-end</t>
  </si>
  <si>
    <t>Marie Ann Ticzon</t>
  </si>
  <si>
    <t>Black Montana Pty Ltd T/A Lack of Color</t>
  </si>
  <si>
    <t xml:space="preserve">Double Checking with Ms. Rose the Work day 1 task (39:23 seconds) Bills raise to xero Reversed payment and amend bills Approving sales to A@X Replying Emails Postscript </t>
  </si>
  <si>
    <t>Email Management Bills Raise to Xero Bank Reconciliation BM and LOC Inc. Prepared Month end task -LOC Long Service Leave Accrual -LOC Payroll Adjustments -LOC Payroll Employee Summary Updated the Employee Headcount file Updated the Payroll Tax Workings FY24 Posted Manual Journals</t>
  </si>
  <si>
    <t>Mark Barte</t>
  </si>
  <si>
    <t>IT</t>
  </si>
  <si>
    <t>IT Support</t>
  </si>
  <si>
    <t>Mary Ann Carpio</t>
  </si>
  <si>
    <t>RichBox Pty Ltd</t>
  </si>
  <si>
    <t xml:space="preserve">Email Management Bills Processing Bank Recon   BS Recon Email Management Bills Processing Bank Recon </t>
  </si>
  <si>
    <t>Email Management Bills Processing</t>
  </si>
  <si>
    <t xml:space="preserve">checking of a certain increase in Electricity charges  reconciliation </t>
  </si>
  <si>
    <t>Email Management Bills Processing Batch Payment Processing</t>
  </si>
  <si>
    <t xml:space="preserve">Donor - Reviewing Jovel's handover re: month end processing  Email Management  Asana Task clean up </t>
  </si>
  <si>
    <t>Melissa Bagsic</t>
  </si>
  <si>
    <t>Accounts</t>
  </si>
  <si>
    <t>Additional email responses for the billing</t>
  </si>
  <si>
    <t>Timesheet review for Marsill as per Shalini's request.</t>
  </si>
  <si>
    <t>Checking of Alliance Si tagging and renaming. Investigate and coordinate to BIT and Ms Con. With email advise after checking.</t>
  </si>
  <si>
    <t>Further invoices to be check/coordination with Shalini</t>
  </si>
  <si>
    <t>Compliance invoicing update and coordination with Sylvie re: Capspace</t>
  </si>
  <si>
    <t>Various email response/checking of bank recs/</t>
  </si>
  <si>
    <t>Dexterous Global Pty Ltd</t>
  </si>
  <si>
    <t>Process bills for PH Branch</t>
  </si>
  <si>
    <t xml:space="preserve">Timesheet and invoice preparation for the month end invoices. </t>
  </si>
  <si>
    <t>Miguel Quizon</t>
  </si>
  <si>
    <t>Web</t>
  </si>
  <si>
    <t xml:space="preserve">✅ fixed the admin notification for the Payroll Questionnaire ✅ uninstalled Google SiteKit for managing the Tags  🟨 Bing Business to publish Dexterous Group on Feb 3 </t>
  </si>
  <si>
    <t>Neeti Gambhir</t>
  </si>
  <si>
    <t>Nicole Guttmann</t>
  </si>
  <si>
    <t>Asana emails and teams Fathom</t>
  </si>
  <si>
    <t>Meeting with Scott on pay rise</t>
  </si>
  <si>
    <t>Meeting with Stuart on P&amp;L compared to AgriChain</t>
  </si>
  <si>
    <t>emails, teams, Asana</t>
  </si>
  <si>
    <t>Princess Halili</t>
  </si>
  <si>
    <t>emails</t>
  </si>
  <si>
    <t>Marsill Pty Ltd</t>
  </si>
  <si>
    <t>AP</t>
  </si>
  <si>
    <t>Adhoc - provide officeworks receipts within 12mos. to send to client</t>
  </si>
  <si>
    <t>Sept recode to asset and run dep'n, mj to adjust bank fees</t>
  </si>
  <si>
    <t>BR</t>
  </si>
  <si>
    <t>emails/teams</t>
  </si>
  <si>
    <t>with Mark, srac email</t>
  </si>
  <si>
    <t>Rachele Anne Nicdao</t>
  </si>
  <si>
    <t>Bank recs - BAM &amp; Aviation</t>
  </si>
  <si>
    <t>Catch up with Sylvie and Sarah</t>
  </si>
  <si>
    <t xml:space="preserve">AP rviewed Adhocs tasks - from Rob </t>
  </si>
  <si>
    <t>Dex emails</t>
  </si>
  <si>
    <t>Month end tasks</t>
  </si>
  <si>
    <t>Ralph Jim Renia</t>
  </si>
  <si>
    <t>General admin tasks - emails, file clean-up, asana review, timesheets</t>
  </si>
  <si>
    <t>Creating GROW coaching template  Updating billable report Reviewing and approving payroll allowance adjustments</t>
  </si>
  <si>
    <t>Compiling billable prod + dollar + consolidate report for Nick  Calls with Jordan for report consolidation</t>
  </si>
  <si>
    <t>Call with Nica re: performance eval/PRO</t>
  </si>
  <si>
    <t>Monthly 1:1 coaching - Rejie</t>
  </si>
  <si>
    <t>Rejie Montemor</t>
  </si>
  <si>
    <t>Monthly 1:1 catch up with TL RJ</t>
  </si>
  <si>
    <t>Rosemarie Gaile Caliwag</t>
  </si>
  <si>
    <t>Review month end postings, call with Maa re Jan24 payroll tax workings variance and fix with her</t>
  </si>
  <si>
    <t>Call with Ralph re Chamies'clients</t>
  </si>
  <si>
    <t>Teams messages with Shalini re informing Charmie's clients re her resignation and handover</t>
  </si>
  <si>
    <t xml:space="preserve">Payroll review </t>
  </si>
  <si>
    <t>Queries from James, respond to him, remove all on call bonus, finalise and load payment for approval</t>
  </si>
  <si>
    <t>Payroll processing and peer review</t>
  </si>
  <si>
    <t>Jan. 31 - 5:55PM to 8:11PM   Checking new EA rates excel file, note discrepancies for confirmation, process NSW - MM because we might not finish on time tomorrow</t>
  </si>
  <si>
    <t>Payroll processing</t>
  </si>
  <si>
    <t>Samuel Hoare</t>
  </si>
  <si>
    <t>ASIC Compliance</t>
  </si>
  <si>
    <t>Check rules around conversion of shares to different classes</t>
  </si>
  <si>
    <t>Energy Vault Pty Ltd</t>
  </si>
  <si>
    <t>Respond to email from James Luo regarding due date for tax 2023 tax return (lodgement, payment and FTL penalty dates). Advised that we will require additional information for ITR preparation to be outlined separately.</t>
  </si>
  <si>
    <t>Review ATO docs (5) issued on portal and forward to Shalini</t>
  </si>
  <si>
    <t>Sarah Angelica Medrano</t>
  </si>
  <si>
    <t>Post payroll journals</t>
  </si>
  <si>
    <t>Call Amex</t>
  </si>
  <si>
    <t>Bank rec</t>
  </si>
  <si>
    <t>AP run Bank rec</t>
  </si>
  <si>
    <t>Accounts review</t>
  </si>
  <si>
    <t>AR and AP</t>
  </si>
  <si>
    <t>Create process documents Review BASS BS rec</t>
  </si>
  <si>
    <t>Catch up with Sylvie and Rachele</t>
  </si>
  <si>
    <t>Paid break</t>
  </si>
  <si>
    <t>Jimwelle's performance evaluation</t>
  </si>
  <si>
    <t>Shalini Sehgal</t>
  </si>
  <si>
    <t>Follow up with Gerardo re Jan accounts in prep for monthly meeting</t>
  </si>
  <si>
    <t xml:space="preserve">Review GL for Computer Expenses and email cess to capitalise. Update on Safer Kids grant total as at 31.10.2023, Xero to match with grant acquittal </t>
  </si>
  <si>
    <t>Review credit card list, email Zoe and ask for Bendigo bank manager introduction</t>
  </si>
  <si>
    <t>Upload payroll and email Kathy/Shalisa. Review accounts in details and advise team of further changes</t>
  </si>
  <si>
    <t>Review fixed fee analysis for Alder Food AP work, add comments. Send analysis to Sharry Prepare email and send same to be sent to Rob/Tom for approval</t>
  </si>
  <si>
    <t>Monthly invoicing, onboarding tasks, finalise standard fees template and send to Jordan to save on SharePoint, ATO correspondence with Kate/Sam/Emily, spam email for SRAC, liaise with Mark</t>
  </si>
  <si>
    <t>Review revenue tracker re sale of tax clients, monthly invoicing, Pinnacle Group - liaise with Kae/Gen re GST registration etc, debtor chasing with Angela, BAS/IAS workflow, follow up with the team etc</t>
  </si>
  <si>
    <t>IAS/BAS Preparation &amp; Lodgement - Dec</t>
  </si>
  <si>
    <t>Pinnacle Oporto Wodonga Pty Ltd</t>
  </si>
  <si>
    <t>Dec 2023 IAS review and lodgement</t>
  </si>
  <si>
    <t>Dec 2023 quarter BAS review and lodgement</t>
  </si>
  <si>
    <t>Dec 2023 quarter BAS review. Lodge same</t>
  </si>
  <si>
    <t xml:space="preserve">Quick catchup with LM re BAS workflow </t>
  </si>
  <si>
    <t>Sylvie Dardare</t>
  </si>
  <si>
    <t>Rec Tax accounts, check portal, pmt ITR bills, liaise with Sam</t>
  </si>
  <si>
    <t>BLM / BELCR</t>
  </si>
  <si>
    <t xml:space="preserve">liaise with Sarah, Rachele and Logika </t>
  </si>
  <si>
    <t>emails, teams, asana</t>
  </si>
  <si>
    <t>Update Fathom P&amp;L layout, update budget, correct actuals, run reports</t>
  </si>
  <si>
    <t>email Josh and Andrew</t>
  </si>
  <si>
    <t>Zerradiene Egido</t>
  </si>
  <si>
    <t>- process registration of training participants (Empowering New Leaders) - update Performance Pro (Ms. Gen - issue on assigned competencies)</t>
  </si>
  <si>
    <t>Add new account</t>
  </si>
  <si>
    <t>Capspace Investments Pty Ltd</t>
  </si>
  <si>
    <t>Email/Inbox Management and Review CoA</t>
  </si>
  <si>
    <t>AP and Manual Journal</t>
  </si>
  <si>
    <t>Budget report</t>
  </si>
  <si>
    <t>Clear AP inbox and Submit bills for approval in Xero</t>
  </si>
  <si>
    <t>Budget Report</t>
  </si>
  <si>
    <t>Team Huddle</t>
  </si>
  <si>
    <t>Team Meeting</t>
  </si>
  <si>
    <t>Payroll Tax</t>
  </si>
  <si>
    <t>Alison Sheer</t>
  </si>
  <si>
    <t>P&amp;C Advisory - Nordfab</t>
  </si>
  <si>
    <t>Call with GM Correspondence re. recruitment</t>
  </si>
  <si>
    <t>Capspace Pty Ltd</t>
  </si>
  <si>
    <t>reconcile CPDF/CDLOT2/CIPL loans, check emails and review/understand data</t>
  </si>
  <si>
    <t>chats</t>
  </si>
  <si>
    <t>check transpo allowance and coordinate with directs</t>
  </si>
  <si>
    <t>chats, emails, capacity</t>
  </si>
  <si>
    <t>performance evaluation</t>
  </si>
  <si>
    <t>emails, chats/coordinate client deliverables</t>
  </si>
  <si>
    <t>coordinate client transfers, review capacity, EOM nomination</t>
  </si>
  <si>
    <t>performance eval, check handover sched and raise concerns</t>
  </si>
  <si>
    <t>SA interview</t>
  </si>
  <si>
    <t>Emails, chats, Asana, perf eval, break</t>
  </si>
  <si>
    <t xml:space="preserve">call with Kate re Richbox </t>
  </si>
  <si>
    <t>Resource catchup with Carly</t>
  </si>
  <si>
    <t>Performance eval discussion with Charm</t>
  </si>
  <si>
    <t>team huddle</t>
  </si>
  <si>
    <t xml:space="preserve">Processing of ad hoc payment </t>
  </si>
  <si>
    <t xml:space="preserve">Leave reports and balances </t>
  </si>
  <si>
    <t>Creating Pending Lists of Invoices for the Month of January</t>
  </si>
  <si>
    <t xml:space="preserve">Performance Evaluation Discussion with Ms, Ann </t>
  </si>
  <si>
    <t>Booked INvoices</t>
  </si>
  <si>
    <t>Booked Invoices Bank Reconciliation</t>
  </si>
  <si>
    <t>Sprout Checking XPM Asana Checking</t>
  </si>
  <si>
    <t>Connected Culture Automation Development and Testing. Payroll Journal Reports Generation. Lack Of Colors Report Generation.</t>
  </si>
  <si>
    <t>checking account, reading invoicing process</t>
  </si>
  <si>
    <t>Viewing month end file, checking account</t>
  </si>
  <si>
    <t>Loading bills</t>
  </si>
  <si>
    <t xml:space="preserve">Checking emails, loading bills, bank recon, month end tasks </t>
  </si>
  <si>
    <t>Weekly report, AP payment</t>
  </si>
  <si>
    <t>Wyzed courses</t>
  </si>
  <si>
    <t>Team huddle</t>
  </si>
  <si>
    <t>call w/ Ge re: volume of tasks</t>
  </si>
  <si>
    <t>queries</t>
  </si>
  <si>
    <t>call w/ Ge, scope analysis, teams</t>
  </si>
  <si>
    <t>scope analysis</t>
  </si>
  <si>
    <t>mgmt reporting flowchart</t>
  </si>
  <si>
    <t>teams queries</t>
  </si>
  <si>
    <t>EOM, emails, reminders</t>
  </si>
  <si>
    <t>emails/teams/queries</t>
  </si>
  <si>
    <t>business writing and email etiquette to team GAX</t>
  </si>
  <si>
    <t>BS rec query</t>
  </si>
  <si>
    <t>rev re-alloc review</t>
  </si>
  <si>
    <t>team GAX huddle</t>
  </si>
  <si>
    <t>team Ann huddle</t>
  </si>
  <si>
    <t>- ATO Communication History - Emails to clients. - ASIC annual company reviews due date - Cleaned up files - (Moved to OneDrive, Filing). - February posters</t>
  </si>
  <si>
    <t>bank recon emails. checking of bs recon</t>
  </si>
  <si>
    <t>reviewing recorded hand over for month end tasks</t>
  </si>
  <si>
    <t>export aba files</t>
  </si>
  <si>
    <t>ap batch report</t>
  </si>
  <si>
    <t>team meeting with Xavi</t>
  </si>
  <si>
    <t>Checking and sending emails</t>
  </si>
  <si>
    <t>Checking accounts</t>
  </si>
  <si>
    <t>Sales invoices</t>
  </si>
  <si>
    <t>Interview - Senior Accountant</t>
  </si>
  <si>
    <t>Checking leave balances</t>
  </si>
  <si>
    <t>IAM Systems Pty Ltd</t>
  </si>
  <si>
    <t>BAS review</t>
  </si>
  <si>
    <t>Balance Sheet Rec</t>
  </si>
  <si>
    <t>recode transactions</t>
  </si>
  <si>
    <t>Reviewing accounts - Balance Sheet Rec as at 30 June 2023 in prep for EOFY checklist</t>
  </si>
  <si>
    <t>continue conversation with Z and Rac</t>
  </si>
  <si>
    <t>paid break</t>
  </si>
  <si>
    <t>emails, asana, chat with Rac and kate</t>
  </si>
  <si>
    <t>emails, chat with Shalini</t>
  </si>
  <si>
    <t>chat with Z about April's PIP, answer Rachele's queries on holdsworth</t>
  </si>
  <si>
    <t>update financial report</t>
  </si>
  <si>
    <t>final pay queries from Rac</t>
  </si>
  <si>
    <t>Team RJ huddle</t>
  </si>
  <si>
    <t>Annual Leave</t>
  </si>
  <si>
    <t>Halfday Leave - 2nd half</t>
  </si>
  <si>
    <t>Client queries, bank recon AP bills</t>
  </si>
  <si>
    <t>Send BS &amp; P&amp;L, open items, bank recon.</t>
  </si>
  <si>
    <t>hubdoc cleanup, ap emails, employment hero sync and update of employee expense claims</t>
  </si>
  <si>
    <t>Month end BS recon</t>
  </si>
  <si>
    <t>Dext Prepare, AP Emails, bank recon</t>
  </si>
  <si>
    <t xml:space="preserve">Run: LOC Run: Holdsworth Automation Run: Skylife Trial Balance and CashRaw </t>
  </si>
  <si>
    <t>Check Google email link and reply to Lucia - unable to access</t>
  </si>
  <si>
    <t>Spectrum Retail Pty Ltd</t>
  </si>
  <si>
    <t>Check bank and contact Tyson again</t>
  </si>
  <si>
    <t>Invoicing</t>
  </si>
  <si>
    <t>Various superannuation issues / setup / logements</t>
  </si>
  <si>
    <t xml:space="preserve"> Asana task, VM to Nick at Freedom boating, messages to Nick, return call with client</t>
  </si>
  <si>
    <t>Richbox conversation with Ann re fixed fee and allocations / review requried for Mary Ann</t>
  </si>
  <si>
    <t>Task management and delegations - IAM systems, RSVP, organising file access etc.</t>
  </si>
  <si>
    <t>Email to Nicole re bonus / profit share scheme</t>
  </si>
  <si>
    <t>Chat to Ge re NZD paypal, call and leave VM for Emma, follow up with email</t>
  </si>
  <si>
    <t>Email and Asana</t>
  </si>
  <si>
    <t>Emails and response to Angela re chasing invoices.</t>
  </si>
  <si>
    <t>TEams message to Nick</t>
  </si>
  <si>
    <t>EOM, Teams messages, asana tasks</t>
  </si>
  <si>
    <t>Teams messages and calendar - rearrange BX meetings</t>
  </si>
  <si>
    <t>Access to file for Nica</t>
  </si>
  <si>
    <t xml:space="preserve">Check bank - still no funds </t>
  </si>
  <si>
    <t>Load payments to bank, create spreadsheet</t>
  </si>
  <si>
    <t>Add to ATO portal Tax registrations PAYG and GST - update Xero settings Set up STP reporting, file payruns, message Tyson email team re compliance tasks</t>
  </si>
  <si>
    <t>Payslip information re Nick Taylor - inbox</t>
  </si>
  <si>
    <t>Superannuation processing - update employee details and submit batch, email client, report issues</t>
  </si>
  <si>
    <t xml:space="preserve">Call with Steven, update termination payruns to two separate runs, do reports, email client with info. Setup Feb payroll exceptions sheet to ensure Diana is not paid again </t>
  </si>
  <si>
    <t>REview query from Mahendra re PAYG ROL amount adn respond to email Follow up Andrew re costing discussion</t>
  </si>
  <si>
    <t xml:space="preserve"> BAS updates</t>
  </si>
  <si>
    <t>Providing reports to Sam</t>
  </si>
  <si>
    <t>Attending to queries and response to email</t>
  </si>
  <si>
    <t>15 mins coffee breaks as paid per Labor Code of the Philippines, Article 85. ( afternoon Break )</t>
  </si>
  <si>
    <t>Morning emails</t>
  </si>
  <si>
    <t>Assisting Bern regarding ASANA flow and helping her for BAS quarterly project</t>
  </si>
  <si>
    <t xml:space="preserve">Annual Physical Check up - required by Dexterous. Informed Shalini and HR staff. </t>
  </si>
  <si>
    <t>IAS/BAS Preparation &amp; Lodgement - Jul-Sep</t>
  </si>
  <si>
    <t>Sep. 2023 BAS</t>
  </si>
  <si>
    <t>Dec. 2023 BAS</t>
  </si>
  <si>
    <t>Attending to Irish's query.</t>
  </si>
  <si>
    <t>Bank Recs review</t>
  </si>
  <si>
    <t xml:space="preserve">Call with ATO </t>
  </si>
  <si>
    <t>Tax email to James &amp; Daniel</t>
  </si>
  <si>
    <t>Email clean up</t>
  </si>
  <si>
    <t>Meeting with Ann</t>
  </si>
  <si>
    <t>Huddle</t>
  </si>
  <si>
    <t>call with jordan stage 2 automation dashboard</t>
  </si>
  <si>
    <t>perf eval Rejie, Gen, Mel</t>
  </si>
  <si>
    <t>catch up Mel</t>
  </si>
  <si>
    <t>month-end / meeting with James and Rose</t>
  </si>
  <si>
    <t>CF / emails / account reconciliation</t>
  </si>
  <si>
    <t>Branch month-end</t>
  </si>
  <si>
    <t>Calculate Affiliate Program Emily Traves Calculate Affiliate Program The Salty Blonde Calculate Affiliate Program Dede Raad bills Raise to Xero Import Paypal Currencies</t>
  </si>
  <si>
    <t xml:space="preserve">Email Management  Bills raise to xero approving sales to a2x Bank reconciliation to BM LOC Catch up with MS. Rose 52 mins Import CBA 7334 </t>
  </si>
  <si>
    <t>IT &amp; Security</t>
  </si>
  <si>
    <t>Email Management Bills Processing from Hubdoc to Xero</t>
  </si>
  <si>
    <t>Balance Sheet Recon (ongoing)</t>
  </si>
  <si>
    <t xml:space="preserve">Email Management Invoice processing  Bills Processing Processing of urgent payment </t>
  </si>
  <si>
    <t xml:space="preserve">Email Management Asana Clean Up </t>
  </si>
  <si>
    <t xml:space="preserve">Team Ann Huddle Meeting </t>
  </si>
  <si>
    <t>Manual journal for Jovelita's Final pay</t>
  </si>
  <si>
    <t>Month end schedule updates</t>
  </si>
  <si>
    <t>Process bank recs</t>
  </si>
  <si>
    <t>Bank recs update for all accounts</t>
  </si>
  <si>
    <t>Process payments for Ms Tess and request to Nick</t>
  </si>
  <si>
    <t>Other adhoc tasks and billing invoices/payables to settle</t>
  </si>
  <si>
    <t>Various email responses/Catch up emails/Process billings/coordinates</t>
  </si>
  <si>
    <t>1 on 1 with Ms Con</t>
  </si>
  <si>
    <t>Payroll dispute checking/coordination</t>
  </si>
  <si>
    <t>Final pay re-computation and other working papers for Jovelita Dadulla</t>
  </si>
  <si>
    <t xml:space="preserve">✅ fixed the admin notification for the Payroll Questionnaire ✅ uninstalled Google SiteKit for managing the Tags ✅ submitted the design for coding and to be updated the copy  🟨 Bing Business to publish Dexterous Group on Feb 3 </t>
  </si>
  <si>
    <t>TasmanAgri Xero research (tons)</t>
  </si>
  <si>
    <t>Fathom</t>
  </si>
  <si>
    <t>BS recs</t>
  </si>
  <si>
    <t>emails &amp; review all Aged payables in old accounts</t>
  </si>
  <si>
    <t>Dec 2023 BS Recs</t>
  </si>
  <si>
    <t>emails, awaiting approval update</t>
  </si>
  <si>
    <t>asana</t>
  </si>
  <si>
    <t>email</t>
  </si>
  <si>
    <t>Team ANN</t>
  </si>
  <si>
    <t xml:space="preserve">Reviewed payroll tax </t>
  </si>
  <si>
    <t>One on one with Ralph</t>
  </si>
  <si>
    <t>Review of SA and IA applications</t>
  </si>
  <si>
    <t xml:space="preserve">Update on profitability worksheet Team huddle Asana cleanup </t>
  </si>
  <si>
    <t xml:space="preserve">Capacity update considering confirmed and potential attrition  Client profitability report continued </t>
  </si>
  <si>
    <t>1:1 Grow coaching - Rachele</t>
  </si>
  <si>
    <t>Resource meeting with Carly and Anne</t>
  </si>
  <si>
    <t>Top 10 Suppliers trend report</t>
  </si>
  <si>
    <t>Meeting with Daniela (Admin Team)</t>
  </si>
  <si>
    <t>Weekly Huddle</t>
  </si>
  <si>
    <t>Call with Charmie re Website costings</t>
  </si>
  <si>
    <t>Call with Maan to fix ASIC bill</t>
  </si>
  <si>
    <t>Weekly catch up with Maan, answer her queries, month end tasks list, etc</t>
  </si>
  <si>
    <t>Emails, teams messages, Asana, etc</t>
  </si>
  <si>
    <t>Email Moody re Charmie's resignation, capacity file update for Ralph</t>
  </si>
  <si>
    <t>Emails, updating Asana, teams messages</t>
  </si>
  <si>
    <t>GST review, BAS checklist</t>
  </si>
  <si>
    <t>Quick call with Ralph Team huddle</t>
  </si>
  <si>
    <t>Super processing</t>
  </si>
  <si>
    <t>Action payroll emails and queries</t>
  </si>
  <si>
    <t>Clean up payroll inbox, payroll journals, update live file with payroll updates</t>
  </si>
  <si>
    <t>Call with James re novated lease, respond to employees(individually) who have question on PH rate pay to explain the pay breakdown</t>
  </si>
  <si>
    <t>Prepare ASIC form 211 and foreward to Phil for signing and for him to forward original form to ASIC</t>
  </si>
  <si>
    <t>Prepare list of information required to prepare Dec 23 tax return and email to LM with proposed quote to consider</t>
  </si>
  <si>
    <t>FBT Return</t>
  </si>
  <si>
    <t>Consider FBT issues and message Nick to discuss Check prior year lodgements</t>
  </si>
  <si>
    <t>Inbox mgmt Bank rec AP Update cashflow file</t>
  </si>
  <si>
    <t>Inbox mgmt Bank rec Import bank transactions Month-end accounts review</t>
  </si>
  <si>
    <t>MDF Group Pty Limited</t>
  </si>
  <si>
    <t>Gross wage and AL rec</t>
  </si>
  <si>
    <t>Send out payslips</t>
  </si>
  <si>
    <t>STP reconciliation and filing Process employee termination in TL</t>
  </si>
  <si>
    <t>Payroll tax</t>
  </si>
  <si>
    <t>Payroll Processing - Senior</t>
  </si>
  <si>
    <t>Payroll tax review</t>
  </si>
  <si>
    <t>Attend to emails from Zoe re insurance, credit card etc</t>
  </si>
  <si>
    <t>Work with Nica to finalise Annual reports for FY 2023. Send to Nick for signing</t>
  </si>
  <si>
    <t>Review Jan 2024 accounts in preparation for monthly meeting. Liaise with Gerado re unreconciled transactions. Liaise with Mark re Zoom meeting. Send invite to Kerry</t>
  </si>
  <si>
    <t>Follow up with Kathy/Shalisa re Oct and Dec grant allocation confirmation. Attend to email from Kathy re rent paid, send invoices etc for legal action</t>
  </si>
  <si>
    <t xml:space="preserve">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t>
  </si>
  <si>
    <t>Dec 2023 BAS review and lodgement</t>
  </si>
  <si>
    <t>Sep 2023 quarter BAS review and lodgement</t>
  </si>
  <si>
    <t xml:space="preserve">Dec 2023 quarter BAS review. Confirm with Emily re PAYGI for Dec quarter. Email Gen to call ATO re same and update BAS. </t>
  </si>
  <si>
    <t>Shrawani  Trivedi</t>
  </si>
  <si>
    <t>Fee check and email</t>
  </si>
  <si>
    <t>Download payroll reports- liaise Aileen re AL prov</t>
  </si>
  <si>
    <t>Income Tax return - Review EOFY wrap up FY 2023</t>
  </si>
  <si>
    <t>AP - payment, new payee, transfer inv emails</t>
  </si>
  <si>
    <t>APRA lodgement</t>
  </si>
  <si>
    <t>Icare actual wages BAM and BELCR</t>
  </si>
  <si>
    <t>Off site costs</t>
  </si>
  <si>
    <t>Email Tim re fixed fees</t>
  </si>
  <si>
    <t>emails, AP, LTI</t>
  </si>
  <si>
    <t xml:space="preserve">Timesheet, Asana, emails </t>
  </si>
  <si>
    <t>- email EOM nomination - check and email Global Team sched for Feb 9 PH - update Sprout on changes in Team RJ's direct report</t>
  </si>
  <si>
    <t>Inbox queries, EOW tidy up of admin tasks</t>
  </si>
  <si>
    <t>Completed the audit of contracts in prep for the transition to monthly pay cycle</t>
  </si>
  <si>
    <t>Update supplier details</t>
  </si>
  <si>
    <t>Add new account in Xero</t>
  </si>
  <si>
    <t>Email and Set up Sage login</t>
  </si>
  <si>
    <t>Create a Repeating Journal, Prepare a Prepayments Schedule, and  Re-code expenses to Prepayments, and Review Insurance Expenses</t>
  </si>
  <si>
    <t>Add new account, Create a Repeating Journal, Prepare a Prepayments Schedule, Re-code expenses to Prepayments, and Review Insurance Expenses</t>
  </si>
  <si>
    <t>Submit EOM nomination</t>
  </si>
  <si>
    <t>AL Provision</t>
  </si>
  <si>
    <t>P&amp;C Advisory - Nederman Mikropul</t>
  </si>
  <si>
    <t>Call with Finance Manager Draft script for performance/attendance concerns</t>
  </si>
  <si>
    <t>Recruitment</t>
  </si>
  <si>
    <t>Compound interest journal</t>
  </si>
  <si>
    <t>loans rec, monthly interest journal</t>
  </si>
  <si>
    <t>attend to concerns</t>
  </si>
  <si>
    <t>check in re handover, etc</t>
  </si>
  <si>
    <t>break, office space enhancement survey</t>
  </si>
  <si>
    <t>chats, attend to concerns, coordinate tasks, review capacity, emails, etc</t>
  </si>
  <si>
    <t>chats, emails, Sprout, timesheets, Asana, etc</t>
  </si>
  <si>
    <t>Call with Ralph</t>
  </si>
  <si>
    <t>Recon and entering bills AP Report Set up payment in payment logic</t>
  </si>
  <si>
    <t>Entering spreadsheet and bank transactions</t>
  </si>
  <si>
    <t>Entering spreadsheet and bank transactions Payroll Tax</t>
  </si>
  <si>
    <t>checking admin/ASANA task</t>
  </si>
  <si>
    <t>meetings and finalizing multiple flows</t>
  </si>
  <si>
    <t xml:space="preserve">Processing of Reimbursement </t>
  </si>
  <si>
    <t xml:space="preserve">Create and Review EFT invoices lists for payment this week </t>
  </si>
  <si>
    <t>Monitoring of January pending invoices lists</t>
  </si>
  <si>
    <t>Booked Invoices IAS Preparation Bank Rec</t>
  </si>
  <si>
    <t xml:space="preserve">A/P Processing Payroll Processing </t>
  </si>
  <si>
    <t>MKP Handover w/ Neeti</t>
  </si>
  <si>
    <t>Booked Invoices Expense Claims Bank Recs</t>
  </si>
  <si>
    <t>Asana Checking Sprout Checking XPM</t>
  </si>
  <si>
    <t xml:space="preserve">Run four Alliance automations + AP automation; Run Marsill Automation; </t>
  </si>
  <si>
    <t>Connected Culture Automation Testing and Demo</t>
  </si>
  <si>
    <t>Checking the client account</t>
  </si>
  <si>
    <t>Checking all entities</t>
  </si>
  <si>
    <t>Checking emails, loading bills</t>
  </si>
  <si>
    <t>checking emails, loading bills, bank recon</t>
  </si>
  <si>
    <t>adding bills, bank recon</t>
  </si>
  <si>
    <t>The Trustee for Spectrum REIT 23 Unit Trust</t>
  </si>
  <si>
    <t>Adding journals</t>
  </si>
  <si>
    <t>The Trustee for Spectrum Reit 30 Trust</t>
  </si>
  <si>
    <t>The Trustee for Spectrum reit 38 Trust - Wallsend</t>
  </si>
  <si>
    <t>Review and post Jan24 revenue journal + transfers Review and close off Jan'24 results</t>
  </si>
  <si>
    <t xml:space="preserve">Post Jan'24 revenue journals, review + request adjustments Review BS and P&amp;L for Jan'24. Results ready to be closed off </t>
  </si>
  <si>
    <t>Phone call with James re discission points prior to meeting with Anthony</t>
  </si>
  <si>
    <t>ff up of query for conso rep</t>
  </si>
  <si>
    <t>teams, Sprout</t>
  </si>
  <si>
    <t>GST/CM review</t>
  </si>
  <si>
    <t>financials/GST/CM review</t>
  </si>
  <si>
    <t>C&lt;/GST review</t>
  </si>
  <si>
    <t>Amazon GST review</t>
  </si>
  <si>
    <t>financials/CM/GST review - Lendinng, Acctg, TBA</t>
  </si>
  <si>
    <t>ptax review</t>
  </si>
  <si>
    <t>bank recon email</t>
  </si>
  <si>
    <t>rechecking of paypal accounts</t>
  </si>
  <si>
    <t>office expenses report</t>
  </si>
  <si>
    <t>month end report</t>
  </si>
  <si>
    <t>Bookkeeping - Bank Recs</t>
  </si>
  <si>
    <t>reviewing of recorded tasks for month end report (Emma)</t>
  </si>
  <si>
    <t>Birthday Leave</t>
  </si>
  <si>
    <t>chat with Rac - assist on holdsworth</t>
  </si>
  <si>
    <t>Balance sheet rec</t>
  </si>
  <si>
    <t>continue balance recs</t>
  </si>
  <si>
    <t>finalise EOFY checklist</t>
  </si>
  <si>
    <t>emails, asana, XPM</t>
  </si>
  <si>
    <t xml:space="preserve">run reports for EOFY checklist </t>
  </si>
  <si>
    <t>chat with Rose - April's PIP and resignation, chat with Z</t>
  </si>
  <si>
    <t>assist Rac with paid parental leave</t>
  </si>
  <si>
    <t xml:space="preserve">Board report submission Inbox enquiries Mgmt fortnightly mtg Salary review process HR daily huddle Staff phone calls Finance recruitment mtg Shortlisting </t>
  </si>
  <si>
    <t>Dext Prepare, bank recon.</t>
  </si>
  <si>
    <t>Invisalign invoices, bank recon, ap invoices</t>
  </si>
  <si>
    <t>Emails queries, bank recon</t>
  </si>
  <si>
    <t>AP Emails, Dext Prepare</t>
  </si>
  <si>
    <t>AP Emails, bank recon, bills approval from draft</t>
  </si>
  <si>
    <t>Dext Prepare, Upload &amp; reconcile items for Qantas CC,</t>
  </si>
  <si>
    <t>Upload CSV files for manual import to Xero. Reconcile items and sent to client for open items.</t>
  </si>
  <si>
    <t>Run: LOC Part 1 and 2 Run: AR Ageing Dev: Email Trigger Automation</t>
  </si>
  <si>
    <t>GIC jurnal for month and respond to Tien re card feed and fixed fee.</t>
  </si>
  <si>
    <t>Emails and confirm journals in regard to BAS and other statements. Email to Tyson re Atmosphere payable</t>
  </si>
  <si>
    <t>download and save bank statements for EOFY review</t>
  </si>
  <si>
    <t>Response to Emily tax queries.</t>
  </si>
  <si>
    <t>Load weekly payments to bank and email / message client Update Ef for bookkeeping</t>
  </si>
  <si>
    <t>Message to Nica re pinnacle fees</t>
  </si>
  <si>
    <t>Emails and invoicing checks</t>
  </si>
  <si>
    <t>Payroll amendment</t>
  </si>
  <si>
    <t>Payroll emails</t>
  </si>
  <si>
    <t>W/comp claim queries</t>
  </si>
  <si>
    <t>Message with rose and email to Veronika re Eddie Aydin claim first 10 days</t>
  </si>
  <si>
    <t>REview Christmas costings - meeting Entry of reversals Reentry of reversals - liaise with team and Rose Jess re Trinh Nguyen last day payment - add to file for processing</t>
  </si>
  <si>
    <t>Kimberley Chan</t>
  </si>
  <si>
    <t>HR Project - Client System - Email (Chris) Partnerships Program e.g. Happy HR - Dexterous  Vote Employee of the Month - January 2024 - Dexterous</t>
  </si>
  <si>
    <t>Sydney Weekly Team Catch Up - Dexterous</t>
  </si>
  <si>
    <t>Follow Up Face-to-Face Interview (Arif) - Left Voicemail, No Response - Skilled Tradesperson (Sheetmetal) - VIC - Nordfab - Alison</t>
  </si>
  <si>
    <t>Schedule &amp; Confirm Face-to-Face Interview (Zeljko) - Workshop Hand/Storeperson - VIC - Nordfab - Alison</t>
  </si>
  <si>
    <t>Review Seek Applications - Skilled Tradesperson (Sheetmetal) - Job Ad Expires 7 days - VIC - Nordfab - Alison  Review Seek Applications - Factory Hand/Warehouse Assistant - Job Ad Expired - NSW - Nordfab - Alison</t>
  </si>
  <si>
    <t>Telephone Screens - Factory Hand/Warehouse Assistant (David, Ahmad, Fernando &amp; Adiyah) - NSW - Nordfab - Alison</t>
  </si>
  <si>
    <t>Attending to queries</t>
  </si>
  <si>
    <t xml:space="preserve">BAS weekly meeting with Shalini, Follow up, concern and issues. </t>
  </si>
  <si>
    <t>Desktop and notepad sorting &amp; Cleaning</t>
  </si>
  <si>
    <t xml:space="preserve">Chat message from Rejie, Con and Mel. </t>
  </si>
  <si>
    <t>Morning email</t>
  </si>
  <si>
    <t>BAS Dec 2023</t>
  </si>
  <si>
    <t>XPM</t>
  </si>
  <si>
    <t xml:space="preserve">BAS/IAS monthly - February period.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</si>
  <si>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 xml:space="preserve">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</si>
  <si>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Work late, unpaid</t>
  </si>
  <si>
    <t>Weekly Sydney team meeting</t>
  </si>
  <si>
    <t>Studio Payne</t>
  </si>
  <si>
    <t>Chat with Kirsten re employee going on parental leave, the current Studio Payne parental leave policy, wording surrounding paid parental leave, and work to be completed to review policy and procedure.</t>
  </si>
  <si>
    <t xml:space="preserve">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t>
  </si>
  <si>
    <t>Dec 2023 BAS  checklist review COGS - freight</t>
  </si>
  <si>
    <t>Email Arc tax summary of Superfoods to commence tax return</t>
  </si>
  <si>
    <t>Bookkeeping - Backlog</t>
  </si>
  <si>
    <t>Daniel - SOLE TRADER ACC Income worksheet and rec</t>
  </si>
  <si>
    <t>Alliance automation meeting / check data</t>
  </si>
  <si>
    <t>emails / final pay review / contractor's super review</t>
  </si>
  <si>
    <t>emails / AP team meeting</t>
  </si>
  <si>
    <t>BIR REview Branch</t>
  </si>
  <si>
    <t>month-end Branch / HO / RO</t>
  </si>
  <si>
    <t>Preparation of cheque and documents to be sent to Tess for BIR payments</t>
  </si>
  <si>
    <t>CF / emails / BAS file / weekly catch up with James</t>
  </si>
  <si>
    <t>Branch - monthend</t>
  </si>
  <si>
    <t>Branch / HO / RO month-end</t>
  </si>
  <si>
    <t xml:space="preserve">LOC Domestic Clearing accounts, including Afterpay fees recognition  Clearing Paypal Domestic Bills raise to xero approving sales to a2x Send Commission  </t>
  </si>
  <si>
    <t>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t>
  </si>
  <si>
    <t xml:space="preserve">Email Management Bills Processing Bank Recon </t>
  </si>
  <si>
    <t>Email Management Bill Processing and AP Recon</t>
  </si>
  <si>
    <t xml:space="preserve">Email Management Bill Processing Bank Recon  Preparation of Payroll Tax </t>
  </si>
  <si>
    <t>Process of 2 VA's Payroll and payment via Airwallex   Process of AU employee payroll for Kate's review</t>
  </si>
  <si>
    <t>Check stripe payment, cancel and email related accounts</t>
  </si>
  <si>
    <t>Catch up various emails and respond to their requests.</t>
  </si>
  <si>
    <t>Process bank recs. Catch up emails. Prepare all bills related to bank recs. Check timesheet and email.</t>
  </si>
  <si>
    <t>Compliance invoicing update and coordination</t>
  </si>
  <si>
    <t>Prepare timesheet and invoices update for CM approval</t>
  </si>
  <si>
    <t xml:space="preserve">Final pay file updates and email to HR/Z </t>
  </si>
  <si>
    <t>✅ merge branch feature-00 for staging and deployment ✅ integrated Google Analytics through must-use plugin 🟥 change the content of the payroll page</t>
  </si>
  <si>
    <t>Barrack Broking Pty Ltd</t>
  </si>
  <si>
    <t>making ato payment and payroll query email to Nici</t>
  </si>
  <si>
    <t>Income Draw and setting up inter co transfers</t>
  </si>
  <si>
    <t>IAS/BAS Preparation &amp; Lodgement - Jan</t>
  </si>
  <si>
    <t>Adhoc request for Bank balance</t>
  </si>
  <si>
    <t>Moody Handover call with Charmie</t>
  </si>
  <si>
    <t>Customer analysis report</t>
  </si>
  <si>
    <t>Meeting with Carly</t>
  </si>
  <si>
    <t>Asana follow ups Budget  emails, teams, Asana Fathom report meeting prep month end process documentation</t>
  </si>
  <si>
    <t>Xero learning for TasmanAgri</t>
  </si>
  <si>
    <t>Sydney weekly meeting</t>
  </si>
  <si>
    <t>Meeting with Shalini on BAS</t>
  </si>
  <si>
    <t xml:space="preserve">rent cpi, </t>
  </si>
  <si>
    <t>emails &amp; call</t>
  </si>
  <si>
    <t>rent</t>
  </si>
  <si>
    <t>Adhoc - Super queries, iCare, Wages Recon</t>
  </si>
  <si>
    <t>set up meeting</t>
  </si>
  <si>
    <t>Processed Yvette's PPL Month end tasks Answered emails</t>
  </si>
  <si>
    <t xml:space="preserve">Staff matters Capacity strategy allocation </t>
  </si>
  <si>
    <t>Weekly XPM timesheet review Weekly billable hours reporting to Nick Follow-up on unsubmitted timesheets Working on capacity due to April resignation</t>
  </si>
  <si>
    <t xml:space="preserve">Aider tool assessment XPM reports  Productivity tool project collation of tools Resignation of April Tortal arrangement </t>
  </si>
  <si>
    <t>Call with Carly re: payroll tax training</t>
  </si>
  <si>
    <t>Meeting with Ann re capacity and team movements</t>
  </si>
  <si>
    <t>Meeting with James and AP Team</t>
  </si>
  <si>
    <t>Query from Maan re bank revaluations</t>
  </si>
  <si>
    <t>Catch up with Lauren and Maan</t>
  </si>
  <si>
    <t>Morning emails, teams messages, call with April re resignation</t>
  </si>
  <si>
    <t>Catch up with Ali</t>
  </si>
  <si>
    <t>Payroll review</t>
  </si>
  <si>
    <t>Ad hoc pay runs for re-allocation of hours last Dec23</t>
  </si>
  <si>
    <t>Payroll processing (11:40 to 12:10 ) hours from 06/02 in excess of 8 hrs</t>
  </si>
  <si>
    <t>Eddie Aydin - Worker's Comp</t>
  </si>
  <si>
    <t>Payroll journals, email to Allison, teams messages with Kate</t>
  </si>
  <si>
    <t>AL liability report Jan24</t>
  </si>
  <si>
    <t>Action payroll emails, review ad hoc pay run, update love file</t>
  </si>
  <si>
    <t>LSL liability report</t>
  </si>
  <si>
    <t>Email to James re fixed fee proposal and information required</t>
  </si>
  <si>
    <t>Review HK proposal and email feedback to Tom</t>
  </si>
  <si>
    <t>Update cashflow AP and bank rec</t>
  </si>
  <si>
    <t>Payroll tax reconciliation</t>
  </si>
  <si>
    <t>Inbox mgmt Import bank transactions Process AP bills</t>
  </si>
  <si>
    <t>Prepare monthly payroll</t>
  </si>
  <si>
    <t>Superannuation reports and reconciliation</t>
  </si>
  <si>
    <t>Send payroll report for Jan 2024 to LM for IAS prep. Email Neeti re credit cad and further requirements</t>
  </si>
  <si>
    <t>Review email re workers comp, send feedback to Cess re reporting period, what to include etc</t>
  </si>
  <si>
    <t xml:space="preserve">Issue with PAYG Withholding Tax and GST cancellation. heck online. Respond accordingly </t>
  </si>
  <si>
    <t>Monthly meeting with Kerry</t>
  </si>
  <si>
    <t>Attend to email from David, send requested information, send payroll report for Jan 2024 for IAS preparation</t>
  </si>
  <si>
    <t>Review super for Jan 2024. Lodge same via SBSCH. Send report to Wayne for payment</t>
  </si>
  <si>
    <t>Review of BAS as at 31.12.2023. Send queries to Xavi/Aileen to further liaise with Irena</t>
  </si>
  <si>
    <t xml:space="preserve">Weekly invoices, BAS workflow, email team re BAS, IAS, Ezidebit, standard fees email to team, </t>
  </si>
  <si>
    <t>IAS review and lodgement for Dec 2023 quarter</t>
  </si>
  <si>
    <t>One on one training with Nicole re BAS checklist, review process etc</t>
  </si>
  <si>
    <t>Weekly catchup with LM</t>
  </si>
  <si>
    <t>Weekly Sydney meeting</t>
  </si>
  <si>
    <t>Email update on billing and deputy report prepared and emailed, SOP drafted for the deputy report and sent to Xavi</t>
  </si>
  <si>
    <t>AP - ASIC payments / email to team</t>
  </si>
  <si>
    <t>Explain / review Leave prov with Aileen</t>
  </si>
  <si>
    <t>Offsite costs</t>
  </si>
  <si>
    <t>January recharge Bank of America</t>
  </si>
  <si>
    <t>F/up teams SIAA, Capspace, Bellinger for January IAS</t>
  </si>
  <si>
    <t>New employee Cian</t>
  </si>
  <si>
    <t>emails, Liaise with Sarah and Rachele re ASIC, task list, AP, etc</t>
  </si>
  <si>
    <t>Catch up with Stephen &amp; Forex deal</t>
  </si>
  <si>
    <t>Catch up Stephen #2- review Fathom, BLM&amp;BELCR, ASIC for RIL</t>
  </si>
  <si>
    <t>emails, teams</t>
  </si>
  <si>
    <t>Weekly catch up</t>
  </si>
  <si>
    <t>Timothy Milanay</t>
  </si>
  <si>
    <t>BAS Automation</t>
  </si>
  <si>
    <t>Coordinate with Jordan some tasks that can be automated</t>
  </si>
  <si>
    <t>Confirm travel international transactions</t>
  </si>
  <si>
    <t>Edit CoA details</t>
  </si>
  <si>
    <t>Add new accounts in CoA</t>
  </si>
  <si>
    <t>Clear Rounding account</t>
  </si>
  <si>
    <t>Process PayWay Payment</t>
  </si>
  <si>
    <t>Publish bills in Hubdoc to Xero</t>
  </si>
  <si>
    <t>Transfer contacts from AgriChain to Xero</t>
  </si>
  <si>
    <t>Prepare Prepayment Schedule and Re-code bill</t>
  </si>
  <si>
    <t>Review transactions</t>
  </si>
  <si>
    <t>Review and re-code transactions</t>
  </si>
  <si>
    <t>Confirm commodity and freight invoices in Xero are the same as in AgriChain</t>
  </si>
  <si>
    <t>Submit bills for approval in Xero</t>
  </si>
  <si>
    <t>Admin email</t>
  </si>
  <si>
    <t>IAS - Jan 2024</t>
  </si>
  <si>
    <t>P&amp;C Advisory - Group</t>
  </si>
  <si>
    <t>Weekly call with FD Review of payroll/w/comp training for accounting staff Correspondence re. pulse check survey</t>
  </si>
  <si>
    <t>P&amp;C Advisory - Nederman PT</t>
  </si>
  <si>
    <t>Engagement survey workshop F/UP re. recruitment</t>
  </si>
  <si>
    <t>nGage workshop Correspondence re. recruitment and resourcing challenges Recruitment update</t>
  </si>
  <si>
    <t>check changes in CPDF interest income for Dec</t>
  </si>
  <si>
    <t>check CPDF interest revenue</t>
  </si>
  <si>
    <t>emails, send loans rec to Tim and team</t>
  </si>
  <si>
    <t>loans rec</t>
  </si>
  <si>
    <t>Monthly interest journal and loans rec</t>
  </si>
  <si>
    <t>chats re new work arrangements</t>
  </si>
  <si>
    <t>BAS status, emails/chats</t>
  </si>
  <si>
    <t>emails, chats, interview feedback, Sprout, Asana</t>
  </si>
  <si>
    <t>chats re capacity, update weekly leads meeting file, etc</t>
  </si>
  <si>
    <t>capacity planning</t>
  </si>
  <si>
    <t>leads meeting</t>
  </si>
  <si>
    <t>Entering bills and checking Supplier Statement</t>
  </si>
  <si>
    <t>Leave Reports</t>
  </si>
  <si>
    <t xml:space="preserve">Monitoring of EFT lists pay run until approval of Clarissa </t>
  </si>
  <si>
    <t>AP Processing</t>
  </si>
  <si>
    <t xml:space="preserve">Booked Invoices Bank Reconciliation </t>
  </si>
  <si>
    <t>Chatswood Hotel</t>
  </si>
  <si>
    <t>Chatwoods Payroll Processing</t>
  </si>
  <si>
    <t>Run four Alliance automations + AP automation; Added 4 supplier to Alliance Automation Tax Invoice</t>
  </si>
  <si>
    <t>Connected Culture Automation Modifications</t>
  </si>
  <si>
    <t>Loading bills from HubDoc, bank recon</t>
  </si>
  <si>
    <t>Checking the account</t>
  </si>
  <si>
    <t>Loading bills, bank recon</t>
  </si>
  <si>
    <t>Emails, loading bills, bank recon</t>
  </si>
  <si>
    <t xml:space="preserve">update personal ITR for Sam and Holly, flow though of income from the family trust, update the company w/p, emailed James re points to be discussed with Anthony, </t>
  </si>
  <si>
    <t>handover call w/ Sarah</t>
  </si>
  <si>
    <t>Accountant Role Analysis</t>
  </si>
  <si>
    <t>Acct Role Analysis</t>
  </si>
  <si>
    <t>BS Review 31.12.2023 &amp; Adjustments</t>
  </si>
  <si>
    <t>month-end tasks (MET)</t>
  </si>
  <si>
    <t>teams</t>
  </si>
  <si>
    <t>tax deliverables ff up</t>
  </si>
  <si>
    <t>check inbox/teams</t>
  </si>
  <si>
    <t>report export</t>
  </si>
  <si>
    <t>Wyzed</t>
  </si>
  <si>
    <t>handover queries</t>
  </si>
  <si>
    <t>bank recon AP payments</t>
  </si>
  <si>
    <t>bank recon emall</t>
  </si>
  <si>
    <t>checking previous month end reports</t>
  </si>
  <si>
    <t>bank recon ap report unreconciled items report</t>
  </si>
  <si>
    <t>checking ATO ICA vs records in xero Manual Journal</t>
  </si>
  <si>
    <t>Payroll report exportation for IAS</t>
  </si>
  <si>
    <t>Following up Dec queries</t>
  </si>
  <si>
    <t>Bank recs - month-end</t>
  </si>
  <si>
    <t>Bank recs, checking of invoices</t>
  </si>
  <si>
    <t>Recording of invoices, Bank Recs</t>
  </si>
  <si>
    <t xml:space="preserve">Payroll </t>
  </si>
  <si>
    <t>Bank recs, checking &amp; recording of invoices,</t>
  </si>
  <si>
    <t>Process improvement demo by BIT</t>
  </si>
  <si>
    <t>Checking emails, asana</t>
  </si>
  <si>
    <t>Month-end reports</t>
  </si>
  <si>
    <t xml:space="preserve">Manual journals </t>
  </si>
  <si>
    <t>Exporting PAYG reports and checking totals</t>
  </si>
  <si>
    <t>answer survey</t>
  </si>
  <si>
    <t>chat with Z, Rose and Ralph - Jeric's progression plan</t>
  </si>
  <si>
    <t>review pinnacle invoices</t>
  </si>
  <si>
    <t>emails, chat with Rac, L&amp;D program</t>
  </si>
  <si>
    <t>work on Pinnacle fixed fee</t>
  </si>
  <si>
    <t>FBT</t>
  </si>
  <si>
    <t>chat with Sarah about Ramp SOW</t>
  </si>
  <si>
    <t>global team leads meeting / catchup with April</t>
  </si>
  <si>
    <t>HR/COO/Head HR weekly mtg Casual conversion report &amp; SOP recommendation Inbox enquiries &amp; phone calls</t>
  </si>
  <si>
    <t>Salary review process HR daily huddle Mtg with MD Performance review with MD Inbox queries</t>
  </si>
  <si>
    <t>AP items in draft, bank recon</t>
  </si>
  <si>
    <t>AP Items, dext prepare, bank recon</t>
  </si>
  <si>
    <t>AP items &amp; hubdoc</t>
  </si>
  <si>
    <t>Updating items in BS Recon, Dext Prepare, bank recon, ap items</t>
  </si>
  <si>
    <t>Bill items from procore, email sorting, ap queries, bank recon</t>
  </si>
  <si>
    <t>Run: LOC Part 1 and 2 Dev: Email Trigger Automation Dev: Holdsworth Update</t>
  </si>
  <si>
    <t xml:space="preserve">Review reconciliation and query from Ef </t>
  </si>
  <si>
    <t>Pay 'Inform' bill</t>
  </si>
  <si>
    <t>Emails and payroll review - check Kent detials / Time Doctor / other queries</t>
  </si>
  <si>
    <t>Liaise with Mel re spectrum AS invoices, approve and send</t>
  </si>
  <si>
    <t>Emails and teams messages PI query to Jordan re collating bank rec queries</t>
  </si>
  <si>
    <t>TEams and emails</t>
  </si>
  <si>
    <t>Call to Matt, email to confirm queries.</t>
  </si>
  <si>
    <t>Payroll review - Aaron Willemsen</t>
  </si>
  <si>
    <t>Self review, review engagement letter</t>
  </si>
  <si>
    <t>Review payruns</t>
  </si>
  <si>
    <t>Messages and calls with Allison / Rose re journals and Operations costing</t>
  </si>
  <si>
    <t>Candidate Enquiry (Arif) - Skilled Tradesperson (Sheetmetal) - VIC - Nordfab - Alison</t>
  </si>
  <si>
    <t>Follow Up Face-to-Face Interview (Zeljko) - Request 1-Week Work Trial - Workshop Hand/Storeperson - VIC - Nordfab - Alison</t>
  </si>
  <si>
    <t>Review Seek Applications - Workshop Hand/Storeperson - VIC - Nordfab - Alison  Review Seek Applications - Sheet Metal Worker - NSW - Nordfab - Alison</t>
  </si>
  <si>
    <t>Telephone Screens - Workshop Hand/Storeperson (Cormac, Lewis, Blayze, Carlisle, Phoenix &amp; Zdravko) - VIC - Nordfab - Alison</t>
  </si>
  <si>
    <t>Responding to queries</t>
  </si>
  <si>
    <t xml:space="preserve">Attending to queries </t>
  </si>
  <si>
    <t>Updating ASANA regarding email response</t>
  </si>
  <si>
    <t>Attending to Gerard Query</t>
  </si>
  <si>
    <t>quick chat with Gen</t>
  </si>
  <si>
    <t>Responding to Shalini's queries and instruction.</t>
  </si>
  <si>
    <t>15 mins coffee breaks as paid per Labor Code of the Philippines, Article 85. ( Afternoon Break )</t>
  </si>
  <si>
    <t xml:space="preserve">&gt;	Reading through emails and diving into email history. &gt;	Organizing folders in Outlook for each client. &gt;	Adding labels to keep things neat and tidy per client. &gt;	Doing some email spring cleaning and other odds and ends..  </t>
  </si>
  <si>
    <t>&gt;Chat with Zerra, searching email of Office survey and answering questionnaire.  &gt;Other adhoc work</t>
  </si>
  <si>
    <t>Redoing of work due to some adjustment made by BK. Getting all the variances of 3K down to 500</t>
  </si>
  <si>
    <t>IAS Jan 2024</t>
  </si>
  <si>
    <t>Updating the ASANA</t>
  </si>
  <si>
    <t>Updating ASANA as per Irish email</t>
  </si>
  <si>
    <t>Jan 2024 IAS</t>
  </si>
  <si>
    <t>Attending query and Updating ASANA</t>
  </si>
  <si>
    <t xml:space="preserve">IAS jan 2024 </t>
  </si>
  <si>
    <t>Jan. 2024 IAS</t>
  </si>
  <si>
    <t>IAS Jan. 20204</t>
  </si>
  <si>
    <t>IAS 2024 IAS</t>
  </si>
  <si>
    <t>Update ASANA &amp; XPM</t>
  </si>
  <si>
    <t>Atmosphere Property Pty Ltd</t>
  </si>
  <si>
    <t>PAYGI Dec 2023</t>
  </si>
  <si>
    <t>Lodgement error XPM and checking issue</t>
  </si>
  <si>
    <t>Update and checking of PAYGI, WPS and response to query</t>
  </si>
  <si>
    <t xml:space="preserve">&gt;Exportation &gt;Setting up in Quickbook &gt;BAS cont. </t>
  </si>
  <si>
    <t xml:space="preserve">Fixing onedrive </t>
  </si>
  <si>
    <t>Chat with Mark regarding Onedrive issue</t>
  </si>
  <si>
    <t>catch up with Zerra</t>
  </si>
  <si>
    <t>Team chat with Zerra ( Employee status survey )</t>
  </si>
  <si>
    <t>One drive organizing</t>
  </si>
  <si>
    <t>XPM updates</t>
  </si>
  <si>
    <t>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t>
  </si>
  <si>
    <t xml:space="preserve">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t>
  </si>
  <si>
    <t>Sole Trader wps - Daniel FY17</t>
  </si>
  <si>
    <t>AR / weekly AR meeting</t>
  </si>
  <si>
    <t>Payroll Tax / Xe Payment /</t>
  </si>
  <si>
    <t>management meeting</t>
  </si>
  <si>
    <t>online banking application / admin and authorizer</t>
  </si>
  <si>
    <t>arranging courier for docs to be sent to Tess / filing original docs business permit 2024 / arranging additional requirements for RO change of address</t>
  </si>
  <si>
    <t>preparing/scanning documents to be sent to SEC for the certificate / preparing additional documents for the RO change of address / filing original docs from Tess</t>
  </si>
  <si>
    <t>payroll tax review / emails</t>
  </si>
  <si>
    <t>Branch payroll review</t>
  </si>
  <si>
    <t xml:space="preserve">Clearing Shopify international and posted manual journal Clearing Shopify international and posted manual journal LOC Inc Clearing accounts, including Afterpay and Shoppay fees recognition Shopify Installment clearing international </t>
  </si>
  <si>
    <t>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t>
  </si>
  <si>
    <t>SUpport with the Team</t>
  </si>
  <si>
    <t>Email Management Bills Processing Invoices Processing  Bank Recon</t>
  </si>
  <si>
    <t xml:space="preserve">Email Management  Bills Processing Bank Recon </t>
  </si>
  <si>
    <t xml:space="preserve">Wyzed Training - Management Reporting  Email Management  </t>
  </si>
  <si>
    <t xml:space="preserve">Send IAS and Payroll Report to LM </t>
  </si>
  <si>
    <t>Send  AIS and Payroll Report to LM</t>
  </si>
  <si>
    <t xml:space="preserve">Meeting with Jordan RE: Skylife extraction of reports </t>
  </si>
  <si>
    <t>Update bank recs</t>
  </si>
  <si>
    <t>Checking of bills for payment under PH Branch</t>
  </si>
  <si>
    <t>Process other tasks from Shalini and Kate/Update bills. Catch up emails from AU accounts email.</t>
  </si>
  <si>
    <t>Accrual for January 2024</t>
  </si>
  <si>
    <t>BDO payroll file preparation for upload</t>
  </si>
  <si>
    <t>Payment request to Nick and email preparation</t>
  </si>
  <si>
    <t>Payroll processing for PH Branch 10 Feb 2024 payout.</t>
  </si>
  <si>
    <t>✅ submitted the performance evaluation on Performance Pro + ✅ submitted the changes for review on the Payroll Page 🟥 edited the images for the header part of subservices page</t>
  </si>
  <si>
    <t>processing supplier bills for BNE/SSC and NSW and bank reco</t>
  </si>
  <si>
    <t>Processing BGS bills</t>
  </si>
  <si>
    <t>sage and skybot reco</t>
  </si>
  <si>
    <t xml:space="preserve">BNE and BGS f/e payroll </t>
  </si>
  <si>
    <t>setting up new employee</t>
  </si>
  <si>
    <t>follow up on tasks and emails</t>
  </si>
  <si>
    <t>review of 5 year plan sent by client</t>
  </si>
  <si>
    <t>Bas tasks follow up</t>
  </si>
  <si>
    <t>marsil AP</t>
  </si>
  <si>
    <t>Payroll discrepancy queries with lindsay</t>
  </si>
  <si>
    <t>Payroll review from FY23 to January2024 - recoded 1 wage expense to payable from Oct2023</t>
  </si>
  <si>
    <t>AP, emails</t>
  </si>
  <si>
    <t>AP, files</t>
  </si>
  <si>
    <t>Catch up with Adriana</t>
  </si>
  <si>
    <t>office space survey</t>
  </si>
  <si>
    <t xml:space="preserve">setting up Go cardless application </t>
  </si>
  <si>
    <t xml:space="preserve">Shadowed with Sarah </t>
  </si>
  <si>
    <t>Bank  recs</t>
  </si>
  <si>
    <t>Bank recs of all entities Created new MSNs tracking categories and accounts</t>
  </si>
  <si>
    <t xml:space="preserve">PTX training prep Global team meeting action items </t>
  </si>
  <si>
    <t>Staff concerns Payroll dispute approval  Asana tasks Quickbooks cert continuation</t>
  </si>
  <si>
    <t>Billable report and client profitability report updating per Nick's request  Capacity update considering team changes  Payroll tax review study</t>
  </si>
  <si>
    <t>Capacity plan meeting with Ann</t>
  </si>
  <si>
    <t>Global team meeting</t>
  </si>
  <si>
    <t>Action emails, email Steve re Charmie's resignation</t>
  </si>
  <si>
    <t>Marie-Pierre Cleret Pty. Limited</t>
  </si>
  <si>
    <t>Run unsched pay run to pay the difference in payroll and super as per Marie-Pierre's email</t>
  </si>
  <si>
    <t>payroll review</t>
  </si>
  <si>
    <t>Unapproved/unallocated TS report</t>
  </si>
  <si>
    <t>Setup new employees in Xero, lodge super for Jan24, action payroll emails, respond to James' message</t>
  </si>
  <si>
    <t>Payroll processing, issue with payroll journal automation, investigate, discuss with Kate, call with Edz to resolve error, payroll emails, complete processing of FN and WK payrolls for review</t>
  </si>
  <si>
    <t>Payroll processing FN and WK</t>
  </si>
  <si>
    <t>Phone calls with Nick and Stephen Update team</t>
  </si>
  <si>
    <t>Review entertaiment transactions for the 22 and 23 FBT years Provide FBT liability estimate and fee proposal Email to SK with proposed approach to finalise both years prior to applying for the remission of GIC</t>
  </si>
  <si>
    <t>Client handover to Xavi Prepare handover file and request access Review accounts before handover</t>
  </si>
  <si>
    <t>Inbox mgmt Posting of bills AP run</t>
  </si>
  <si>
    <t>Training with Rachele re monthly distributions (forex deals) Bank rec</t>
  </si>
  <si>
    <t>AP run</t>
  </si>
  <si>
    <t>Email client about Dec23 IAS Prepare report for Jan24 IAS</t>
  </si>
  <si>
    <t>Bellinger Credit Pty Limited</t>
  </si>
  <si>
    <t>Accounts review in preparation for BAS Waiting for adjustment from Sylvie.</t>
  </si>
  <si>
    <t>Liaise with Sam re treatment of CC, FBT issue etc</t>
  </si>
  <si>
    <t>Investigate re deregistration of PAYG Withholding Tax and GST. Email team according re re-registration etc</t>
  </si>
  <si>
    <t xml:space="preserve">Upload weekly payables, email Katherine/Shalisa. Send copy of BAS to auditor. </t>
  </si>
  <si>
    <t>Investigate re Corey's final pay. Send update to David and copies of payslips</t>
  </si>
  <si>
    <t>Phone call with David re Corey's final pay. Review emails and Xero. Respond via email and call. Send copies of payslips</t>
  </si>
  <si>
    <t>Assist Angela re ASIC and Northwest. Coordinate with Gen re ASIC agent, payment of invoices, Xero subs transfer, assist with debtor chasing</t>
  </si>
  <si>
    <t>Further invoices, update template, queries to Mel, BAS workflow email, follow up with team, send Jan 2024 payroll report to LM for IAS prep</t>
  </si>
  <si>
    <t>Quote for voluntary Co deregistration and process, liaise with Sam, Nick and Sylvie</t>
  </si>
  <si>
    <t xml:space="preserve">Liaise with Emily re PAYGI for Dec quarter. Internal coordination re BAS to be finalised </t>
  </si>
  <si>
    <t>Tried to prepare Dec quarter PAYGI via XPM, errors. Draft on ATO portal. Email copy to Kate, Liaise with LM to send via DocSign</t>
  </si>
  <si>
    <t>Meeting with Bern to finalise workflow for BAS, ITR, FBT and TPAR</t>
  </si>
  <si>
    <t xml:space="preserve">Send BANA invoices </t>
  </si>
  <si>
    <t>LTI prov</t>
  </si>
  <si>
    <t>Review bank rec and discuss process and Asana with team</t>
  </si>
  <si>
    <t>BLM - SALT invoice</t>
  </si>
  <si>
    <t>Corrections BLM / BELCR</t>
  </si>
  <si>
    <t>Send request to all clients for Google review</t>
  </si>
  <si>
    <t xml:space="preserve">emails, Asana updates, discuss processes </t>
  </si>
  <si>
    <t>Review Logika's timesheet / invoice</t>
  </si>
  <si>
    <t>emails, timesheet, teams</t>
  </si>
  <si>
    <t>Discuss Shalini &amp; sarah payroll Jan posted in Dec / impact on IAS</t>
  </si>
  <si>
    <t>Update Dec Consolidated P&amp;L and reports with recent adjustments</t>
  </si>
  <si>
    <t xml:space="preserve">-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t>
  </si>
  <si>
    <t>Submit automation for Tasman Agri Pty Ltd</t>
  </si>
  <si>
    <t>Clear AP inbox</t>
  </si>
  <si>
    <t>Create a Repeating Bill in Xero</t>
  </si>
  <si>
    <t>Emails and Re-code bills</t>
  </si>
  <si>
    <t>Process batch payment and Submit bills for approval in Xero</t>
  </si>
  <si>
    <t>Call with Nicole - To check insurance transactions</t>
  </si>
  <si>
    <t>Admin emails and Update Team Huddle file</t>
  </si>
  <si>
    <t>Cyber Security Training</t>
  </si>
  <si>
    <t>Prepare Team Activity</t>
  </si>
  <si>
    <t>IA Assessment</t>
  </si>
  <si>
    <t>Call re. payroll Emails</t>
  </si>
  <si>
    <t>Unscheduled power interruption</t>
  </si>
  <si>
    <t>loans rec, check emails, check and respond to queries/adjustments requested by Tim</t>
  </si>
  <si>
    <t>update capacity</t>
  </si>
  <si>
    <t>review Neeti's TS vs invoice, emails</t>
  </si>
  <si>
    <t>prepare interview questions</t>
  </si>
  <si>
    <t>chats, comms, emails</t>
  </si>
  <si>
    <t>chats, emails, Sprout, Asana</t>
  </si>
  <si>
    <t>Catchup with Ali</t>
  </si>
  <si>
    <t>Checking Suppliers and accounts</t>
  </si>
  <si>
    <t>Entering bills and set up payment in payment logic. IAS Preparation and checking.</t>
  </si>
  <si>
    <t>Preparing IAS for Pelan, Exporting and checking reports</t>
  </si>
  <si>
    <t>Handover to Jimwelle</t>
  </si>
  <si>
    <t xml:space="preserve">Posting of invoices from pending invoices lists </t>
  </si>
  <si>
    <t xml:space="preserve">Checking of pending invoices foldeer and pending invoices lists for January </t>
  </si>
  <si>
    <t>Alliance Report Automation Development</t>
  </si>
  <si>
    <t>Checking client account</t>
  </si>
  <si>
    <t>January IAS report</t>
  </si>
  <si>
    <t>Publish bills, bank recon</t>
  </si>
  <si>
    <t>Checking emails, loading bills, bank recon</t>
  </si>
  <si>
    <t>FN payroll</t>
  </si>
  <si>
    <t>unpaid bills</t>
  </si>
  <si>
    <t>coaching/mentoring</t>
  </si>
  <si>
    <t>review FN payroll &amp; new emp set-up</t>
  </si>
  <si>
    <t>new RDO accrual</t>
  </si>
  <si>
    <t>checking of monthly invoices</t>
  </si>
  <si>
    <t>processs ap payment</t>
  </si>
  <si>
    <t>Ap report for payment</t>
  </si>
  <si>
    <t>AP: export aba files</t>
  </si>
  <si>
    <t>process ap invoices/receipts from inbox</t>
  </si>
  <si>
    <t xml:space="preserve">BS recon checking of previous bs recons </t>
  </si>
  <si>
    <t>Fixing fixed assets, and checking accounts</t>
  </si>
  <si>
    <t>Bank recs and invoices</t>
  </si>
  <si>
    <t>Reconciliation for tax</t>
  </si>
  <si>
    <t>Team meeting for updates</t>
  </si>
  <si>
    <t>Updating month-end reports</t>
  </si>
  <si>
    <t>Cashflow updates</t>
  </si>
  <si>
    <t>BS Recs</t>
  </si>
  <si>
    <t>Finalizing payroll and exporting ABAs</t>
  </si>
  <si>
    <t>update asana and chat with Ralph Xero cert</t>
  </si>
  <si>
    <t>email PIP results to HR</t>
  </si>
  <si>
    <t>emails, chat with Rac, asana and XPM</t>
  </si>
  <si>
    <t>finalise self review perf pro</t>
  </si>
  <si>
    <t>email to kate</t>
  </si>
  <si>
    <t>self review - performance pro</t>
  </si>
  <si>
    <t>pinnacle summary</t>
  </si>
  <si>
    <t>BS Rec 31Dec2023</t>
  </si>
  <si>
    <t>assist rac with month end</t>
  </si>
  <si>
    <t>monthly checkin with Ali</t>
  </si>
  <si>
    <t>Monthly 1-1 with Alison</t>
  </si>
  <si>
    <t>Inbox queries Progressing individual cases eg Dinesh extended leave, Zane absence from work Invesitgation capability of Asset Register on EH</t>
  </si>
  <si>
    <t>New contract - Georgia Gamble Dinesh - investigation around EH audit, leave, payroll reconciliation Drafting Addendum templates x 2</t>
  </si>
  <si>
    <t xml:space="preserve">Shortlisting resumes - Finance Mtg with psch - candidate debrief session Mtg with FC to review candidates Scheduling phone screens HR huddle with Louie - upskilling in shortlisting technique Ops/HR mtg </t>
  </si>
  <si>
    <t>Adding some recent invoice for approval of client for the pay run</t>
  </si>
  <si>
    <t>Dext Prep invoices, email to client AP invoices for pay run.</t>
  </si>
  <si>
    <t>Dext Prepare</t>
  </si>
  <si>
    <t>Bank recon, ap items in draft</t>
  </si>
  <si>
    <t>AP Items</t>
  </si>
  <si>
    <t>AP Items, bank recon</t>
  </si>
  <si>
    <t>BS Recon update</t>
  </si>
  <si>
    <t>Hubdoc, AP Emails, EH Items for employee reimbursements, invoices from procore</t>
  </si>
  <si>
    <t>AP items, email queries, bank recon</t>
  </si>
  <si>
    <t>Meeting with BIT Team to discuss thinkbox submission automation</t>
  </si>
  <si>
    <t>Meeting with RJ catch-up</t>
  </si>
  <si>
    <t>Harmony Build handover task from April</t>
  </si>
  <si>
    <t xml:space="preserve">Run: LOC Part 1 and 2 Testing: Email Trigger Automation Meeting: Turnover of Cashraw Consolidation File from Edz (VBA Macro) </t>
  </si>
  <si>
    <t>Emails and arrange meeting</t>
  </si>
  <si>
    <t>Complie invoices list and send to Tyson for confirmation</t>
  </si>
  <si>
    <t>Invoicing-  management fees and update templates for CJs, email to Eric</t>
  </si>
  <si>
    <t>Load payments to ANZ and save invoices</t>
  </si>
  <si>
    <t>Call with Matt re payroll, update to Mary, review payroll for Belinda etc.</t>
  </si>
  <si>
    <t>Call Eric for reference, follow up email, chat with Nick</t>
  </si>
  <si>
    <t>Call with Tyson and follow up admin tasks.</t>
  </si>
  <si>
    <t>EOFY review adn email to Emily</t>
  </si>
  <si>
    <t>Follow up Eric for super paymetns all entites</t>
  </si>
  <si>
    <t>Update to termination payment</t>
  </si>
  <si>
    <t>Load payroll to bank</t>
  </si>
  <si>
    <t>Check ADI levels and call Ash Update Caitlin M super</t>
  </si>
  <si>
    <t>Issues with mapping and export</t>
  </si>
  <si>
    <t>Load payments including super and child support, email to client</t>
  </si>
  <si>
    <t>Recreate timesheets and load to payrun</t>
  </si>
  <si>
    <t>Payroll reviews Email to Mohit re cash Email for approvals Child Support payment report</t>
  </si>
  <si>
    <t>Start Date Enquiry (William) - Accountant - NSW - Nederman - Alison</t>
  </si>
  <si>
    <t>Candidate Enquiry (Duc Anh) - Skilled Tradesperson (Sheetmetal) - VIC - Nordfab - Alison</t>
  </si>
  <si>
    <t>Verbal Work Trial Offer Acceptance (Zeljko) - Workshop Hand/Storeperson - VIC - Nordfab - Alison</t>
  </si>
  <si>
    <t>Review Seek Applications - Sheet Metal Worker - NSW - Nordfab - Alison</t>
  </si>
  <si>
    <t>Draft Employment Contract (Zeljko) - Workshop Hand/Storeperson - VIC - Nordfab - Alison</t>
  </si>
  <si>
    <t>Reference Check (Rob) - Zeljko - Workshop Hand/Storeperson - VIC - Nordfab - Alison</t>
  </si>
  <si>
    <t>message Sarah to Asana</t>
  </si>
  <si>
    <t>Attending to Irish's query. Fixed Asset</t>
  </si>
  <si>
    <t>Attending to Irish's query</t>
  </si>
  <si>
    <t>Attending to Cess's query</t>
  </si>
  <si>
    <t>Sprout and other email</t>
  </si>
  <si>
    <t>Chat with Ben and attending to queries. Looking and reviewing the chart work flow</t>
  </si>
  <si>
    <t>Reading email from HR ( Zerra )</t>
  </si>
  <si>
    <t>Social club</t>
  </si>
  <si>
    <t>Xero setUp</t>
  </si>
  <si>
    <t>Fxing XPM error.There are no outstanding activity statements for the client's TFN/ABN. Activity Statements will be available after the statement period</t>
  </si>
  <si>
    <t>IAS Jan 2023</t>
  </si>
  <si>
    <t>Fixing XPM error</t>
  </si>
  <si>
    <t>IAS jan 2024</t>
  </si>
  <si>
    <t>IAS january 2024</t>
  </si>
  <si>
    <t xml:space="preserve">IAS Jan 2024 </t>
  </si>
  <si>
    <t>IAS, ATO and ASANA checking and validate. Error found</t>
  </si>
  <si>
    <t>IAS prep, Xero set up and XPM fix</t>
  </si>
  <si>
    <t>IAS Jan 2024 checking of ATO portal and email.</t>
  </si>
  <si>
    <t>AS process, Xero set up, XPM error and ATO validate</t>
  </si>
  <si>
    <t>XPM update</t>
  </si>
  <si>
    <t>Fusion Accounting &amp; Advisory</t>
  </si>
  <si>
    <t>Dec 2023 BAS</t>
  </si>
  <si>
    <t>Asana updates</t>
  </si>
  <si>
    <t>adhoc</t>
  </si>
  <si>
    <t>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t>
  </si>
  <si>
    <t>Tax Prep - Sole Trader accounts</t>
  </si>
  <si>
    <t>customer onboarding</t>
  </si>
  <si>
    <t>CF / AP - XE Payment / PL checking</t>
  </si>
  <si>
    <t>call with Jun about outsourcing</t>
  </si>
  <si>
    <t>Group month-end / updated payroll setup based on new approach</t>
  </si>
  <si>
    <t>Payment uploading to CBA Prepared stripe fee report and posted manual journal Bank Reconciliation BM and LOC Inc Started the BS Recs LOC Inc</t>
  </si>
  <si>
    <t>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t>
  </si>
  <si>
    <t>Balance Sheet Recon</t>
  </si>
  <si>
    <t xml:space="preserve">Email Management Bills Processing  AP recon   Bank and Credit Card Recon </t>
  </si>
  <si>
    <t>Email Management Bills Processing Bank and Credit Card recon Submit Weekly Cash Flow Submit updated Unreconciled bank/credit card  transactions   Lodgment and Payment of Payroll Tax</t>
  </si>
  <si>
    <t xml:space="preserve">Reviewing Donor Handover - Month-end Process </t>
  </si>
  <si>
    <t>Email advise for Kathryn re: Belshaw, Haydn overpayment</t>
  </si>
  <si>
    <t>Clean up emails/Update subscriptions/accrual and other AJEs related tasks/Bills update/Reconciliation of Stripe payments</t>
  </si>
  <si>
    <t>Compliance</t>
  </si>
  <si>
    <t xml:space="preserve">Prepare summary for January 2024 Government remittances and update all necessary details for SSS, PHIC and HDMF. With pending status update for RJ's HDMF. Coordinated already to RJ and Z. </t>
  </si>
  <si>
    <t>Payroll email request for BDO online approval</t>
  </si>
  <si>
    <t>✅ deploy the tags for conversion tracking of events in forms ✅ fixing the forms in the website for the Payroll Questionnaires 🟥 edit the Payroll Services page on staging 🟥 apply the Dexterous Group Branding to the slides provided by Nick</t>
  </si>
  <si>
    <t>processing supplier bills and bank reco</t>
  </si>
  <si>
    <t>Moody files and emails provided in handover .  Access to Onedrive and folders, chat with Charmie for prelim questions</t>
  </si>
  <si>
    <t>Sack me! Pty Ltd</t>
  </si>
  <si>
    <t>Meeting with Aileen on insurance and manual journals</t>
  </si>
  <si>
    <t>Bas prep month end</t>
  </si>
  <si>
    <t xml:space="preserve">emails Oct and queries, other debtors &amp; cash acct </t>
  </si>
  <si>
    <t>srac catch up with shalini</t>
  </si>
  <si>
    <t>BR and emails</t>
  </si>
  <si>
    <t>BR and Martin's wages</t>
  </si>
  <si>
    <t>srac - lease/rents review</t>
  </si>
  <si>
    <t>asset with guia</t>
  </si>
  <si>
    <t>Payroll and (month end tasks with Nica-- HCP and CHSP SSI reporting )</t>
  </si>
  <si>
    <t>IA interview-Aileen</t>
  </si>
  <si>
    <t>Admin -emails, queries, concerns</t>
  </si>
  <si>
    <t>Handover comms and transition update for resigning employees  Back uup planning resource  Sprout approvals</t>
  </si>
  <si>
    <t>Updating CPR for Nick (Dashboard) start</t>
  </si>
  <si>
    <t>Staff admin TImesheet sprout review for payroll Wyzed Asana</t>
  </si>
  <si>
    <t>Productivity tool research</t>
  </si>
  <si>
    <t>PTX final review</t>
  </si>
  <si>
    <t>1:1 sarah</t>
  </si>
  <si>
    <t>Capacity call with Ali Ann</t>
  </si>
  <si>
    <t>IA interview Jimwelle</t>
  </si>
  <si>
    <t>Meeting with Nick Ali Jordan</t>
  </si>
  <si>
    <t xml:space="preserve">PAYROLL TAX </t>
  </si>
  <si>
    <t>Weekly 1:1 with James</t>
  </si>
  <si>
    <t>Call with Maan to check DTC bills, discuss month-end tasks and queries</t>
  </si>
  <si>
    <t>Emails, teams messages, update Asana</t>
  </si>
  <si>
    <t>Payroll updates, super for January</t>
  </si>
  <si>
    <t>Updating pay rate of each employee to match new EA</t>
  </si>
  <si>
    <t>Prepare draft list of transactions that will be subject to FBT for the 2022 and 2023 FBT. years and email to SK.</t>
  </si>
  <si>
    <t>Calculate current franking account balance and respond to Sylvie with franked dividend that can be paid today.</t>
  </si>
  <si>
    <t>Email to Tien re Upstage business name transfer and mge to Nick</t>
  </si>
  <si>
    <t>AP review</t>
  </si>
  <si>
    <t>Wages payable reconciliation</t>
  </si>
  <si>
    <t>Bank rec Account review for BAS</t>
  </si>
  <si>
    <t>AP and bank rec Supplier statement reconciliation Cashflow update</t>
  </si>
  <si>
    <t>Bank rec AP run Inbox mgmt</t>
  </si>
  <si>
    <t>Prepare payroll report</t>
  </si>
  <si>
    <t>Prepare payroll reports</t>
  </si>
  <si>
    <t>Catch up with Ralph</t>
  </si>
  <si>
    <t>Plot leaves</t>
  </si>
  <si>
    <t>Export reports and ABA and send to client</t>
  </si>
  <si>
    <t>Process payroll</t>
  </si>
  <si>
    <t>Revert and delete timesheets so Kate can re-export</t>
  </si>
  <si>
    <t>Set up new employee</t>
  </si>
  <si>
    <t>Send copy of lodged IAS for Jan 2024 to David for payment</t>
  </si>
  <si>
    <t>Server login issues, liaising with IT etc</t>
  </si>
  <si>
    <t>Attend to email from Neeti re sale of business. Line up meeting with Li-Ann. Coordinate with James. Advise TL re client leaving</t>
  </si>
  <si>
    <t>Weekly hurdles meeting with team</t>
  </si>
  <si>
    <t>Download GST reports for Dec 2023 quarter, start with BAS preparation</t>
  </si>
  <si>
    <t>Potential client meeting (with Barnaby)</t>
  </si>
  <si>
    <t xml:space="preserve">Update monthly reporting for CET. Send email to Ali re client survey and process for CET to update monthly. </t>
  </si>
  <si>
    <t>BAS and IAS workflows, follow up with team, Xero subs for Timbertime, attend to emails from James, go through post mail from ATO, coordinate with Gen re digital copes., debtors, update, Mel queires, etc</t>
  </si>
  <si>
    <t>Jan 2024 IAS review and lodgement</t>
  </si>
  <si>
    <t>Tim's email re recoding some exp</t>
  </si>
  <si>
    <t>Leave prov BAM and BELCR, LTI prov BASS</t>
  </si>
  <si>
    <t>calculate franking credit BELCR, liaise with Sam</t>
  </si>
  <si>
    <t>BLM - BS rec</t>
  </si>
  <si>
    <t>Discuss ASIC fees for RIL with Nick &amp; Shalini</t>
  </si>
  <si>
    <t>email, teams</t>
  </si>
  <si>
    <t>Tim &amp; Nick</t>
  </si>
  <si>
    <t xml:space="preserve">timesheet, asana </t>
  </si>
  <si>
    <t>BAM BAS - BAS check list and GST review, email re Dec PAYG</t>
  </si>
  <si>
    <t>Catch up Ali</t>
  </si>
  <si>
    <t>- revise reminder re conflict of interest register email and register form - coordinate Guia's promotion (seek approvla and prepare letter) - check CM's requirements, confirm starting date - coordinate new HMO ID to Intellicare AM - respond to general queries</t>
  </si>
  <si>
    <t>Clear AP inbox and Submit bill for approval in Xero</t>
  </si>
  <si>
    <t>AP and Manual Journals</t>
  </si>
  <si>
    <t>Add new account in CoA, Email/Inbox Management and Manual Journals</t>
  </si>
  <si>
    <t>Emails and Re-code Transactions</t>
  </si>
  <si>
    <t>Meeting with Nicole</t>
  </si>
  <si>
    <t>Set automatic replies in Outlook and Complete timesheet in XPM</t>
  </si>
  <si>
    <t>Engagement Activity</t>
  </si>
  <si>
    <t>Review of Guide Us for Global HR policies and communication to the business re. required adherance Email introduction re. recruitment</t>
  </si>
  <si>
    <t>Coordinate interview - Warehouse role Correspondence re. email accounts for warehouse team Onboarding process for newhire</t>
  </si>
  <si>
    <t>setup external teams with Capspace team</t>
  </si>
  <si>
    <t>email, unit register rec</t>
  </si>
  <si>
    <t xml:space="preserve">month end </t>
  </si>
  <si>
    <t>loans rec, units register rec, double check files received</t>
  </si>
  <si>
    <t>unit register rec</t>
  </si>
  <si>
    <t>chats, emails, Asana</t>
  </si>
  <si>
    <t>check Irish's deliverables next week and confirm back ups, as required, check BAS, etc</t>
  </si>
  <si>
    <t>chats, update weekly huddle file, emails, capacity, etc</t>
  </si>
  <si>
    <t>Weekly huddle</t>
  </si>
  <si>
    <t>Checking supplier and account</t>
  </si>
  <si>
    <t>Entering bills and recon</t>
  </si>
  <si>
    <t>Exporting bank transactions for updating bank recon.</t>
  </si>
  <si>
    <t>Checking ASANA and other Admin task</t>
  </si>
  <si>
    <t xml:space="preserve">Weekly Huddle </t>
  </si>
  <si>
    <t>February Engagement Activity.</t>
  </si>
  <si>
    <t>Second CFO session to walk through business priority areas and future plan. Elena and Carly attended. Only charge for one person.</t>
  </si>
  <si>
    <t>Simpro vs Xero Reconciliation</t>
  </si>
  <si>
    <t xml:space="preserve">Team Ann weekly huddle </t>
  </si>
  <si>
    <t xml:space="preserve">Valentine's Day Theme Trivia (Social Clubs) </t>
  </si>
  <si>
    <t>checking client account</t>
  </si>
  <si>
    <t>Emails, loading bills, bank recon, AP file</t>
  </si>
  <si>
    <t>Emails, loading bills, bank recon, weekly reports, AP payment</t>
  </si>
  <si>
    <t>weekly payroll</t>
  </si>
  <si>
    <t>Attend second CFO meeting. Follow-up email to the client with requirements</t>
  </si>
  <si>
    <t>Update BIMAH project tracking Meeting with Eli re: aligning P&amp;L reporting to trust deed + options Update FY24 TGSF forecast, amend Xero for clarity, discuss draft with Eli, make further changes + resubmit</t>
  </si>
  <si>
    <t>Financial Statements</t>
  </si>
  <si>
    <t xml:space="preserve">preparation of 2023 F/S and send to Rebecca for review; finalise billings </t>
  </si>
  <si>
    <t>Trust Tax Returns</t>
  </si>
  <si>
    <t xml:space="preserve">phone call with James regarding his meeting discussions with Anthony\ draft an email for James to email to Anthony which includes relevant law, fact, and questions to ask Anthony regarding losses, PSI and BRE rates. </t>
  </si>
  <si>
    <t>accts review</t>
  </si>
  <si>
    <t>outstanding bills</t>
  </si>
  <si>
    <t>MET</t>
  </si>
  <si>
    <t>check emails/teams, team reminders</t>
  </si>
  <si>
    <t>VALENTINE'S DAY THEME TRIVIA - February Engagement Activity</t>
  </si>
  <si>
    <t>team Ann</t>
  </si>
  <si>
    <t>upload &amp; approval</t>
  </si>
  <si>
    <t>bank approval</t>
  </si>
  <si>
    <t>ap payment</t>
  </si>
  <si>
    <t>Review BS recon</t>
  </si>
  <si>
    <t>approve ap invoice process ap invoice from inbox</t>
  </si>
  <si>
    <t>call with Ms.Rose (hand over)</t>
  </si>
  <si>
    <t>Waterstone Pty. Limited</t>
  </si>
  <si>
    <t>Bank recs</t>
  </si>
  <si>
    <t>Checking asana tasks and creating a list of tasks for next week due to leave</t>
  </si>
  <si>
    <t>Cashflow update</t>
  </si>
  <si>
    <t>BS Rec</t>
  </si>
  <si>
    <t>Team Engagement activity</t>
  </si>
  <si>
    <t>Clearing payroll inbox</t>
  </si>
  <si>
    <t>AL/LSL accrual</t>
  </si>
  <si>
    <t>Checking emails and reports</t>
  </si>
  <si>
    <t>Exporting &amp; saving Payroll reports, PAYG Rec</t>
  </si>
  <si>
    <t>Payroll journals</t>
  </si>
  <si>
    <t>chat with Rac, holdsworth month end</t>
  </si>
  <si>
    <t>emails/ asana and XPM</t>
  </si>
  <si>
    <t>complete self review</t>
  </si>
  <si>
    <t>review process flows provided by Ali</t>
  </si>
  <si>
    <t>continue reviewing process flows</t>
  </si>
  <si>
    <t>review process flows</t>
  </si>
  <si>
    <t>assist Rac management reporting - dashboard</t>
  </si>
  <si>
    <t>enaggement activity</t>
  </si>
  <si>
    <t>assist Rac on payroll</t>
  </si>
  <si>
    <t>Forgot to Time stamp</t>
  </si>
  <si>
    <t>Engagement</t>
  </si>
  <si>
    <t>Team RJ</t>
  </si>
  <si>
    <t>Phone screen - Finance role</t>
  </si>
  <si>
    <t>Phone screen x 1</t>
  </si>
  <si>
    <t xml:space="preserve">Contracts x 3 Addendum x 1 Letter of support - visa/sponsorship Pavan Soma </t>
  </si>
  <si>
    <t>Phone screens Finance Role</t>
  </si>
  <si>
    <t xml:space="preserve">Mgt with Head HR Mtg with Head HR &amp; COO Phone Screen - Abhishek </t>
  </si>
  <si>
    <t>AP items, bank recon</t>
  </si>
  <si>
    <t>Finishing up all reconciling item sent by client for January 2024</t>
  </si>
  <si>
    <t>CC Recon, AP Emails, Emails queries</t>
  </si>
  <si>
    <t>Finalise BS Recon for Livwire &amp; Fintech sent to Shalini for review.</t>
  </si>
  <si>
    <t>AP Bills Review</t>
  </si>
  <si>
    <t>Team weekly catch-up</t>
  </si>
  <si>
    <t>Run: LOC Part 1 and 2 Testing: Email Trigger Automation BIT Meeting Conduct Weekly Commit in GitHub</t>
  </si>
  <si>
    <t>Nine / Ten accounts reveiw</t>
  </si>
  <si>
    <t>SEt up new VA and pay via Airwallex plus Azariah payment</t>
  </si>
  <si>
    <t>Determine accounts and process for Nine / Ten payments</t>
  </si>
  <si>
    <t>Call to Emma Mulhollland re fees - VM</t>
  </si>
  <si>
    <t>Emails, review PHG ff proposal, teams message</t>
  </si>
  <si>
    <t>Call with client re Nine / Ten advertiting</t>
  </si>
  <si>
    <t>Catch up meeting wtth client</t>
  </si>
  <si>
    <t>Emails, teams</t>
  </si>
  <si>
    <t>Teams messages and check email</t>
  </si>
  <si>
    <t>Teams, update to OneFocus group re handover to Nicole.</t>
  </si>
  <si>
    <t>Social event</t>
  </si>
  <si>
    <t>BAS checklist and send to team</t>
  </si>
  <si>
    <t>Meeting with Ali</t>
  </si>
  <si>
    <t>Review costing issues</t>
  </si>
  <si>
    <t>Creation of budget FY2025 template - not strictly in scope of service but given errors identified in journals include as part of fixed fee.</t>
  </si>
  <si>
    <t>Conflict of Interest Form (None) - Dexterous</t>
  </si>
  <si>
    <t>Test Login 'CV Check' &amp; Manager Approvals - Ze</t>
  </si>
  <si>
    <t>Discuss 'CV Check' Process &amp; Compliance Protocols (William) - Ze</t>
  </si>
  <si>
    <t>Trivia - February 2024 Engagement Activity - Dexterous</t>
  </si>
  <si>
    <t>Obtain Qualifications &amp; Police Check Permission (William) - Accountant - Nederman - Alison &amp; Ze</t>
  </si>
  <si>
    <t xml:space="preserve">Adjust Start Date 19/02/2024 (Zeljko) - Workshop Hand/Storeperson - VIC - Nordfab - Alison	</t>
  </si>
  <si>
    <t>Schedule &amp; Confirm Face-to-Face Interview (David) - Factory Hand/Warehouse Assistant - NSW - Nordfab - Alison</t>
  </si>
  <si>
    <t>Telephone Screen - Sheet Metal Worker (Younes) - NSW - Nordfab - Alison</t>
  </si>
  <si>
    <t>Responding to Irish's query</t>
  </si>
  <si>
    <t>Catch up with Irish</t>
  </si>
  <si>
    <t>Attending to Gen's queries and Shalini too.</t>
  </si>
  <si>
    <t>Attending to Irish Queries and generating reports</t>
  </si>
  <si>
    <t>Meeting with MaryAnne</t>
  </si>
  <si>
    <t>Catch up meeting with Finance Team</t>
  </si>
  <si>
    <t xml:space="preserve">15 mins coffee breaks as paid per Labor Code of the Philippines, Article 85. ( Afternoon Break )  </t>
  </si>
  <si>
    <t xml:space="preserve">15 mins coffee breaks as paid per Labor Code of the Philippines, Article 85. ( Morning Break ) </t>
  </si>
  <si>
    <t>Xero updates</t>
  </si>
  <si>
    <t>Recieved email from Sylie regarding BAS under THE TRUSTEE FOR CAPSPACEPRIVATE DEBT FUND</t>
  </si>
  <si>
    <t>Variance Further digging</t>
  </si>
  <si>
    <t>ASANA slow moving and downtime</t>
  </si>
  <si>
    <t>&gt;Morning email &gt;Asana Troubleshooting &gt;ReUpdating Asana &gt;Slow internet connection</t>
  </si>
  <si>
    <t>Team Activity</t>
  </si>
  <si>
    <t>Other adhoc</t>
  </si>
  <si>
    <t>&gt;BAS/IAS transition &gt;Responding to queries &gt;Sent an email to Dex team &gt;Updates Asana</t>
  </si>
  <si>
    <t>Team Global meeting</t>
  </si>
  <si>
    <t>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t>
  </si>
  <si>
    <t>Inbox clean up</t>
  </si>
  <si>
    <t>Event - Feb 2024</t>
  </si>
  <si>
    <t>1:1 with Ralph</t>
  </si>
  <si>
    <t>Team Huddle, includes emails/inbox clean up and Asana</t>
  </si>
  <si>
    <t>Meeting to discuss tax follow up email with James Livingston review ATO accounts Msg Gen re: GIC  Check BAS &amp; pass onto Tim for prep</t>
  </si>
  <si>
    <t>Team activity</t>
  </si>
  <si>
    <t>Compliance - 2316 checking / signature</t>
  </si>
  <si>
    <t>team activity</t>
  </si>
  <si>
    <t>emails / payroll approval / AP booking</t>
  </si>
  <si>
    <t>admin catch up</t>
  </si>
  <si>
    <t>month-end / consolidation / online request to add Ali in BDO online banking / AU payroll dispute form</t>
  </si>
  <si>
    <t>Bank reconciliation</t>
  </si>
  <si>
    <t>Balance Sheet Reconciliation BM</t>
  </si>
  <si>
    <t>Continuation of BS Recs for LOC Inc Email Management Bills raise to Xero Bank Reconciliation Loc Inc and BM Approving sales to a2x Balance Sheet reconciliation BM</t>
  </si>
  <si>
    <t>Social Clubs - Engagement Activity</t>
  </si>
  <si>
    <t>Support with team</t>
  </si>
  <si>
    <t xml:space="preserve">Balance Sheet Recon </t>
  </si>
  <si>
    <t>Email Management Bills Processing Bank and Credit Card Recon</t>
  </si>
  <si>
    <t>Bills Processing Supplier's Batch Payment  Bank Recon</t>
  </si>
  <si>
    <t xml:space="preserve">Call meeting with LM re: Richbox BAS  Email Management Asana Task clean up  Dexterous Team Engagement Activity </t>
  </si>
  <si>
    <t>Team Ann Weekly Huddle meeting</t>
  </si>
  <si>
    <t>Update Asana tasks</t>
  </si>
  <si>
    <t>AP Run for the week, prepare BDO files and request to Nick</t>
  </si>
  <si>
    <t>Catch up emails./bank recs update/process bills also.</t>
  </si>
  <si>
    <t>BIR working file preparation for 0619E and 1601C for January 2024 and initial filing (for review) - RO - done 05 Feb 2024</t>
  </si>
  <si>
    <t>BIR working file preparation for 0619E and 1601C for the month of January 2024 and initial filing (for review) - PH Branch - done 05 Feb 2024</t>
  </si>
  <si>
    <t>Valentine's Day Trivia</t>
  </si>
  <si>
    <t>Coordination, checking, reuploading and email Nick/Con  for the status</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</si>
  <si>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t>
  </si>
  <si>
    <t>bank reco and supplier bills</t>
  </si>
  <si>
    <t>watching video</t>
  </si>
  <si>
    <t>IAS/BAS Preparation &amp; Lodgement - Feb</t>
  </si>
  <si>
    <t>review PL and follow up on invoices</t>
  </si>
  <si>
    <t>stripe reco</t>
  </si>
  <si>
    <t>Bne and BGS filing to ato and payslips</t>
  </si>
  <si>
    <t>Review of new marketing strategy</t>
  </si>
  <si>
    <t>Meeting with Aileen on insurance and manual journals and checks from AgriCHain</t>
  </si>
  <si>
    <t>emails, teams, Asana follow up on month end</t>
  </si>
  <si>
    <t>Meeting with Stuart on month end</t>
  </si>
  <si>
    <t>monthly engagement meeting</t>
  </si>
  <si>
    <t>Supplier Recs January</t>
  </si>
  <si>
    <t xml:space="preserve">AP, emails and Supplier Recs </t>
  </si>
  <si>
    <t>sending email invite and asana</t>
  </si>
  <si>
    <t>wyzed</t>
  </si>
  <si>
    <t>Dext - wyzed</t>
  </si>
  <si>
    <t>Team Ann huddle</t>
  </si>
  <si>
    <t>Updates payroll changes in casuals</t>
  </si>
  <si>
    <t>Emails - admin matters Asana Wyzed</t>
  </si>
  <si>
    <t>Performance pro for regularisation Client profitabilty dashboard</t>
  </si>
  <si>
    <t>Staff prep for holiday New updates for XPM reporting from Nick Asana weekly team review Sprout approvals</t>
  </si>
  <si>
    <t>Revising CPR and billable report Quickbooks cert Xero cert</t>
  </si>
  <si>
    <t>Dex engagement activirty</t>
  </si>
  <si>
    <t>regular catch-up with Ali</t>
  </si>
  <si>
    <t>monthly 1:1 Lindsay</t>
  </si>
  <si>
    <t>Weekly team huddle</t>
  </si>
  <si>
    <t>Average receivable days report</t>
  </si>
  <si>
    <t>Call with Ge to give overview of the tasks and client</t>
  </si>
  <si>
    <t>Book bills for Shirley</t>
  </si>
  <si>
    <t>Month end - call with Maan to fix variance in FAR</t>
  </si>
  <si>
    <t>Feb engagement activity</t>
  </si>
  <si>
    <t>Review payroll, load payment, email Dominic</t>
  </si>
  <si>
    <t>Review payroll journlals</t>
  </si>
  <si>
    <t>Payroll journal reports export and send to Edz for automation</t>
  </si>
  <si>
    <t>Hours worked report FY19 to FY23</t>
  </si>
  <si>
    <t>Review Max's query on FBT and check CCH guidance Request Shalini for contact number for Max to outline FBT</t>
  </si>
  <si>
    <t>Add CAPSPACE PRIVATE DEBT FUND to portal and email Sylvie re o/s BAS</t>
  </si>
  <si>
    <t>Post AL and LSL journal</t>
  </si>
  <si>
    <t>AR, AP Inbox mgmt</t>
  </si>
  <si>
    <t>AR, AP, and bank rec Cashflow update</t>
  </si>
  <si>
    <t>AP run and cashflow file update</t>
  </si>
  <si>
    <t>Review accounts Balance sheet rec</t>
  </si>
  <si>
    <t>Engagement activity</t>
  </si>
  <si>
    <t>Team Ralph huddle</t>
  </si>
  <si>
    <t>Review payroll Send report and bank file to Ash</t>
  </si>
  <si>
    <t>Catch-up with Logika re update, GST issues, tax returns, next course of action etc</t>
  </si>
  <si>
    <t>Upload payables, email Zoe. Calls to Bendigo bank and Suncorp re cc for business, process etc. Send information to Zoe</t>
  </si>
  <si>
    <t>Various internal emails, Mel, team etc</t>
  </si>
  <si>
    <t>Liaise with Gen and Rose re GST and PAYG Withholding cancellation etc</t>
  </si>
  <si>
    <t>Social team event</t>
  </si>
  <si>
    <t>discuss with Ann  month end recs</t>
  </si>
  <si>
    <t xml:space="preserve">queries AP- GST for CPDF- </t>
  </si>
  <si>
    <t>Call ATO re GIC - email Stephen &amp; Sam</t>
  </si>
  <si>
    <t>AP emails, allocate labels in accounts, general emails</t>
  </si>
  <si>
    <t>Inform clients of PH Philippines</t>
  </si>
  <si>
    <t>emails Stephen and nick re ASIC deregistration fees</t>
  </si>
  <si>
    <t>emails, IAS process, review AP</t>
  </si>
  <si>
    <t>ASIC deregistration RIL x 2- fee &amp; process proposal</t>
  </si>
  <si>
    <t>Scope review, email Shalini</t>
  </si>
  <si>
    <t>CPDF - Nil BAS - nominate Dext as ASIC agent, liaise with shalini and Tim</t>
  </si>
  <si>
    <t>Liaise with Ann re month end - Mark B re Teams- new teams group for Capspace</t>
  </si>
  <si>
    <t>teams, emails, update Asana, timesheet</t>
  </si>
  <si>
    <t xml:space="preserve">- follow up confirmation of CN to Intellicare - communicate Police Check to Kim and Jordan - check competencies on PerfPro for TLs and Gen - finalize promotion letters - </t>
  </si>
  <si>
    <t>- check Sherly's requirements - post job advert for Payroll Specialist and AP Specialist - review applications sent on Seek - draft IA promotion letters</t>
  </si>
  <si>
    <t>Public Holiday - Leave</t>
  </si>
  <si>
    <t>PH Holiday - Chinese New Year</t>
  </si>
  <si>
    <t>Australian Management Committee meeting</t>
  </si>
  <si>
    <t>Correspondence and call with Accounting Manager re. staff concerns Call with manager re. employee attendance concerns</t>
  </si>
  <si>
    <t>Correspondence re. performance reviews Correspondence re. IT setup for warehouse staff</t>
  </si>
  <si>
    <t>Ph holiday</t>
  </si>
  <si>
    <t>Chinese New Year</t>
  </si>
  <si>
    <t>Run four Alliance automations + AP automation</t>
  </si>
  <si>
    <t>PH holiday - Chinese New Year</t>
  </si>
  <si>
    <t>inbox process ap invoices emails</t>
  </si>
  <si>
    <t>ap report export aba file emails</t>
  </si>
  <si>
    <t>Holiday</t>
  </si>
  <si>
    <t>Philippines Public Holiday</t>
  </si>
  <si>
    <t>PH Holiday</t>
  </si>
  <si>
    <t>PHILIPPINE HOLIDAY:  Chinese New Year</t>
  </si>
  <si>
    <t>Philippine Public Holiday</t>
  </si>
  <si>
    <t>Call and resoluation for E Poland super overpaymetn Not billable</t>
  </si>
  <si>
    <t xml:space="preserve">Review BS and email client </t>
  </si>
  <si>
    <t xml:space="preserve">Nine Ten reconciliaiton </t>
  </si>
  <si>
    <t>Load payments to bank Load AMex payment and ATO payment Gen's email re Director info for ASIC and email to Lucia Complete 3H group cancellation of GST group and email to Lucia</t>
  </si>
  <si>
    <t>Luminary mindset - review info, email re access  to accountant for docs</t>
  </si>
  <si>
    <t>Meeting with Nick / Zoe from Luminary Mindset</t>
  </si>
  <si>
    <t>Check Asana tasks - send client feedback surveys</t>
  </si>
  <si>
    <t>Emails, add OOO to Prime build</t>
  </si>
  <si>
    <t>Emails, teams messages</t>
  </si>
  <si>
    <t>Monthly BAS checklist and review</t>
  </si>
  <si>
    <t>Add journal to Xero and email client for paymetn</t>
  </si>
  <si>
    <t xml:space="preserve"> Add journal, email client for payment</t>
  </si>
  <si>
    <t xml:space="preserve">Check adjustment </t>
  </si>
  <si>
    <t xml:space="preserve">Candidate Enquiry (David) - Factory Hand/Warehouse Assistant - NSW - Nordfab - Alison	</t>
  </si>
  <si>
    <t>Chat message with Shalini</t>
  </si>
  <si>
    <t>Attending to Shalini's queries</t>
  </si>
  <si>
    <t>Fixing XPM and Asana updates</t>
  </si>
  <si>
    <t xml:space="preserve">&gt;	Organizing folders in Outlook for each client. &gt;	Adding labels to keep things neat and tidy per client. &gt;	Doing some email spring cleaning and other odds and ends. &gt;	Keeping up with tasks on Asana. </t>
  </si>
  <si>
    <t>Xero setting and XPM updates</t>
  </si>
  <si>
    <t>Asana updates and checking emails</t>
  </si>
  <si>
    <t xml:space="preserve">Xero setting and fixing XPM. </t>
  </si>
  <si>
    <t>Reupdates due to adjustments</t>
  </si>
  <si>
    <t xml:space="preserve">Digging of variances. </t>
  </si>
  <si>
    <t>BAS process, XPM error, Email checking, Xero setting</t>
  </si>
  <si>
    <t>Outstanding Balance ATO recon for all clients. ( Initial Review )</t>
  </si>
  <si>
    <t>weekly meeting / emails</t>
  </si>
  <si>
    <t>call with Rejie</t>
  </si>
  <si>
    <t xml:space="preserve">month-end journals, AL, SL, WIP / customer onboarding </t>
  </si>
  <si>
    <t>Public Holiday Leave</t>
  </si>
  <si>
    <t xml:space="preserve">Send emails re: CY2023 BIR Form 2316 to all employees </t>
  </si>
  <si>
    <t>processing supplier bills</t>
  </si>
  <si>
    <t xml:space="preserve">processing payments </t>
  </si>
  <si>
    <t>watching bank rec &amp; rev video</t>
  </si>
  <si>
    <t>watching moody wex files</t>
  </si>
  <si>
    <t>JC advance pay</t>
  </si>
  <si>
    <t>follow up on BAS follow up tasks, emails from Aileen</t>
  </si>
  <si>
    <t>check of model</t>
  </si>
  <si>
    <t>Processed Invocie and tasks</t>
  </si>
  <si>
    <t>Processed unscheduled payrun Answered emails re payroll</t>
  </si>
  <si>
    <t>Meeting With CFO and Admin Team (James, Daniela and Craig)</t>
  </si>
  <si>
    <t>Upload aba file and advise Neeti</t>
  </si>
  <si>
    <t>Upload payroll and email Zoe</t>
  </si>
  <si>
    <t>Attend to query from client re employee policies etc and send quote. Liaise with Ali re same</t>
  </si>
  <si>
    <t>Review EOM reports for Jan 2024. Send feedback to team</t>
  </si>
  <si>
    <t>Review cahsflow, ATO payment plan online. Send details to Sarah</t>
  </si>
  <si>
    <t>Phone meeting with Li-Ann re sale of business. Attend to emails from Li-Ann. Send email to James re final steps etc</t>
  </si>
  <si>
    <t>Attend to emails re ASIC, fee for nil BAS, debtors</t>
  </si>
  <si>
    <t xml:space="preserve">Phone call with Nick re Food Rascal fixed fee, respond to Rob's email, chase for outstanding invoices, update repeating invoice template, send out invoice for 07/02/2024 </t>
  </si>
  <si>
    <t>Review GST discrepancy, ask LM to update AP report. Take up GST adj in Dec quarter BAS. Review and lodgement</t>
  </si>
  <si>
    <t>Finalise BAS WPS for Dec 2023 quarter</t>
  </si>
  <si>
    <t>Journals to allocate payroll Oct and Jan to correct period- BAM + BELCR - create Asana tasks for April and June payroll</t>
  </si>
  <si>
    <t>email new Xero entity</t>
  </si>
  <si>
    <t>emails- AP, ASIC</t>
  </si>
  <si>
    <t>Update Asana, email to Rachele and sarah</t>
  </si>
  <si>
    <t>timesheet, Asana</t>
  </si>
  <si>
    <t>Email re NIL BAS for CPDF</t>
  </si>
  <si>
    <t>Respond to Sylvie's email re franking credits and treatment for non-residents</t>
  </si>
  <si>
    <t>Recode transactions</t>
  </si>
  <si>
    <t>Bank Reconciliation and Emails</t>
  </si>
  <si>
    <t>AR and Bank Reconciliation</t>
  </si>
  <si>
    <t>AP and Bank Reconciliation</t>
  </si>
  <si>
    <t>AP, CoA, Emails, Manual Journals, and Re-coding</t>
  </si>
  <si>
    <t>AP, Bank Reconciliation, and Email/Inbox Management</t>
  </si>
  <si>
    <t>Check commodity balance in Xero vs AgriChain</t>
  </si>
  <si>
    <t>Handover with Charmie</t>
  </si>
  <si>
    <t>Draft record retention policy</t>
  </si>
  <si>
    <t>Employee Referral Policy Organising goal setting workshops</t>
  </si>
  <si>
    <t>Coaching re. people matters Draft letter re. invitation to attend disciplinary meeting</t>
  </si>
  <si>
    <t>Call re. Sydney operations Draft correspondence for Accounting Manager re. warehousing issues</t>
  </si>
  <si>
    <t>Correspondence re. employee attendance concerns Advertisements for current vacancies</t>
  </si>
  <si>
    <t>Call with Aileen re queries</t>
  </si>
  <si>
    <t>Check Tasman Agri queries/Asana</t>
  </si>
  <si>
    <t>chats, concerns - securenotes, Asana, respond to queries</t>
  </si>
  <si>
    <t>Asana, chats, follow ups</t>
  </si>
  <si>
    <t>chats, emails, Sprout, timesheets, etc</t>
  </si>
  <si>
    <t>call with Xavi</t>
  </si>
  <si>
    <t>call with Aileen re tasks</t>
  </si>
  <si>
    <t>call with Nicole re Tasman</t>
  </si>
  <si>
    <t>Checking emails and entering bills, sending AP reports. Set up payments</t>
  </si>
  <si>
    <t>Checking files for Final Handover - Pelan and Harmony</t>
  </si>
  <si>
    <t>Final Handover of Harmony Build Pty Ltd</t>
  </si>
  <si>
    <t xml:space="preserve">Multiple meetings to confirm details / points for manual  continuation of remaining flows and manuals </t>
  </si>
  <si>
    <t>Preparation and Reviewing of EFT list for weekly Payrun</t>
  </si>
  <si>
    <t>Posting of Invoices</t>
  </si>
  <si>
    <t>Booked A/R and Invoices</t>
  </si>
  <si>
    <t xml:space="preserve">WEX Bill Importation File-Send to Steph  Booked Invoices Expense Claims  Handover with Aileen </t>
  </si>
  <si>
    <t>Handover with Aileen</t>
  </si>
  <si>
    <t>Starleaton NZ Limited</t>
  </si>
  <si>
    <t xml:space="preserve">Run Marsill Automation; </t>
  </si>
  <si>
    <t xml:space="preserve">Alliance Automation Part 2 Development </t>
  </si>
  <si>
    <t>Checking Op Warrawong and Op Ulladulla accounts</t>
  </si>
  <si>
    <t>Loading bills form HubDoc, bank recon</t>
  </si>
  <si>
    <t>Email management, loading bills and invoices, bank recon, month end tasks</t>
  </si>
  <si>
    <t>Set-up introduction meeting with the team (Xavier/Irish), request Xero access (Mark)</t>
  </si>
  <si>
    <t>Close off TGS Jan'24 results</t>
  </si>
  <si>
    <t>bill adjustment</t>
  </si>
  <si>
    <t>BS rec review</t>
  </si>
  <si>
    <t>inbox/queries</t>
  </si>
  <si>
    <t>holiday bill dispute</t>
  </si>
  <si>
    <t>reminders, emails, COI, queries</t>
  </si>
  <si>
    <t>call w/Ann</t>
  </si>
  <si>
    <t>- ASIC - Emails - Search for Mark's wife gift who just gave birth. - ATO</t>
  </si>
  <si>
    <t>checking of unreconciled items bank recon</t>
  </si>
  <si>
    <t>bank recon Emails import ap invoices</t>
  </si>
  <si>
    <t>ap invoices</t>
  </si>
  <si>
    <t>hand over</t>
  </si>
  <si>
    <t>prepare super rec</t>
  </si>
  <si>
    <t>review payroll process flow</t>
  </si>
  <si>
    <t>continue to review process flows, superannuation rec standard doc</t>
  </si>
  <si>
    <t>finalise super rec template, super processing</t>
  </si>
  <si>
    <t>emails, asana, chats, review process flows, drafting superannuation rec and process docs</t>
  </si>
  <si>
    <t>performance pro go through with Ralph</t>
  </si>
  <si>
    <t>Shortlisting &amp; coordinating interviews - Finance role Inbox tasks, HR BAU Task allocations for Louie Developing interview structure for 1st and 2nd stage interviews - Finance role</t>
  </si>
  <si>
    <t>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t>
  </si>
  <si>
    <t>Payment Logic for AP bills of client</t>
  </si>
  <si>
    <t>bank recon, invisalign invoices check</t>
  </si>
  <si>
    <t>bank recon, dext prep</t>
  </si>
  <si>
    <t>AP Items process &amp; email client for list, bank recon</t>
  </si>
  <si>
    <t>Dext prep. bank recon</t>
  </si>
  <si>
    <t>AP Emails, Adjustments to BS rec (Fintech &amp; Livewire), bills processing</t>
  </si>
  <si>
    <t>Reconciling FY22 &amp; 23 for CC6146, AP Emails sort</t>
  </si>
  <si>
    <t>Recon of CC, AP emails, bills from procore</t>
  </si>
  <si>
    <t>Call with April, shadowing on Harmony Build client on tasks, finalise some transfer of tasks. Requesting credentials.</t>
  </si>
  <si>
    <t>Fintech Equity Pty Ltd - Bank Reconciliation - Automation</t>
  </si>
  <si>
    <t>Run: LOC Dev: Kick-off meeting PrimeBuild Payroll Processing Report Automation Support: Trial Balance and Cashraw Report November</t>
  </si>
  <si>
    <t>Non billable - fixing error - letter for employee re overpaymetn of super</t>
  </si>
  <si>
    <t>Review ANZ to update payroll details for Tyson</t>
  </si>
  <si>
    <t xml:space="preserve">Zambrero invoices for Jan and process updates </t>
  </si>
  <si>
    <t>Nine / Ten</t>
  </si>
  <si>
    <t>Luminary mindset - set up accounts email, Xero file and secure note, message to Shalini re onboarding</t>
  </si>
  <si>
    <t>Em on Hol invocing, uidate tasks, emails</t>
  </si>
  <si>
    <t>Review of client invoicing and liaise with Mel issue invoices</t>
  </si>
  <si>
    <t>Update ATO re 3H registration, authorised contact Save copies of tax etc. and updates to Emily for tax return.</t>
  </si>
  <si>
    <t>Meeting with Matt</t>
  </si>
  <si>
    <t>Finance team meeting and folow up</t>
  </si>
  <si>
    <t>Filing from downloads</t>
  </si>
  <si>
    <t>Teams calendar and emails</t>
  </si>
  <si>
    <t>Team meeting, call wtih Carly</t>
  </si>
  <si>
    <t>Reveiw leave liability query from Rose</t>
  </si>
  <si>
    <t>Update process notes for handover</t>
  </si>
  <si>
    <t>Lachlan Smith, Milenko PAYG issues - email with Mahendra</t>
  </si>
  <si>
    <t>Emails for PB - personal and Payroll REview timesheet approvals as requested by Alison for 3x staff</t>
  </si>
  <si>
    <t>Check emails, remove GT sal sac, email Steven re new employees</t>
  </si>
  <si>
    <t>REview AL report and emial to Mahendra. Email to Andrew re review</t>
  </si>
  <si>
    <t xml:space="preserve">Costing and timesheet approval queries </t>
  </si>
  <si>
    <t>Candidate Retention - Jessica</t>
  </si>
  <si>
    <t>Telephone Screens - Factory Hand/Warehouse Assistant (Gonzalo, David, Penaia, Marc &amp; Adam) - NSW - Nordfab - Alison</t>
  </si>
  <si>
    <t>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t>
  </si>
  <si>
    <t>Call with Reggie RE: Unrecorded transaction and others</t>
  </si>
  <si>
    <t>APE required by Dexterous. Last stage ( X-ray requirements )</t>
  </si>
  <si>
    <t>&gt;Social club and suggestion other games.  &gt;Other task not related to Social club ( Asana updates )</t>
  </si>
  <si>
    <t>Jan BAS 2024</t>
  </si>
  <si>
    <t xml:space="preserve">BAS process including fixing of XPM error </t>
  </si>
  <si>
    <t>Digging of 1.6 payroll variance</t>
  </si>
  <si>
    <t>Asana error</t>
  </si>
  <si>
    <t xml:space="preserve">Xero Downtime: BAS unable to retrieve. </t>
  </si>
  <si>
    <t>Fixing ASANA issue and error</t>
  </si>
  <si>
    <t>&gt;Monitoring updates  &gt;Chat with Mariecon, Chat with Sarah &amp; Chat with Mel &gt;Reading emails and responding &gt;ASANA updates &gt;Chat with Gen &gt;RTO sched &gt;XPM updates &gt;Other adhoc.</t>
  </si>
  <si>
    <t>Weekly team meeting</t>
  </si>
  <si>
    <t xml:space="preserve">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t>
  </si>
  <si>
    <t>emails, asana</t>
  </si>
  <si>
    <t>email clean up/asana</t>
  </si>
  <si>
    <t>SSS &amp; PHIC payment / emails</t>
  </si>
  <si>
    <t>call with Rejie / call with Charm / call with Lindz</t>
  </si>
  <si>
    <t>summary quotation received / COA, TOIL, timesheet submission / Monthly Reporting</t>
  </si>
  <si>
    <t>month-end / call with James / call with Rejie / Deferred Revenue</t>
  </si>
  <si>
    <t xml:space="preserve">Bills raise to xero of postscript transactions Import CBA 7334 and reconciled Import paypal currencies and reconciled </t>
  </si>
  <si>
    <t>Email Management Bills raise to xero Bank Reconciliation BM  Balance Sheet reconciliation - Paypal account</t>
  </si>
  <si>
    <t xml:space="preserve">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t>
  </si>
  <si>
    <t>Checked the employee list</t>
  </si>
  <si>
    <t>Paternity Leave</t>
  </si>
  <si>
    <t xml:space="preserve">Email Management Bills Processing Bank Recon Preparation of  unreconciled bank transactions and AP Report  </t>
  </si>
  <si>
    <t>Bills Processing Preparation of Unreconciled Bank Items and AP reports   Bank Recon Bill Processing Email Management</t>
  </si>
  <si>
    <t xml:space="preserve">Closing January Bank recon  Email Management Bill Processing  Invoice Processing Bank/Credit Card Recon </t>
  </si>
  <si>
    <t xml:space="preserve">Processing of Payroll for both Admin and Choir  Rabbi Packages  Month End Journals and Adjustments </t>
  </si>
  <si>
    <t>Compliance invoicing update/Ezidebit update/accounts email checking/bank recs update/Weekly invoicing and sending out to CM for approval and other request internally.</t>
  </si>
  <si>
    <t>Catch up all emails/Attend and respond to each queries. Escalate and coordinate all necessary information or updates that needs to be done.</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</si>
  <si>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t>
  </si>
  <si>
    <t>Meeting with Ann on times for Aileen and best approach on Asana tasks</t>
  </si>
  <si>
    <t>unpaid invoice analysis</t>
  </si>
  <si>
    <t>month end</t>
  </si>
  <si>
    <t>budget review emails</t>
  </si>
  <si>
    <t>weekly Sydney meeting</t>
  </si>
  <si>
    <t>email - connected</t>
  </si>
  <si>
    <t>connected culture</t>
  </si>
  <si>
    <t>AP, draft</t>
  </si>
  <si>
    <t>BR, email</t>
  </si>
  <si>
    <t>AP files</t>
  </si>
  <si>
    <t>dext, review connected culture process for back up</t>
  </si>
  <si>
    <t>Thiha Hoe, leave loading update and Backpay</t>
  </si>
  <si>
    <t>FT/PT</t>
  </si>
  <si>
    <t>Managing Inbox</t>
  </si>
  <si>
    <t>1) Update repeating invoice of office sub-lease 2) Bank recs</t>
  </si>
  <si>
    <t>Payroll adjustment and answering queries</t>
  </si>
  <si>
    <t>Sprout review - attendance and time logs</t>
  </si>
  <si>
    <t>CPR dashboard continued</t>
  </si>
  <si>
    <t>Billable reporting - weekly and monthly Sprout approvals XPM timesheets review and chasing reminders</t>
  </si>
  <si>
    <t>Dashboard creation project start</t>
  </si>
  <si>
    <t>Xero certification</t>
  </si>
  <si>
    <t>Meeting with Nica re: Performance Pro</t>
  </si>
  <si>
    <t>monthly 1:1 rose</t>
  </si>
  <si>
    <t>BS Rec file - Prepayments and Top customer</t>
  </si>
  <si>
    <t>Shadow and guide Gerardo in raising bills and checking statements</t>
  </si>
  <si>
    <t>Handover bills entering to Ge Enter bills for WPK</t>
  </si>
  <si>
    <t>Morning emails, update Asan from Firday, teams messages</t>
  </si>
  <si>
    <t>Check emails before loggin out, update asana,</t>
  </si>
  <si>
    <t>Queries from Allison and Bryce re timesheets location tagging</t>
  </si>
  <si>
    <t>Email from Ronnie re leave taken summary for Angelique S and Sukhdeep from 1 July 23 up to present. Export report and respond to email</t>
  </si>
  <si>
    <t>Set up new employee, respond to payroll emails</t>
  </si>
  <si>
    <t>AL report query from Mahendra, investigate variance, messages with kate</t>
  </si>
  <si>
    <t>Post IAS bills and reconcile BELCR PAYG account</t>
  </si>
  <si>
    <t>GST review</t>
  </si>
  <si>
    <t>Process docs</t>
  </si>
  <si>
    <t>Monthly BS rec</t>
  </si>
  <si>
    <t>Bank rec Post monthly AR invoice Update cashflow file Set up ATO payment plan</t>
  </si>
  <si>
    <t>Create process documents</t>
  </si>
  <si>
    <t>Accounts review BAS checklist</t>
  </si>
  <si>
    <t>Payroll reports</t>
  </si>
  <si>
    <t>Set up new employee Payroll tax rec</t>
  </si>
  <si>
    <t>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t>
  </si>
  <si>
    <t>Respond to Sack Me email re termination, final notice and Xero subs transfer.</t>
  </si>
  <si>
    <t xml:space="preserve">Icare invoices x 2 </t>
  </si>
  <si>
    <t>RIL ASIC: call Nick, get form 362, get tax returns, emails</t>
  </si>
  <si>
    <t>BELCR franking credit - update calculations- send to Stephen</t>
  </si>
  <si>
    <t>correct offsite costs and recharge</t>
  </si>
  <si>
    <t>Emails, liaise with team</t>
  </si>
  <si>
    <t>Catch up Stephen</t>
  </si>
  <si>
    <t>IT issues with Asana</t>
  </si>
  <si>
    <t xml:space="preserve">Update Asana, teams, emails </t>
  </si>
  <si>
    <t>Enter bill in Sage</t>
  </si>
  <si>
    <t>Submit bill for approval in Xero</t>
  </si>
  <si>
    <t>Upload contact details from AgriChain to Xero</t>
  </si>
  <si>
    <t>Add new accounts in CoA and Manual Journals</t>
  </si>
  <si>
    <t>Enter bills in Sage</t>
  </si>
  <si>
    <t>Check commodities balance in Xero vs AgriChain</t>
  </si>
  <si>
    <t xml:space="preserve">Check CreditorWatch bills, Emails, and Re-code transactions </t>
  </si>
  <si>
    <t>Admin emails</t>
  </si>
  <si>
    <t>Balance Sheet Reconciliation</t>
  </si>
  <si>
    <t>Weekly call with FD Overtime management policy</t>
  </si>
  <si>
    <t>Correspondence/calls re. disciplinary meeting</t>
  </si>
  <si>
    <t>Call/correspondence re. Sydney operations, recruitment and performance concerns Draft script re. performance concerns</t>
  </si>
  <si>
    <t>Weekly Finance/HR meeting Call with GM re. recruitment and resourcing concerns Correspondence re. recruitment</t>
  </si>
  <si>
    <t>chats, emails, check and sign ITR</t>
  </si>
  <si>
    <t>chats, call with Con re staff performance issues</t>
  </si>
  <si>
    <t>perfpro, emails, capacity, check concerns</t>
  </si>
  <si>
    <t>capacity file, review possible client movements, check how to improve weekly huddles, etc</t>
  </si>
  <si>
    <t>Quick catch up with Jim for Harmony Build - Payment set up</t>
  </si>
  <si>
    <t>Multiple meetings to confirm details / points for manual  continuation of remaining flows and manuals</t>
  </si>
  <si>
    <t xml:space="preserve">Multiple meetings to confirm details / points for manual  continuation of remaining flows and manuals  </t>
  </si>
  <si>
    <t>Verification of Bank Details</t>
  </si>
  <si>
    <t>Responding to James' comments on the EFT lists</t>
  </si>
  <si>
    <t xml:space="preserve">Batching of invoices for pay run </t>
  </si>
  <si>
    <t>Email Management</t>
  </si>
  <si>
    <t>Trupanion Handover with Lindsay</t>
  </si>
  <si>
    <t xml:space="preserve">Asana Checking Sprout Checking XPM  Transfer Asana Tasks Assigned to Handover Issues countered with the new assigned person </t>
  </si>
  <si>
    <t>Run four Alliance automations + AP automation;</t>
  </si>
  <si>
    <t>Alliance Automation Part 2 Developement</t>
  </si>
  <si>
    <t>Checking previous bal sheet recon</t>
  </si>
  <si>
    <t>Bal sheet recon</t>
  </si>
  <si>
    <t>Checking accounts of Oporto stores</t>
  </si>
  <si>
    <t>Handover with Gerardo</t>
  </si>
  <si>
    <t>The Trustee For Ackad Family Trust</t>
  </si>
  <si>
    <t>handover</t>
  </si>
  <si>
    <t>review TS/invoice</t>
  </si>
  <si>
    <t>Skype</t>
  </si>
  <si>
    <t>Ellis EComemrce - BAS Review</t>
  </si>
  <si>
    <t>queries and email</t>
  </si>
  <si>
    <t>emails/queries</t>
  </si>
  <si>
    <t>bills entry, bank rec</t>
  </si>
  <si>
    <t>RTO accom</t>
  </si>
  <si>
    <t xml:space="preserve">emails/ new outlook set-up and sign-ins </t>
  </si>
  <si>
    <t>CM/financials/GST review AAA</t>
  </si>
  <si>
    <t>CM/GST review</t>
  </si>
  <si>
    <t>financials review/ Judo/ queries</t>
  </si>
  <si>
    <t>bank recon import ap invoice from inbox</t>
  </si>
  <si>
    <t>import ap invoices</t>
  </si>
  <si>
    <t>import ap invoice</t>
  </si>
  <si>
    <t>bank recon emails import ap invoices ap report</t>
  </si>
  <si>
    <t>Call with Ms.Ef regarding hand over</t>
  </si>
  <si>
    <t>farewell cards</t>
  </si>
  <si>
    <t>chat with RJ - items in the client delivery chat with Rac  holdsowrth idle</t>
  </si>
  <si>
    <t>drafting form like scoping form</t>
  </si>
  <si>
    <t>idle</t>
  </si>
  <si>
    <t>build create scoping form</t>
  </si>
  <si>
    <t>review Jan accounts</t>
  </si>
  <si>
    <t>client engagement meeting</t>
  </si>
  <si>
    <t xml:space="preserve">QLD org change mtg WFH assessment allocations Onboarding issues - Donna LMS &amp; onboarding queries - training with Viv Review of Nailed It Program Inbox queries HR team daily mtg &amp; trainning Shortlisting finance CVs </t>
  </si>
  <si>
    <t>Dext prepare items, bank recon</t>
  </si>
  <si>
    <t>Bank recon, AP items, BS rec</t>
  </si>
  <si>
    <t>Dext Prepare, Payroll Prep for semi-month, bank recon</t>
  </si>
  <si>
    <t>AP Emails,  Hubdoc, procore invoices,</t>
  </si>
  <si>
    <t>Run: LOC Run: Holdsworth Automation Part 1 Dev: PrimeBuild Payroll Processing Report Automation</t>
  </si>
  <si>
    <t xml:space="preserve">Finalise rec for Nine / Ten and send to Lucia </t>
  </si>
  <si>
    <t>Emails, IAM Systems invoice</t>
  </si>
  <si>
    <t>BAS review and update to store purchase bills</t>
  </si>
  <si>
    <t>Meeting with Shalini re new client meeting / super Email re super to Nica / shalini etc - process client delivery meeting</t>
  </si>
  <si>
    <t>Checking contracts / pay rate audit, bill separately.</t>
  </si>
  <si>
    <t>Bill separately under pay rate audit.</t>
  </si>
  <si>
    <t>Pay rate audit</t>
  </si>
  <si>
    <t>Bill separately - pay rate audit project - complete addendum reviews and email to Andrew.</t>
  </si>
  <si>
    <t>Check emails and check timesheet approvals</t>
  </si>
  <si>
    <t>Update Tyson bank payment, email Julian for approval (plus reimbursement)  Add repeating journal for wages payment</t>
  </si>
  <si>
    <t>Payroll processing including handover to Nicole</t>
  </si>
  <si>
    <t>'CV Check' Purchase Credits (William) - Ze &amp; Jordan</t>
  </si>
  <si>
    <t>Teams Update - Alison</t>
  </si>
  <si>
    <t>Draft Employment Contract (Prajwal) - Technical Customer Service Coordinator - NSW - Nordfab - Alison</t>
  </si>
  <si>
    <t xml:space="preserve">Telephone Screens - Technical Customer Service Coordinator (Akhil &amp; Harsh) - NSW - Nordfab - Alison	</t>
  </si>
  <si>
    <t>Telephone Screens - Factory Hand/Warehouse Assistant (Apete, Jordan, Liang, Dennis &amp; Jameel) - NSW - Nordfab - Alison</t>
  </si>
  <si>
    <t>Attending to Rose's queries. ASANA updates</t>
  </si>
  <si>
    <t>Call with MaryAnn</t>
  </si>
  <si>
    <t>Client email</t>
  </si>
  <si>
    <t>Email, Asana updates, XPM slowness</t>
  </si>
  <si>
    <t>Attending to Jordan queries and having a call ( RE: Docsign</t>
  </si>
  <si>
    <t>Meeting with Shalini BAS concern and follow up</t>
  </si>
  <si>
    <t xml:space="preserve">Response to email and helping the client to resolve the XeroDocSign error. </t>
  </si>
  <si>
    <t>Asana update and inform the Dex team</t>
  </si>
  <si>
    <t>15 mins coffee breaks as paid per Labor Code of the Philippines, Article 85</t>
  </si>
  <si>
    <t>ASANA updates Top priorities, Strategies. and updating the Bookkeepers. Sent an email and response to them.</t>
  </si>
  <si>
    <t>IAS process</t>
  </si>
  <si>
    <t>BAS</t>
  </si>
  <si>
    <t>XPM error, BAS cehcklist</t>
  </si>
  <si>
    <t>BAS prep</t>
  </si>
  <si>
    <t>Lyndcote Pty Limited</t>
  </si>
  <si>
    <t>BAS prep, BAS checklist &amp; BAS recon sheet. Updating XPM</t>
  </si>
  <si>
    <t xml:space="preserve">Refreshing some learning about XeroDocSign </t>
  </si>
  <si>
    <t>Social Club meeting</t>
  </si>
  <si>
    <t>&gt; Meeting with Bern ( BAS flow chat and Quality control ) and giving here some sample in XPM and actual tutorial.</t>
  </si>
  <si>
    <t>Philippines</t>
  </si>
  <si>
    <t>2316 fill out and sign</t>
  </si>
  <si>
    <t>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t>
  </si>
  <si>
    <t>Call with Charmie to discuss AP/AR process</t>
  </si>
  <si>
    <t>Discuss payroll process with Charmie</t>
  </si>
  <si>
    <t>call with Carly / emails</t>
  </si>
  <si>
    <t>call with Ann / call with Z</t>
  </si>
  <si>
    <t>catch up with Nick / call with Charm</t>
  </si>
  <si>
    <t>2316 / emails / hand over file</t>
  </si>
  <si>
    <t>month-end / weekly AR meeting / accounts review / BS rec</t>
  </si>
  <si>
    <t>Bills raise to xero postscript transactions and approving some sales to a2x</t>
  </si>
  <si>
    <t>Email Management Bills raise to xero Revision of balance sheet reconciliation BM Bank Reconciliation BM and LOC Inc  Approving sales to a2x</t>
  </si>
  <si>
    <t>Management reporting videos and exam</t>
  </si>
  <si>
    <t>Email Management Bills processing Bank Recon</t>
  </si>
  <si>
    <t xml:space="preserve">Email Management Bills Processing Statement Recon Bank Recon </t>
  </si>
  <si>
    <t xml:space="preserve">Email Management Bills Processing Invoices Processing Bank and Credit Card Recon </t>
  </si>
  <si>
    <t>Catch up all emails/Update bank recs/Coordinate and response to various emails. Process bills and request payments.</t>
  </si>
  <si>
    <t>Process and update refund for Gecko</t>
  </si>
  <si>
    <t xml:space="preserve">BIR 2316 checking/coordination </t>
  </si>
  <si>
    <t>Update Government ORs and check the emails under PH statutory.</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</si>
  <si>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t>
  </si>
  <si>
    <t>Mid month income draw</t>
  </si>
  <si>
    <t>watching moody handover video</t>
  </si>
  <si>
    <t>reset up James in SSC and processing payroll</t>
  </si>
  <si>
    <t>3Forward Pty Ltd</t>
  </si>
  <si>
    <t>Meeting with Aileen on pending</t>
  </si>
  <si>
    <t>Meeting with Kate</t>
  </si>
  <si>
    <t>Add tasks in Asana follow up on Jan month end and BAS Oct-Dec follow up on tasks and emails</t>
  </si>
  <si>
    <t>email reports payroll</t>
  </si>
  <si>
    <t>files</t>
  </si>
  <si>
    <t>srac accounts &amp; catch up</t>
  </si>
  <si>
    <t xml:space="preserve">email, panasales udpate </t>
  </si>
  <si>
    <t>Asana, 2316,waiver</t>
  </si>
  <si>
    <t>Casuals</t>
  </si>
  <si>
    <t>Answering/Checked emails</t>
  </si>
  <si>
    <t>Weekly catchup with Sylvie and Sarah</t>
  </si>
  <si>
    <t>Admin - staff updates Xero cert continued Asana Handover updates Offboarding updates</t>
  </si>
  <si>
    <t>Study XPM vs Reuben insights  Call with Jordan</t>
  </si>
  <si>
    <t xml:space="preserve">Xero cert MS list suggestion to CDMAR Admin-staff matters </t>
  </si>
  <si>
    <t>Call with Nick -finance</t>
  </si>
  <si>
    <t>Client delivery meeting</t>
  </si>
  <si>
    <t>Call with Nick and Jordan Call with Jordan</t>
  </si>
  <si>
    <t>Check bank rec, check for missing transactions and enter until 25 Jan (Dr)</t>
  </si>
  <si>
    <t>Shadow Gerardo entering bills</t>
  </si>
  <si>
    <t>Updating SWH, exporting reports for Dec23 Q maxgaming, bank rec</t>
  </si>
  <si>
    <t>Status of handover with Charmie and April, checking handover file</t>
  </si>
  <si>
    <t>Dec23Q GST rec</t>
  </si>
  <si>
    <t>GST recon - Dec23Q</t>
  </si>
  <si>
    <t>Events and socials catch up 11:00AM to 11:10AM</t>
  </si>
  <si>
    <t>Load ABA for CRI and VGS</t>
  </si>
  <si>
    <t>Request salary package advice for Lonnie L's novated lease, discussion with Con re difference in GST</t>
  </si>
  <si>
    <t>Check email for manager's replies re timesheets confirmation, update payroll accordingly</t>
  </si>
  <si>
    <t>Payroll processing, cover for Guia</t>
  </si>
  <si>
    <t>Prepare FBT returns for 2022 and 2023 Workpapers Prior discussions with Sylvie and Stephen</t>
  </si>
  <si>
    <t>Update cashflow Review AP</t>
  </si>
  <si>
    <t>Inbox mgmt Post AP bills Meeting with Rachele and Sylvie</t>
  </si>
  <si>
    <t>AP run Import transactions for bank rec Upload AP payments</t>
  </si>
  <si>
    <t>Social committee meeting</t>
  </si>
  <si>
    <t>Monthly meeting with SRAC team</t>
  </si>
  <si>
    <t>Send Dec 2023 quarter GST template for BAS preparation. Save under client folder</t>
  </si>
  <si>
    <t>Upload payables and email Katherine/Shalisa</t>
  </si>
  <si>
    <t>Tried to add 2 entities to ATO portal. Needs nomination so advised accordingly  Add 2 clients to portal. Send list of all overdue lodgements to Sylvie.</t>
  </si>
  <si>
    <t>Meeting with Nicole re BAS process, go through Asana tasks, how to support Aileen etc</t>
  </si>
  <si>
    <t>Quick catch-up with Carly re Alliance scope review, word doc conversion, send same, various emails with Mel re Bryan, internal teams messages, ATO portal check for Plump &amp; Spry, tax client sold list, etc</t>
  </si>
  <si>
    <t xml:space="preserve">Weekly invoices, liaise with Con re fixed fee, process for sending BAS/IAS if not on Xero, XPM update for billing frequency, onboarding, </t>
  </si>
  <si>
    <t>Jan 2024 BAS review and lodgement</t>
  </si>
  <si>
    <t>Dec 2023 quarter review and lodgement</t>
  </si>
  <si>
    <t>Catchup with Kate re onboarding process. Review super rec template with Kate</t>
  </si>
  <si>
    <t>Fortnightly CET meeting</t>
  </si>
  <si>
    <t>Meeting with Bern to finalise workflow for depreciation, prepayments and BAS</t>
  </si>
  <si>
    <t>Weekly meeting with LM</t>
  </si>
  <si>
    <t>Fortnightly client delivery meeting and update minutes</t>
  </si>
  <si>
    <t>REview task list</t>
  </si>
  <si>
    <t xml:space="preserve">RIL - instructions for tax agent - emails </t>
  </si>
  <si>
    <t>AP - 1 pmt, check CC process, review weekly AP</t>
  </si>
  <si>
    <t>BLM - reconciliation, allocate CN, instructions bank rec</t>
  </si>
  <si>
    <t>Email with Josh, Mel, RSM / call Josh re VPN/ Nick re scope</t>
  </si>
  <si>
    <t>Invoice Bellinger</t>
  </si>
  <si>
    <t>Fixed fees calculation + Xero set up fees for Capspace- liaise with Shalini, email Tim</t>
  </si>
  <si>
    <t>emails, liaise with team</t>
  </si>
  <si>
    <t>catch up Rachele and Sarah - discuss tasks</t>
  </si>
  <si>
    <t>email Sam</t>
  </si>
  <si>
    <t>teams, timesheet, Asana</t>
  </si>
  <si>
    <t>Email Stephen / Chris re deduction in payroll</t>
  </si>
  <si>
    <t>- prepare Sherly's Induction Plan, coordinate schedule with key team members - finalize Employee Referral Policy - prepare Sherly's online personnel folder - coordinate with Kim and Jordan re CVCheck</t>
  </si>
  <si>
    <t>Check Purchases - Wheat transactions</t>
  </si>
  <si>
    <t>Delete bill in Sage</t>
  </si>
  <si>
    <t>Check Wheat commodities</t>
  </si>
  <si>
    <t>AR and Manual Journal</t>
  </si>
  <si>
    <t>Check ABN and GST Registration of companies</t>
  </si>
  <si>
    <t>Check companies ABN and GST Registrations and Re-code transactions to GST Free Expenses</t>
  </si>
  <si>
    <t>Farewell message to April</t>
  </si>
  <si>
    <t>Farewell message to Charmie</t>
  </si>
  <si>
    <t>Develop goal setting presentation Flexible Working Arrangements policy</t>
  </si>
  <si>
    <t>Calls/correspondence re. employee attendance concerns</t>
  </si>
  <si>
    <t>Calls re. potential redeployment opportunities and legal obligations Correspondence re. legal requirements and calculations</t>
  </si>
  <si>
    <t>check queries</t>
  </si>
  <si>
    <t>attend to staff concerns/queries, chats, etc</t>
  </si>
  <si>
    <t>team Valentine's activity</t>
  </si>
  <si>
    <t>Tasman Agri - assist Aileen</t>
  </si>
  <si>
    <t>chats, emails, Asana, etc</t>
  </si>
  <si>
    <t>probationary review, chats, emails</t>
  </si>
  <si>
    <t>Marking as Paid in Simpro</t>
  </si>
  <si>
    <t>Chemika Pty Ltd</t>
  </si>
  <si>
    <t>Luminary Mindset Pty Ltd</t>
  </si>
  <si>
    <t>Checking the CJ stores' account</t>
  </si>
  <si>
    <t>entering bills</t>
  </si>
  <si>
    <t>entering bills, bank recon</t>
  </si>
  <si>
    <t>Individual Tax Returns</t>
  </si>
  <si>
    <t>finalise Holly's 2023 tax return</t>
  </si>
  <si>
    <t>finalise 2023 tax return</t>
  </si>
  <si>
    <t>finalise 2023 trust tax return and XPM</t>
  </si>
  <si>
    <t>Earjobs NZ Limited Partnership</t>
  </si>
  <si>
    <t>set up</t>
  </si>
  <si>
    <t>catch up w/ Dex team</t>
  </si>
  <si>
    <t>emails/ accts review</t>
  </si>
  <si>
    <t>queries/emails</t>
  </si>
  <si>
    <t>onboarding, Xero set-up</t>
  </si>
  <si>
    <t>bills entry</t>
  </si>
  <si>
    <t>Sales actuals w/ John Cousins &amp; Jimwelle</t>
  </si>
  <si>
    <t>Sprout/ leave calendar</t>
  </si>
  <si>
    <t>emails, teams, Sprout, leave calendar, tax reminders</t>
  </si>
  <si>
    <t>financials/CM/GST review</t>
  </si>
  <si>
    <t>ad hoc Forecast</t>
  </si>
  <si>
    <t>expor aba files</t>
  </si>
  <si>
    <t>reviewing report</t>
  </si>
  <si>
    <t>bank recon process ap invoices from inbox</t>
  </si>
  <si>
    <t>bank recon process ap invoice form inbox checking of NZD paypal account for bank feeds</t>
  </si>
  <si>
    <t>review prepayments and accruals schedule</t>
  </si>
  <si>
    <t>review survey questions</t>
  </si>
  <si>
    <t>accrued expenses template - email to Shalini</t>
  </si>
  <si>
    <t xml:space="preserve">prepare prepayments standard template </t>
  </si>
  <si>
    <t>survey questions scoping form review shipley</t>
  </si>
  <si>
    <t>work on onboarding form</t>
  </si>
  <si>
    <t>meeting with Bern</t>
  </si>
  <si>
    <t>Mtg with Head HR org change prep Resignation confirmation letter Keerthi Inbox tasks</t>
  </si>
  <si>
    <t xml:space="preserve">Phone screens Recruitment - Set up estimating job, screening etc Workforce mgmt - addendums, relocations etc Research &amp; demo mtgs for alternate ATS Product Immigration Sponsorship letter - change of business address Inbox enquiries </t>
  </si>
  <si>
    <t>Catch up with Shalini &amp; Xavi for Livewire client</t>
  </si>
  <si>
    <t>ap bills review</t>
  </si>
  <si>
    <t>Dext Prep, bank recon</t>
  </si>
  <si>
    <t>AP Items, bank recon, payment logic</t>
  </si>
  <si>
    <t>Batch Prep</t>
  </si>
  <si>
    <t>add invoices, bank recon</t>
  </si>
  <si>
    <t>AP Emails, Hubdoc, some items from procore, EH Items &amp; Leave synced to Xero</t>
  </si>
  <si>
    <t>AP Bills</t>
  </si>
  <si>
    <t>Dext Prep. AP Items</t>
  </si>
  <si>
    <t>Set-up P&amp;L custom layout as per client (John Cousin) for their forecast reporting</t>
  </si>
  <si>
    <t>Automation demo process for fintech</t>
  </si>
  <si>
    <t>Run: LOC Dev: PrimeBuild Payroll Processing Report Automation</t>
  </si>
  <si>
    <t>Oporto reporting</t>
  </si>
  <si>
    <t>Oporto report</t>
  </si>
  <si>
    <t>Introduce Nicole to client.  Meeting re payroll queries</t>
  </si>
  <si>
    <t>Xero query with Sylvie - FX discussions</t>
  </si>
  <si>
    <t>General queries from Ef</t>
  </si>
  <si>
    <t>Review queries from LM</t>
  </si>
  <si>
    <t>Dec and Jan review LM queries and update Judo loan coding</t>
  </si>
  <si>
    <t>Oporto reports and customise layouts</t>
  </si>
  <si>
    <t>Meeting with Insight Software</t>
  </si>
  <si>
    <t>Update Warrick reimbursement, finalise payrun, run reports, load to shared drive, email client</t>
  </si>
  <si>
    <t>Update to Barry Maybury cost centre, rerun report</t>
  </si>
  <si>
    <t>Review payroll PHG and Oporto stores</t>
  </si>
  <si>
    <t>Call with Dave M to fix Carl Ellis</t>
  </si>
  <si>
    <t>Load payruns to Xero and email to team for approval</t>
  </si>
  <si>
    <t>Payroll review and costing check, emails</t>
  </si>
  <si>
    <t>Updates to reimbursements, queries for Steven</t>
  </si>
  <si>
    <t>Review Katherine, create pay codes and RCTI doc</t>
  </si>
  <si>
    <t>Payroll reviews and emails</t>
  </si>
  <si>
    <t>Fortnightly Check-In - Alison</t>
  </si>
  <si>
    <t>Drug &amp; Alcohol Testing e.g. 'Relevant' &amp; 'Hayden Health &amp; Safety' - Nederman - Bayswater - VIC - Alison</t>
  </si>
  <si>
    <t>Police Check Enquiry (William) - Accountant - Nederman - Alison</t>
  </si>
  <si>
    <t xml:space="preserve">Cancellation Face-to-Face Interview (Gonzalo) - Factory Hand/Warehouse Assistant - NSW - Nordfab - Alison	</t>
  </si>
  <si>
    <t>Drug &amp; Alcohol Testing e.g. 'Relevant' &amp; 'Hayden Health &amp; Safety' - Nordfab - Sefton - NSW - Alison</t>
  </si>
  <si>
    <t>Start Trial Monday 19/02/2024 at 7.30am (Zelkjo) - Workshop Hand/Storeperson - VIC - Nordfab - Alison</t>
  </si>
  <si>
    <t>Schedule &amp; Confirm Face-to-Face Interview (Jameel) - Factory Hand/Warehouse Assistant - NSW - Nordfab - Alison</t>
  </si>
  <si>
    <t>Schedule &amp; Confirm Face-to-Face Interview (Gonzalo &amp; Apete) - Factory Hand/Warehouse Assistant - NSW - Nordfab - Alison</t>
  </si>
  <si>
    <t>Reference Check (Kaveh) - Prajwal [PJ] - Technical Customer Service Coordinator - NSW - Nordfab - Alison</t>
  </si>
  <si>
    <t>Review Linkedin/Email Applications - Sheet Metal Worker - NSW - Nordfab - Alison  Review Linkedin/Email Applications - Factory Hand/Warehouse Assistant - NSW - Nordfab - Alison</t>
  </si>
  <si>
    <t>Review Seek Applications - Technical Customer Service Coordinator - NSW - Nordfab - Alison  Review Seek Applications - Skilled Tradesperson (Sheetmetal) - VIC - Nordfab - Alison</t>
  </si>
  <si>
    <t>Attending to Efleda query</t>
  </si>
  <si>
    <t>&gt;Asana updates, PAYGI.  &gt;No subfield for Monthly doc. So I put it here temporary</t>
  </si>
  <si>
    <t>Attending Mel's queries ( BAS &amp; IAS )</t>
  </si>
  <si>
    <t>Response to Shalini, checking the ASANA for the said clients. and validating if possible to finish for tomorrow</t>
  </si>
  <si>
    <t>Morning emails, teams, Sprout, leave calendar, tax reminders</t>
  </si>
  <si>
    <t>Initial review BAS and suggesting solution</t>
  </si>
  <si>
    <t>Updating ASANA, quickreview, &amp; email</t>
  </si>
  <si>
    <t>BAS process, exportation, Email, Recon, digging variance and fixing XPM</t>
  </si>
  <si>
    <t>IAS/BAS Preparation &amp; Lodgement - Jan-Mar</t>
  </si>
  <si>
    <t>Updates, Teams, email, ATO</t>
  </si>
  <si>
    <t>BAS cont,</t>
  </si>
  <si>
    <t>Redoing of work due to adjustment and diging of variances. Sent an email and suggested some solution</t>
  </si>
  <si>
    <t>&gt;ASANA error and concern. &gt;Call with Mark Barte</t>
  </si>
  <si>
    <t>2316 Form</t>
  </si>
  <si>
    <t>Attending to Mel's queries</t>
  </si>
  <si>
    <t xml:space="preserve">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t>
  </si>
  <si>
    <t>Initial Discussion of SureFire Automation</t>
  </si>
  <si>
    <t>Assist in reviewing Payroll</t>
  </si>
  <si>
    <t>Payroll Review</t>
  </si>
  <si>
    <t>Recon</t>
  </si>
  <si>
    <t>setup Dec BAS payment</t>
  </si>
  <si>
    <t>email darley about ITR refund</t>
  </si>
  <si>
    <t>call with Miz</t>
  </si>
  <si>
    <t>BAS file to be sent to James / GST rec</t>
  </si>
  <si>
    <t>timesheet approval / testing the new online form</t>
  </si>
  <si>
    <t xml:space="preserve">Updating Clearing Account for domestic for the month of January  Paypal Afterpay Klarna Shopify </t>
  </si>
  <si>
    <t>Revised the clearing account for the month of January International -Afterpay -Shopify -Shopify installment -Klarna</t>
  </si>
  <si>
    <t xml:space="preserve">Email Management Bills raise to xero Find the Variance of Bank revaluation last month with Ms. Rose Bank Reconciliation BM Prepared payment summary report and sent for approval Bank Reconciliation LOC Inc </t>
  </si>
  <si>
    <t xml:space="preserve">Invoice Processing  Bank Recon  Preparation of Weekly Cash flow Email Management Bills Processing  Preparation of Project Recon </t>
  </si>
  <si>
    <t>email management</t>
  </si>
  <si>
    <t xml:space="preserve">Replying to Lynn's queries about payroll. </t>
  </si>
  <si>
    <t>Checking of James' request re: client deposit and invoice checking for ACN</t>
  </si>
  <si>
    <t xml:space="preserve">Clean up payables and other bank recs items. Catch up emails and respond to queries. </t>
  </si>
  <si>
    <t>Additional tasks/invoicing in Asana, fixing ATO payments on Xero.</t>
  </si>
  <si>
    <t>BIR 2316 file update and checking for all.</t>
  </si>
  <si>
    <t>🟥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t>
  </si>
  <si>
    <t xml:space="preserve">Preparing AP list </t>
  </si>
  <si>
    <t>Uploading payments</t>
  </si>
  <si>
    <t>MtM on junior accountant fee</t>
  </si>
  <si>
    <t>follow up on new scope of work</t>
  </si>
  <si>
    <t>follow up on tasks pending</t>
  </si>
  <si>
    <t>Meeting with Steven and Kate</t>
  </si>
  <si>
    <t>Meeting with Scott on OKR</t>
  </si>
  <si>
    <t xml:space="preserve">emails </t>
  </si>
  <si>
    <t>emails, AP</t>
  </si>
  <si>
    <t>AP email awaiting approval bills</t>
  </si>
  <si>
    <t>Dec AP, MJ</t>
  </si>
  <si>
    <t>review accounts</t>
  </si>
  <si>
    <t>marsil  BS recs query</t>
  </si>
  <si>
    <t>BS recs and AP</t>
  </si>
  <si>
    <t>Xero certification continued</t>
  </si>
  <si>
    <t xml:space="preserve">Dashboard study and building for CPR </t>
  </si>
  <si>
    <t>Meeting with Client and CFO (James and Craig)</t>
  </si>
  <si>
    <t xml:space="preserve">Monthly Payroll - ASI </t>
  </si>
  <si>
    <t>Call with Maan to discuss her queries</t>
  </si>
  <si>
    <t>Review BS rec, messages with Cess for adjustments</t>
  </si>
  <si>
    <t>Enter backlogs of weekly spreadsheet, cash expenses, recon cash on hand acct</t>
  </si>
  <si>
    <t>Chatswood and Salmon # 2 - GST review and BAS checklist</t>
  </si>
  <si>
    <t>Red Apple &amp; Kinala - GST review and BAS check list</t>
  </si>
  <si>
    <t>Complete GST rec for Dec23 quarter, add PAYG figures and assign asana task to LM</t>
  </si>
  <si>
    <t>Call with Ralph re Maan's 5th month, messages with Kate and Nica re cover for my tasks during my leave</t>
  </si>
  <si>
    <t>Finalise payroll and save reports</t>
  </si>
  <si>
    <t>Monthly payroll review, messages with Rejie re queries and confirmations</t>
  </si>
  <si>
    <t>Export super reports requested by Ish</t>
  </si>
  <si>
    <t>Cashflow review AP and bank rec review</t>
  </si>
  <si>
    <t>Wyzed and Fathom training</t>
  </si>
  <si>
    <t>Export timesheet Prepare report</t>
  </si>
  <si>
    <t>Export ABA file and payroll reports Send email to client</t>
  </si>
  <si>
    <t>Export ABA file and payroll reports Email client</t>
  </si>
  <si>
    <t>Apply leaves Process payroll</t>
  </si>
  <si>
    <t>Apply leave Set final pays Process payroll</t>
  </si>
  <si>
    <t>Review data in TL</t>
  </si>
  <si>
    <t>Enter data to TL</t>
  </si>
  <si>
    <t>Liaise internally re task to enter budget in Xero. Need to line up a meeting</t>
  </si>
  <si>
    <t>Introduction email</t>
  </si>
  <si>
    <t>Attend to emails from Cel. Coordinate for Xero file setup etc</t>
  </si>
  <si>
    <t>Touch base with Sarah re cashflow and FBT. Respond to Anita's email re same. Coordination on MV and FBT etc</t>
  </si>
  <si>
    <t>Attend to email from John re disclosure, give Xero access to R&amp;D consultant, liaise with Jimwelle re salaries clearing, P&amp;L layout for EBITDA</t>
  </si>
  <si>
    <t>Fortnightly team meeting</t>
  </si>
  <si>
    <t>Review of accounts for Dec 2023 quarter</t>
  </si>
  <si>
    <t xml:space="preserve">Fathom report for Jan 2024, update non-financial metrics, analysis for Jan 2024. Send reports to Zoe. </t>
  </si>
  <si>
    <t xml:space="preserve">NDA for Chemika Pty Ltd. Quick session with Jordan on PandaDoc, onboarding, debtors, Bryan Philips, </t>
  </si>
  <si>
    <t>RIL - add to portal, run statements, email to Stephen, discuss Nick and Shalini</t>
  </si>
  <si>
    <t>AP Bloomberg, SDL query, accounts email</t>
  </si>
  <si>
    <t>Grant advance income - emails/review - Payroll emails, liaise with Aileen</t>
  </si>
  <si>
    <t>BLM</t>
  </si>
  <si>
    <t>Discuss Shipley change of CM and scope review</t>
  </si>
  <si>
    <t>Discuss fees for Xero set up- liaise Tim, Ann, Shalini</t>
  </si>
  <si>
    <t>Liaise with team, emails, liaise with Sam</t>
  </si>
  <si>
    <t>emails, teams, Asana, timesheet</t>
  </si>
  <si>
    <t>LM queries BAM Dec BAS, check PAYG, Chat Shalini</t>
  </si>
  <si>
    <t>- finalize Sherly's Induction Plan - Recruitment - general admin</t>
  </si>
  <si>
    <t>- prepare for Sherly's first day (endorse to BDO, reception, coordinate final sched) - communicate promotion and Sherly's joining to the broader group - finalize EOM for Dec and January - respond to emails</t>
  </si>
  <si>
    <t>Check payments if Approved and Email/Inbox Management</t>
  </si>
  <si>
    <t>Batch Payment</t>
  </si>
  <si>
    <t>Review ABN and GST Registration with Xavi</t>
  </si>
  <si>
    <t>Re-code transactions</t>
  </si>
  <si>
    <t>Process batch payment</t>
  </si>
  <si>
    <t>Director's Loan Summary</t>
  </si>
  <si>
    <t xml:space="preserve">Goal Setting workshop Discussion with Accounting Manager HR Issues log Follow up re. performance reviews </t>
  </si>
  <si>
    <t>Discussion with manager re. performance concerns/pending notice from staff member Call with MD Correspondence re. drug and alcohol testing Emails Draft acknowledgements of resignation</t>
  </si>
  <si>
    <t>Call with GM re. people issues Correspondence re. coordinating drug and alcohol testing  Follow up re. recruitment Coordinating re. email accounts Correspondence re. performance reviews</t>
  </si>
  <si>
    <t>check GST in CPDF</t>
  </si>
  <si>
    <t>chats, Sprout</t>
  </si>
  <si>
    <t>chats, emails, capacity file</t>
  </si>
  <si>
    <t>chats re concerns, capacity, emails</t>
  </si>
  <si>
    <t>chats, emails, concerns, deferred rev template, capacity</t>
  </si>
  <si>
    <t>Xero Migration</t>
  </si>
  <si>
    <t>request new Xero file set up</t>
  </si>
  <si>
    <t>Quick catch up - Last day with Ms Rose and TL RJ</t>
  </si>
  <si>
    <t>Multiple meetings to confirm details / points for manual  Orientation/ QMS Review with Shirly   Management Meeting   Continuation of remaining flows and manuals</t>
  </si>
  <si>
    <t>Checking of Statements</t>
  </si>
  <si>
    <t>AP Team Meeting</t>
  </si>
  <si>
    <t>Angela McHugh</t>
  </si>
  <si>
    <t>Run four Alliance automations + AP automation; Added 2 supplier to Alliance Automation Statements</t>
  </si>
  <si>
    <t>Alliance Report Automation Part 2 and 3 development</t>
  </si>
  <si>
    <t>bank recon, leave provision</t>
  </si>
  <si>
    <t>Checking inbox, loading bills</t>
  </si>
  <si>
    <t>The Trustee for Myall Street Investment Trust</t>
  </si>
  <si>
    <t>entering bills, adding journals, bank recon</t>
  </si>
  <si>
    <t>Review+fix+finalise TGS Respond to emails + issue instructions FBT discussion with Eli</t>
  </si>
  <si>
    <t>final check on the CTR and finalise 2023 CTR</t>
  </si>
  <si>
    <t xml:space="preserve">DIVIDEND STATEMENT; update and final check on accounts; finalize tax rec; finalise tax return in XPM; review journal entries before sending to Rebecca. </t>
  </si>
  <si>
    <t>Xero set-up</t>
  </si>
  <si>
    <t>teams - multiple queries</t>
  </si>
  <si>
    <t>Tasman Agri GST and ABN review</t>
  </si>
  <si>
    <t>approval, STP, pay slips</t>
  </si>
  <si>
    <t>approval</t>
  </si>
  <si>
    <t>payment upload and approval</t>
  </si>
  <si>
    <t>review/adjustment</t>
  </si>
  <si>
    <t>call with Ms.Rose</t>
  </si>
  <si>
    <t>checking of actual/forecast budget report (non billable)</t>
  </si>
  <si>
    <t>bank recon Email</t>
  </si>
  <si>
    <t>creating bills for payment plan</t>
  </si>
  <si>
    <t>bank recon emails</t>
  </si>
  <si>
    <t>process ap invoices from inbox</t>
  </si>
  <si>
    <t>approved ap invoices</t>
  </si>
  <si>
    <t>approve ap invoices bank recon email regarding invoices</t>
  </si>
  <si>
    <t>import standard report codes and review</t>
  </si>
  <si>
    <t>customised reports, review COA for all oporto stores, report codes to have report in xero hq</t>
  </si>
  <si>
    <t>emails, chat with Kate- Oporto Chat with Ann   XPM Asana</t>
  </si>
  <si>
    <t>call with Jim to do scope review -- shipley</t>
  </si>
  <si>
    <t>chat with Kate - Oporto reports</t>
  </si>
  <si>
    <t>Catch Up - Ralph</t>
  </si>
  <si>
    <t>Payroll 15th</t>
  </si>
  <si>
    <t>Mtg with employee on extended leave - Sonam - &amp; provisions of written advice following mtg</t>
  </si>
  <si>
    <t>Reconciliation of visas/repayment plans &amp; updating of master tracker Inbox mgmt Mtg with COO, Head HR Progression of FEB24 change mgmt plan</t>
  </si>
  <si>
    <t xml:space="preserve">HR inbox &amp; calls HR daily mtg with HR Admin Shortlisting - Finance &amp; Estimating Phone calls with Recruiters End probation letter - Michael D </t>
  </si>
  <si>
    <t>Fintech - setup of custom P&amp;L report for new tasks asked by client (John Cousin) for their forecast</t>
  </si>
  <si>
    <t>bank recon, ap items, email query to client</t>
  </si>
  <si>
    <t>bank recon. ap items</t>
  </si>
  <si>
    <t>AP Items, bank recon, payroll</t>
  </si>
  <si>
    <t>Dext Prep, AP Items</t>
  </si>
  <si>
    <t>Discuss client (Shipley) scope with Nica</t>
  </si>
  <si>
    <t>Monthly catch up with RJ</t>
  </si>
  <si>
    <t>SureFire Services - Automation</t>
  </si>
  <si>
    <t>Run: LOC Run: AR Ageing Report Dev: PrimeBuild Payroll Processing Report Automation</t>
  </si>
  <si>
    <t>Review fie and bank rec  queries</t>
  </si>
  <si>
    <t>Update card info and transfer balance</t>
  </si>
  <si>
    <t>REview and send notes to Mary ann</t>
  </si>
  <si>
    <t>Richbox review rec.</t>
  </si>
  <si>
    <t>Non billable - assist Nicole.  2.5 hours teams call re MtM accounting</t>
  </si>
  <si>
    <t>Call from Services Australia, email, teams</t>
  </si>
  <si>
    <t>Teams and emails</t>
  </si>
  <si>
    <t>Emails, Mark info re Angela McHugh, etc</t>
  </si>
  <si>
    <t>Teams and emails.  Review Nica's work.</t>
  </si>
  <si>
    <t>Emails, farewell cards, Vigilant find contacts, Thinkbox suggestions, liaise with Jordan, review calendar settings, review new action planner Liaise with Carly re new client meeting</t>
  </si>
  <si>
    <t>REview BAS with shalini</t>
  </si>
  <si>
    <t>Review Oporto reporting requirements with Nica</t>
  </si>
  <si>
    <t>Review super and temrination updates, add to Xero</t>
  </si>
  <si>
    <t xml:space="preserve">Drug &amp; Alcohol Testing e.g. 'Relevant' &amp; 'Hayden Health &amp; Safety' - Nederman - Bayswater - VIC - Alison	</t>
  </si>
  <si>
    <t>Police Check Completed (William) - Accountant - Nederman - Alison</t>
  </si>
  <si>
    <t>Onboarding Enquiry (Zelkjo) - Workshop Hand/Storeperson - VIC - Nordfab - Alison</t>
  </si>
  <si>
    <t>Follow Up Face-to-Face Interview (Akhil) - Technical Customer Service Coordinator - NSW - Nordfab - Alison</t>
  </si>
  <si>
    <t>Review Seek Applications - Technical Customer Service Coordinator - NSW - Nordfab - Alison  Review Seek Applications - Factory Hand/Warehouse Assistant - NSW - Nordfab - Alison</t>
  </si>
  <si>
    <t xml:space="preserve">Teams Shalini and keeping her updated. </t>
  </si>
  <si>
    <t>Emails, TeamsChat. reading Asana comments and attending to queries</t>
  </si>
  <si>
    <t>&gt;Temporary enter time to this client. I already informed Mark to create a job number THE TRUSTEE FOR CAPSPACEPRIVATE DEBT FUND &gt;Email &gt;Creation of ASANA &gt;Checking of XPM</t>
  </si>
  <si>
    <t>Redo due to adjustment</t>
  </si>
  <si>
    <t xml:space="preserve">BAs cont &amp; Redo due to adjustment </t>
  </si>
  <si>
    <t>Redo due to adjusement.</t>
  </si>
  <si>
    <t>Updating WPS and Xero file</t>
  </si>
  <si>
    <t xml:space="preserve">Attending to Query, Fixing link and checking folder. </t>
  </si>
  <si>
    <t>PAYGI. attending to query, message kate and update ASANA. Check the history</t>
  </si>
  <si>
    <t>Responding to shalini and checking the Non-purchase ( MJ and Purchase report )</t>
  </si>
  <si>
    <t>PAYGI January</t>
  </si>
  <si>
    <t>BAS prep, WPS Template, XPM &amp; Asana updates, &amp; ATO. Checking of 8K variance</t>
  </si>
  <si>
    <t xml:space="preserve">BAS process, WPS creation, Onedrive issue, digging variance previous months, email CM and propose solution., Fixing Xero setting </t>
  </si>
  <si>
    <t>The Trustee for Capspace Private Debt Fund</t>
  </si>
  <si>
    <t xml:space="preserve">Sept &amp; Dec BAS nil, ASANA creation. XPM interface and updates. </t>
  </si>
  <si>
    <t>Dec BAS 2023</t>
  </si>
  <si>
    <t>Work late, not paid</t>
  </si>
  <si>
    <t>Meeting with AH for HR update</t>
  </si>
  <si>
    <t>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t>
  </si>
  <si>
    <t>Includes AP meeting</t>
  </si>
  <si>
    <t>emails and Asana</t>
  </si>
  <si>
    <t>PI discussion with Jordan</t>
  </si>
  <si>
    <t>monthly reporting / meet Sherly</t>
  </si>
  <si>
    <t xml:space="preserve">call with James / call with AP team / Reporting </t>
  </si>
  <si>
    <t>Jan2024 Dashboard</t>
  </si>
  <si>
    <t>month-end / dashboard / adhoc analysis</t>
  </si>
  <si>
    <t>Prepared Clearing Account for: -Shopify -Afterpay -Klarna</t>
  </si>
  <si>
    <t>Bills raise to xero Responds to Emails Approving sales to a2x Prepared Clearing Account International for  -Afterpay -Klarna -Shopify</t>
  </si>
  <si>
    <t>updated Fixed Assets BS RECS Revision BM and LOC INC EMail Management  Bills raise to xero Process payment to Combizz Bank Reconciliation BM and LOC Inc</t>
  </si>
  <si>
    <t>Email Management Process invoice to Hubdoc</t>
  </si>
  <si>
    <t xml:space="preserve">Email Management Bills processing Invoice Processing Credit card and Bank Recon Supplers Batch Payment Preparation   Month-end Adjustment Finalizing of Project Recon </t>
  </si>
  <si>
    <t xml:space="preserve">Journal Entry Adjustment Payroll Processing Preparation of Wage increase letter </t>
  </si>
  <si>
    <t>Checking/coordinating with Shalini re: Bryan Philips tax return. Preparation of TS as per Shalini's request.</t>
  </si>
  <si>
    <t xml:space="preserve">Process bills/update bank recs. Catch up emails and respond. </t>
  </si>
  <si>
    <t>Prepare additional invoices as per Shalini's instructions/Coordination regarding Paternity Leave with Z</t>
  </si>
  <si>
    <t>Update bank recs as of 15 Feb 2024</t>
  </si>
  <si>
    <t>King River Xero subs billing/checking of Additional Expense charges for January 2024</t>
  </si>
  <si>
    <t>Prepare 2307 for the suppliers</t>
  </si>
  <si>
    <t>1702Q for FY2024 working file</t>
  </si>
  <si>
    <t>Compliance invoicing update and rechecking of invoices</t>
  </si>
  <si>
    <t xml:space="preserve">🟥 review the Analytics integrated to the website 🟥 revising the email templates for CRM 🟥 check if Bing Business published the changes on Dexterous Group 🟥 add Sherly Oro to the website team section under About Page  🟥 Excel Pricing Model Projecs 🟥 setup two surveys for Nick </t>
  </si>
  <si>
    <t>Bank Reco and supplier bills</t>
  </si>
  <si>
    <t>XERO certification product update and assessment</t>
  </si>
  <si>
    <t>Chloe revised salary</t>
  </si>
  <si>
    <t>Fathom report</t>
  </si>
  <si>
    <t>MtM</t>
  </si>
  <si>
    <t>BAS checklist review</t>
  </si>
  <si>
    <t>Meeting with Kate on MtM</t>
  </si>
  <si>
    <t>AAA</t>
  </si>
  <si>
    <t>ATBA - AP - box</t>
  </si>
  <si>
    <t>accounts emails</t>
  </si>
  <si>
    <t>AP - bill query</t>
  </si>
  <si>
    <t>Supplier Recs</t>
  </si>
  <si>
    <t>Box</t>
  </si>
  <si>
    <t>dext review shadow for afluens</t>
  </si>
  <si>
    <t>update employee and send payslip</t>
  </si>
  <si>
    <t>Reviewed AP</t>
  </si>
  <si>
    <t>clients email</t>
  </si>
  <si>
    <t>Update pross workflow  ASANA task lists</t>
  </si>
  <si>
    <t xml:space="preserve">  </t>
  </si>
  <si>
    <t xml:space="preserve">CHecked and updated Angie's super </t>
  </si>
  <si>
    <t>Clearance - April. Discussion and coordination</t>
  </si>
  <si>
    <t>Prod tool study check CPR dashboard Xero cert Staff admin - queries and issues</t>
  </si>
  <si>
    <t>Wyzed Continue dashboard building Staff admin - queries, emails Attend to con's metric request Sprout approvals</t>
  </si>
  <si>
    <t>Xero cert WIP dashboard study building</t>
  </si>
  <si>
    <t>Last day run through - April</t>
  </si>
  <si>
    <t>Call with jordan and mark BIT Call with Carly Call with Linds</t>
  </si>
  <si>
    <t>1:1 Jim</t>
  </si>
  <si>
    <t>1:1 Jeric</t>
  </si>
  <si>
    <t>Alliance SI - AP TEAM MEETING</t>
  </si>
  <si>
    <t>Teams messages with Maan to fix FAR, call to discuss</t>
  </si>
  <si>
    <t>Discuss all the tasks needed for Pelan, discuss questions from Gerardo, sched next handover session</t>
  </si>
  <si>
    <t>Qtr end checking of accounts, gaming revenue recon for 3 hotels</t>
  </si>
  <si>
    <t>Call with RJ and April re last working day</t>
  </si>
  <si>
    <t>Complete peer review, add new employee to NSW LS Corp portal</t>
  </si>
  <si>
    <t>Queries with Maria Update return and send out for signature</t>
  </si>
  <si>
    <t>Review information Draft ITR and workpapers Respond to Maria's email, clarify deductions and request spouse income</t>
  </si>
  <si>
    <t xml:space="preserve">Cashflow review AP and bank rec review </t>
  </si>
  <si>
    <t>Raise invoice and prepare master schedule for two new MSNs Inbox management Process documents Prepare staff expenses for BASS</t>
  </si>
  <si>
    <t>Fathom training</t>
  </si>
  <si>
    <t>Balance sheet reconciliation</t>
  </si>
  <si>
    <t>Upload payables and email Zoe. Attend to email re salary increase, seek confirmation re updating budget. Liaise with Neeti re same. Review salary increase worksheet</t>
  </si>
  <si>
    <t>Update employee details. Process monthly payroll for Feb 2024. STP filing, send payslips</t>
  </si>
  <si>
    <t>Review payroll for F/E 14/02/2024. Upload in the bank. Email Katherine/Shalisa for approval</t>
  </si>
  <si>
    <t>Invoices, debtors, Emily re tax return for Tom Mackay, liaise with Sam re work done for ACN (Bryan Philips), messages to Mel, Elena - escalate to Ann her request to change team member, Ezidebit change for Emma, for Simpson re overdue invoice, Sylvie re fee for Capspace</t>
  </si>
  <si>
    <t>Jan 2024 PAYGI notice review and lodgement. Update amount via ATO portal and send for approval</t>
  </si>
  <si>
    <t>Jan 2024 BAS review and lodgement. Send draft BAS for approval</t>
  </si>
  <si>
    <t>Jan 2024 BAS review and lodgement. Put in refund request for Nov &amp; Dec 2023. Send draft report for approval</t>
  </si>
  <si>
    <t>Jan 2024 BAS review and lodgement. Update WPS and XPM to take up GST adj for FY 2023. Liaise with LM re updating Xero blue to match with BAS lodgement</t>
  </si>
  <si>
    <t xml:space="preserve">Review of BAS for Dec 2023 and Jan 2024. Liaise with Kate re prior period adjustments, update XPM etc </t>
  </si>
  <si>
    <t>Nil lodgement of Sep 2023 and Dec 2023 BAS</t>
  </si>
  <si>
    <t>Sherly Oro</t>
  </si>
  <si>
    <t>1st Day Orientation &amp; Training</t>
  </si>
  <si>
    <t>training courses</t>
  </si>
  <si>
    <t>Meetings with Ali and Nick Con and Carly</t>
  </si>
  <si>
    <t>Rachele - OMS Xero setup</t>
  </si>
  <si>
    <t>Review BS Rec all entities, corrections, liaise with Ann</t>
  </si>
  <si>
    <t>NZ GST return Nov-Dec - calculations, lodgement, emails</t>
  </si>
  <si>
    <t>Fathom- changes in budget, actuals, fathom layout</t>
  </si>
  <si>
    <t>F/up emails re Chris Turner payroll</t>
  </si>
  <si>
    <t>Review Cian's first payroll</t>
  </si>
  <si>
    <t>Review payroll, emails</t>
  </si>
  <si>
    <t>Liaise with Ann re CFM Xero setup</t>
  </si>
  <si>
    <t>- Sherly's onboarding</t>
  </si>
  <si>
    <t>Management Meeting</t>
  </si>
  <si>
    <t>Set lock date</t>
  </si>
  <si>
    <t>Inbox/Email Management</t>
  </si>
  <si>
    <t>Admin Emails</t>
  </si>
  <si>
    <t>Admin emails and Chats</t>
  </si>
  <si>
    <t>Update team huddle file</t>
  </si>
  <si>
    <t>Submit Employee Referral</t>
  </si>
  <si>
    <t>Export IAS reports</t>
  </si>
  <si>
    <t>Wyzed Training</t>
  </si>
  <si>
    <t>Marketing Fund P&amp;L</t>
  </si>
  <si>
    <t>Correspondence re. Scribe</t>
  </si>
  <si>
    <t>NGage workshop Acknowledgement of resignation</t>
  </si>
  <si>
    <t>Weekly call with Manager</t>
  </si>
  <si>
    <t>Call with manager re. employee attendance concerns Draft invitation to attend disciplinary meeting Correspondence re. newstarter Correspondence re. CSG recruitment and people issues  Correspondence re. goal setting and reporting access  Correspondence re. warehouse email accounts</t>
  </si>
  <si>
    <t>chats, emails</t>
  </si>
  <si>
    <t>chats, check remaining hrs and book meeting room</t>
  </si>
  <si>
    <t>chats, Sprout, timesheets</t>
  </si>
  <si>
    <t>emails, chats re client/staff concerns, call with Ali re concerns, Sprout - check attendance and reach out to directs with missing logs, perf eval, etc</t>
  </si>
  <si>
    <t>call with Mary re concerns</t>
  </si>
  <si>
    <t>meet with She</t>
  </si>
  <si>
    <t>monthly catchup with Mary</t>
  </si>
  <si>
    <t>weekly huddle</t>
  </si>
  <si>
    <t>Multiple meetings to confirm details / points for manual  continuation of remaining flows and manuals  Schedule setup for start of video recording next week</t>
  </si>
  <si>
    <t>Leave Reports and Balances</t>
  </si>
  <si>
    <t>AP Catch up with James and Craig</t>
  </si>
  <si>
    <t>Assists Neeti on Bank Recs</t>
  </si>
  <si>
    <t>Asana Checking Sprout Checking XPM  Check Emails</t>
  </si>
  <si>
    <t>Run four Alliance automations + AP automation; Added 4 supplier to Alliance Automation Credit/Adjustments</t>
  </si>
  <si>
    <t>inbox management, loading bills, bank recon, weekly report, AP payment</t>
  </si>
  <si>
    <t>Spectrum Solar Energy Pty Ltd</t>
  </si>
  <si>
    <t>call w/ Kate</t>
  </si>
  <si>
    <t>cessation of services</t>
  </si>
  <si>
    <t>bills entry &amp; bank recs</t>
  </si>
  <si>
    <t>bills entry &amp; bank rec</t>
  </si>
  <si>
    <t>bank recon process ap invoices</t>
  </si>
  <si>
    <t>bank recon creating bills for installment payments</t>
  </si>
  <si>
    <t>batch payment report</t>
  </si>
  <si>
    <t xml:space="preserve">export aba files </t>
  </si>
  <si>
    <t>approve ap invoices emails</t>
  </si>
  <si>
    <t>reviewing hand over task</t>
  </si>
  <si>
    <t>emails, teams chat</t>
  </si>
  <si>
    <t>emails - responses to Kate, Shalini, Bern Asana and XPM</t>
  </si>
  <si>
    <t>check journals in JPE, onedrive?</t>
  </si>
  <si>
    <t>scoping form draft</t>
  </si>
  <si>
    <t>draft scoping form, check JPE trust</t>
  </si>
  <si>
    <t>finalised drafted scoping form</t>
  </si>
  <si>
    <t>CET meeting</t>
  </si>
  <si>
    <t>AP items</t>
  </si>
  <si>
    <t>Dext Prepare, bank recon</t>
  </si>
  <si>
    <t>bank recon items and p&amp;l and bs sent to client</t>
  </si>
  <si>
    <t>bank recon, ap items</t>
  </si>
  <si>
    <t>AP Bills, bank recon</t>
  </si>
  <si>
    <t>ap email sort to project folders, ap items email and procore, employment hero items sync from xero</t>
  </si>
  <si>
    <t>Dext Prepare, AP ITems,</t>
  </si>
  <si>
    <t>Team weekly catchup</t>
  </si>
  <si>
    <t>Review file and update issues list</t>
  </si>
  <si>
    <t>Meeting with Xavi re Richbox handover and review of Mary Ann's work Arrange RSVP handover meeting  Follow up outstanding invoices and message to Angela on status Emails - general responses</t>
  </si>
  <si>
    <t>Review prrevious notes, services, previous bills and call to Blair (VM left)</t>
  </si>
  <si>
    <t>Meeting with Carly to overview client, Kick off email Non billable - initial handover</t>
  </si>
  <si>
    <t xml:space="preserve">Meeting with Nicole - journals, report layouts etc. </t>
  </si>
  <si>
    <t>Asana</t>
  </si>
  <si>
    <t>Meeting with new CM Sherly</t>
  </si>
  <si>
    <t>Client Engagement team meeting, follow up meeting wtih Ali re /Tasman Agri</t>
  </si>
  <si>
    <t>Reimbursement journal process notes, Asana task allocation</t>
  </si>
  <si>
    <t>Parental leave notification and email to Jess</t>
  </si>
  <si>
    <t>Process superannuation for February Reimbursements allocation journal Email to client</t>
  </si>
  <si>
    <t>Email and Updating ASANA</t>
  </si>
  <si>
    <t>Email and updating ASANA</t>
  </si>
  <si>
    <t xml:space="preserve">Email </t>
  </si>
  <si>
    <t>Email and update ASANA</t>
  </si>
  <si>
    <t>Emai and XPM updates</t>
  </si>
  <si>
    <t>IAS</t>
  </si>
  <si>
    <t>Email and updates</t>
  </si>
  <si>
    <t>Checklist</t>
  </si>
  <si>
    <t>Initial BAS review, follow up email, giving resolution for BAS deadline and BAS findings, update ASANA and inform Shalini too</t>
  </si>
  <si>
    <t>BAS conti. and further digging of variance. Year 2022 and sent an email to Sarah and give a resolution/</t>
  </si>
  <si>
    <t>Google sheet and Excell app issue. Already raised to IT team</t>
  </si>
  <si>
    <t>Email. ARC clients and Teams Bern</t>
  </si>
  <si>
    <t>Morning email, ASANA message, updates XPM and Teams</t>
  </si>
  <si>
    <t>Asana, emails</t>
  </si>
  <si>
    <t>Fixing mailbox - issue in receiving emails</t>
  </si>
  <si>
    <t>weekly huddle including email issue resolution</t>
  </si>
  <si>
    <t>emails / customer onboarding</t>
  </si>
  <si>
    <t>AP weekly meeting</t>
  </si>
  <si>
    <t>CF / emails</t>
  </si>
  <si>
    <t>BDO visit / Mel catch up</t>
  </si>
  <si>
    <t xml:space="preserve">call with Sherly / emails / Compliance </t>
  </si>
  <si>
    <t>CF client list</t>
  </si>
  <si>
    <t>month-end / call with BIT</t>
  </si>
  <si>
    <t>Check and approving sales to A2X Import PAYPAL currencies Edited Clearing Account International  -Afterpay and Shopify Prepared Clearing report  -Paypal Domestic -Paypal International -Shopify Installment</t>
  </si>
  <si>
    <t xml:space="preserve">Email Management Bills raise to xero and make plan date for payment Bank reconciliation to BM  Importing CBA 7334 and reconciled Bank Reconciliation LOC Inc </t>
  </si>
  <si>
    <t>Catch up with Ms. Rose with LOC status and updates - non billable</t>
  </si>
  <si>
    <t>Support with the Team</t>
  </si>
  <si>
    <t>Email Management Bills Processing  Bank/Credit Card Recon</t>
  </si>
  <si>
    <t>Monthly Catch up with Ann   Team Ann Weekly Huddle  Email Management Asana Task Clean up</t>
  </si>
  <si>
    <t>Emma M. updated Ezidebit</t>
  </si>
  <si>
    <t>Fixed Ezidebit balances</t>
  </si>
  <si>
    <t>Update bills and request to Nick for payments via BDO</t>
  </si>
  <si>
    <t>Catch up emails and respond. Setup refund and other details.</t>
  </si>
  <si>
    <t>Catch up emails/update bank recs/Check with Shalini re: Ezidebit/Coordinate with Sylvie re: Capspace</t>
  </si>
  <si>
    <t>Cash Flow updating</t>
  </si>
  <si>
    <t>Catch up with Ms Con/Go to BDO and Spaces Office and pick up documents</t>
  </si>
  <si>
    <t>Dex emails and chat with Mark to resolve Sage login</t>
  </si>
  <si>
    <t>filing with ATO and emailing payslips for 4 orgs</t>
  </si>
  <si>
    <t>Fathom learning</t>
  </si>
  <si>
    <t>MtM manual journal  with Kate</t>
  </si>
  <si>
    <t>Fortnightly meeting with Alison</t>
  </si>
  <si>
    <t>email, AP, AR update</t>
  </si>
  <si>
    <t>iCare checking of payment plan fully overdue</t>
  </si>
  <si>
    <t>OMS V25 setup</t>
  </si>
  <si>
    <t xml:space="preserve">Adhoc reports Called Jeric for bank recs </t>
  </si>
  <si>
    <t>Dex  emails</t>
  </si>
  <si>
    <t>Staff onsite arrangement queries</t>
  </si>
  <si>
    <t>XPM WIP</t>
  </si>
  <si>
    <t>Admin - staff inquiries, emails Continue WIP building via XPM Asana update</t>
  </si>
  <si>
    <t>Timesheet cutoff review Capacity weekly update Attending to CPR review query from Nick Staff approvals on sprout Asana update Files cleanup</t>
  </si>
  <si>
    <t>Meeting new CM Sherly</t>
  </si>
  <si>
    <t>Call with Jordan re:  Multiple filters and WIP</t>
  </si>
  <si>
    <t>weekly hudle</t>
  </si>
  <si>
    <t>Alliance SI - Weekly Huddle</t>
  </si>
  <si>
    <t>Weekly Team RJ huddle</t>
  </si>
  <si>
    <t>Catch up Maan re month end and other queries</t>
  </si>
  <si>
    <t>Enter weekly spreadsheet backlog, recon cash on hand</t>
  </si>
  <si>
    <t>Enter bank recon, weekly spreadsheet, reconcile</t>
  </si>
  <si>
    <t>Handover entering of weekly spreadsheet and cash on hand recon to Ge</t>
  </si>
  <si>
    <t>Morning emails, sort out asana tasks from April.</t>
  </si>
  <si>
    <t>Coho and Port Stephens - GST review and BAS checklist</t>
  </si>
  <si>
    <t>Wyzed training</t>
  </si>
  <si>
    <t>Refresher with Jeric to cover on Monday</t>
  </si>
  <si>
    <t>Action payroll emails</t>
  </si>
  <si>
    <t>Check business names registered for Upstage and trademarked. Email Tien to advise we will transfer Up Stage World to Upstage World Pty Ltd and ask if she would also like to register the business name Upstage World</t>
  </si>
  <si>
    <t xml:space="preserve">Check ATO remissions granted for ACN 078 081 893 Pty Limited and update Shalini so that she can (hopefully). invoice part of funds deposited by Bryan </t>
  </si>
  <si>
    <t>Finish process doc for BASS expense claims report</t>
  </si>
  <si>
    <t>AP and bank rec review Cashflow review Upload payments in Westpac</t>
  </si>
  <si>
    <t>Inbox management AP and bank rec Process docs Raise invoice (AR)</t>
  </si>
  <si>
    <t>Email payslips and file STP</t>
  </si>
  <si>
    <t>Process and resend revised payslip</t>
  </si>
  <si>
    <t>STP reconciliation and lodgment Gross wage and AL balance reconciliation Query sent to Wayne about AL YTD balance in payslip</t>
  </si>
  <si>
    <t>Check on portal re activity statement for Jan 2024. Various email correspondence with Rose re lodgement, advised to send payroll report to the other accountant for lodgement due to issues at our end</t>
  </si>
  <si>
    <t xml:space="preserve">Email to James re ATO payment plan, previous correspondence with client and ATO etc. </t>
  </si>
  <si>
    <t>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t>
  </si>
  <si>
    <t>Review of BAS for Dec 2023 quarter. Review transaction for shop sales, MV claim, disposal journal in Xero, send feedback to Elena/Ann to update</t>
  </si>
  <si>
    <t>CET weekly meeting</t>
  </si>
  <si>
    <t>Meeting with Shirley</t>
  </si>
  <si>
    <t>training course</t>
  </si>
  <si>
    <t>IT assist on camera issue</t>
  </si>
  <si>
    <t>Meet up with IT Jordan</t>
  </si>
  <si>
    <t>Meet up with Team leads Ann and Ralph</t>
  </si>
  <si>
    <t>Meet up with Admin Asst Gen</t>
  </si>
  <si>
    <t>Intro meeting with Shalini</t>
  </si>
  <si>
    <t>Client Onboarding Overview with Kate</t>
  </si>
  <si>
    <t>Pmt BLM SDL</t>
  </si>
  <si>
    <t>Capspace fixed fees discussion, review and send actual time invoice</t>
  </si>
  <si>
    <t xml:space="preserve">emails, Yubikey, new westpac A/C, AP, </t>
  </si>
  <si>
    <t>Finalise weekly timesheet, update Asana, emails, Teans</t>
  </si>
  <si>
    <t>Consolidated P&amp;L</t>
  </si>
  <si>
    <t>Email and Review</t>
  </si>
  <si>
    <t>Check manual journals in Xero and Set lock dates in Xero</t>
  </si>
  <si>
    <t>Bank Reconciliation, Check account transactions in MYOB, and Emails</t>
  </si>
  <si>
    <t>EOFY Checklist</t>
  </si>
  <si>
    <t>Goal setting workshop (and follow up correspondence and adding to intranet)</t>
  </si>
  <si>
    <t>Exit Interview Acknowledgement of resignation</t>
  </si>
  <si>
    <t>Recruitment - employment contract, correspondence re. adverts, coordinating interviews</t>
  </si>
  <si>
    <t>Queries on Dec 2023 BAS</t>
  </si>
  <si>
    <t>call with Mary - fix MV sale and disposal of asset</t>
  </si>
  <si>
    <t>chats, concerns</t>
  </si>
  <si>
    <t>call with Mary re TGS</t>
  </si>
  <si>
    <t>chats re staff concerns</t>
  </si>
  <si>
    <t>Ef's probationary review discussion and email to Z</t>
  </si>
  <si>
    <t>chats, break</t>
  </si>
  <si>
    <t>chats, emails on BAS queries and concerns, check BAS status and follow up with key persons, etc</t>
  </si>
  <si>
    <t>Payroll Tax Training</t>
  </si>
  <si>
    <t>catchup with Mary re TGS</t>
  </si>
  <si>
    <t>call with Elena</t>
  </si>
  <si>
    <t>*Payroll Tax Training  *short sporadic meetings for flows and intranet   *continuation of flows</t>
  </si>
  <si>
    <t xml:space="preserve">Processing of Reimbursements </t>
  </si>
  <si>
    <t xml:space="preserve">Creating and review of EFT lists for payment </t>
  </si>
  <si>
    <t xml:space="preserve">Alliance Automation Part 2 and 3 Development </t>
  </si>
  <si>
    <t>Checking previous emails to confirm portion of business travel expense</t>
  </si>
  <si>
    <t>Checking emails, loading bills, creating invoices, bank recon</t>
  </si>
  <si>
    <t>5th month evaluation</t>
  </si>
  <si>
    <t>Meeting with Xavier + Irish re: client service delivery issues, highlight errors. Review Xero file for quality Email Joanee re: service termination Update Alison Follow up with Melissa/Abraham re: CFO work</t>
  </si>
  <si>
    <t>Meeting with Eli re: Trust Deed accounting Vishal re: meeting set-up Review Eli's email on FY24 forecast/budget, consider implementation options</t>
  </si>
  <si>
    <t>Debtors, resolve emails from last week Email to Eli re:revenue shortfall explanation + draft note to the Board</t>
  </si>
  <si>
    <t>Meeting with Ann Morei re: staff performance feedback on TGS, specific examples and action plan Meeting with Mary Ann Carpio re: service delivery issues on TGS + way forward Time from last week - emails to Shalini with examples on performance issues</t>
  </si>
  <si>
    <t>cancelled meeting w/ Elena</t>
  </si>
  <si>
    <t>emails/calendar invite</t>
  </si>
  <si>
    <t>bank rec</t>
  </si>
  <si>
    <t>inbox/teams/Sprout</t>
  </si>
  <si>
    <t>call w/ Elena &amp; Irish - CFO services</t>
  </si>
  <si>
    <t>Ptax training</t>
  </si>
  <si>
    <t>- Retrieval of April Tortal's equipment. - ASIC - ATO   - Superfoods Australia Request for GIC Remission - Research and prepared a case letter. - Emails</t>
  </si>
  <si>
    <t xml:space="preserve">Checking intercompany accounts, </t>
  </si>
  <si>
    <t xml:space="preserve">Reconciliation for tax </t>
  </si>
  <si>
    <t>Bank recs, manual journals</t>
  </si>
  <si>
    <t>Meeting with Elena</t>
  </si>
  <si>
    <t>Checking emails</t>
  </si>
  <si>
    <t>PAYG rec updates, creating new payroll folders</t>
  </si>
  <si>
    <t>severe dysmenorrhea</t>
  </si>
  <si>
    <t>Vacation</t>
  </si>
  <si>
    <t>Internal Dex mtgs</t>
  </si>
  <si>
    <t xml:space="preserve">Mtg with Sharon - repayment plans + updates to tracking sheet </t>
  </si>
  <si>
    <t>Shortlisting resumes - Estimating, Finance Inbox Daily HR mtg Mgmt fortnightly mtg Workload prep - 1 month look ahead Phone screens Fix offboarding workflow graph to resolve due date errors</t>
  </si>
  <si>
    <t>client report request</t>
  </si>
  <si>
    <t>AP Items sent to client, bank recon, bills in draft</t>
  </si>
  <si>
    <t>AP report, bank recon, statement lines.</t>
  </si>
  <si>
    <t>invisalign invoices, bank recon, ap items</t>
  </si>
  <si>
    <t>AP Items, hubdoc, invoices from procore</t>
  </si>
  <si>
    <t>AP Items, fortnight payroll</t>
  </si>
  <si>
    <t>Bank recon a&amp;e myhill, hubdoc, email sort to folders</t>
  </si>
  <si>
    <t>Bank recon, bills sent to client, dext prepare items</t>
  </si>
  <si>
    <t>Automations - Surefire</t>
  </si>
  <si>
    <t>SureFire Services Automation</t>
  </si>
  <si>
    <t>Emails, update CS to use timesheets Review of location codes for SVS costings</t>
  </si>
  <si>
    <t>Contra agreement journal for FY2023</t>
  </si>
  <si>
    <t>FY23 revew</t>
  </si>
  <si>
    <t>Update issues log and resolve issues based on Tyson responses.  Save bank statements to OneDrive</t>
  </si>
  <si>
    <t>Emails, meeting arrangemetn with Deb etc. fees for Zoe</t>
  </si>
  <si>
    <t>Client meeting - Pinnacle and Spectrum, Julian</t>
  </si>
  <si>
    <t>Updates to Asana tasks, assign to projects</t>
  </si>
  <si>
    <t>Caht with Nick re AI</t>
  </si>
  <si>
    <t>REview Asana, emails, teams, calendar and location for meeting</t>
  </si>
  <si>
    <t>Travel - to and from Surry Hills (train delays)</t>
  </si>
  <si>
    <t>Sydney meeting</t>
  </si>
  <si>
    <t>Check issues and update</t>
  </si>
  <si>
    <t>Super updates, email to Ash</t>
  </si>
  <si>
    <t>Follow Up Non-Attendance Trial (Zeljko) - Found New Role - Workshop Hand/Storeperson - VIC - Nordfab - Alison</t>
  </si>
  <si>
    <t xml:space="preserve">Schedule &amp; Confirm Face-to-Face Interview (Kyle) - Sheet Metal Worker - NSW - Nordfab - Alison	</t>
  </si>
  <si>
    <t>Telephone Screen - Sheet Metal Worker (Kyle) - NSW - Nordfab - Alison</t>
  </si>
  <si>
    <t xml:space="preserve">Telephone Screen (Corey) - Skilled Tradesperson (Sheetmetal) - VIC - Nordfab - Alison </t>
  </si>
  <si>
    <t>Draft Employment Contract (Mohamed) - Factory Hand/Warehouse Assistant - NSW - Nordfab - Alison</t>
  </si>
  <si>
    <t>Review Seek applications - Skilled Tradesperson (Sheetmetal) - VIC - Nordfab - Alison  Review Seek applications - Technical Customer Service Coordinator - NSW - Nordfab - Alison</t>
  </si>
  <si>
    <t>Telephone Screens - Technical Customer Service Coordinator (Thiago &amp; Ravi) - NSW - Nordfab - Alison</t>
  </si>
  <si>
    <t>Call with Aileen</t>
  </si>
  <si>
    <t>BAS/IAS updates meeting with Shalini ( concern, status and critical issues</t>
  </si>
  <si>
    <t>Redoing of work due to adjustment made</t>
  </si>
  <si>
    <t>Dec, 2023 BAS variance and validating, email and call</t>
  </si>
  <si>
    <t xml:space="preserve">Dec 2023 BAS </t>
  </si>
  <si>
    <t>Dec, 2023 BAS</t>
  </si>
  <si>
    <t xml:space="preserve">Monitoring BAS/IAS monitoring. Updates all clients, ASANA, checking of Out to sign, XPM and Xero files. </t>
  </si>
  <si>
    <t xml:space="preserve">&gt;Outstanding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	Reconsolidating all clients from ASANA which not yet completed &gt;	Creating Template for payment overdue &gt;	Verifying ASANA that are not yet completed and checking in ATO portal &gt;	Chat and informed Accountant and CM about the Payment status &gt;	Send an email and compose message to BAS compliance GC &gt;	Checking if client set payment plan from ATO portal </t>
  </si>
  <si>
    <t>Weekly team meeting.</t>
  </si>
  <si>
    <t>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t>
  </si>
  <si>
    <t>CF / emails / Sherly's schedule for the week</t>
  </si>
  <si>
    <t>checking availability and setting up meeting to each member of the Alliance team</t>
  </si>
  <si>
    <t>preparing hand over file / setting up meeting / checking client availability / meeting with James</t>
  </si>
  <si>
    <t>meet &amp; greet with James / hand over with Sherly</t>
  </si>
  <si>
    <t xml:space="preserve">Payroll Tax Registration VIC and QLD / WorkCover QLD / BIR Compliance / emails </t>
  </si>
  <si>
    <t>Bills raise to xero Reponds to email Checked a2x and approve sales</t>
  </si>
  <si>
    <t>Email Management Bills raise to xero Bank Reconciliation BM and LOC Inc Approving sales to a2x Prepared Shopify Installment and check the right balances</t>
  </si>
  <si>
    <t>Topic 6.7 - GST Account (820) vs ATO Portal Balance Topic 6.8 BAS Lodged vs Profit &amp; Loss in Xero Topic 6.8.1 - BAS Reconciliation Common Errors and Issues</t>
  </si>
  <si>
    <t xml:space="preserve">Non Billable: Meeting with Ann regarding concerns to TGS month end.  </t>
  </si>
  <si>
    <t xml:space="preserve">Email Management  Bills Processing </t>
  </si>
  <si>
    <t>Email Management Bills Processing Invoice Processing Bank and Credit Card Recon Sending of unreconcilied credit card transactions to Michelle</t>
  </si>
  <si>
    <t>Email Management Asana Task Clean up</t>
  </si>
  <si>
    <t xml:space="preserve">Catch up with Elena re TGS </t>
  </si>
  <si>
    <t>Catch up and coordination with all the timesheets/dispute.  BIR rulings escalation and Alphalist validation request to download.</t>
  </si>
  <si>
    <t>Additional bills processed, catch up emails and respond.</t>
  </si>
  <si>
    <t>Catch up emails and bank recs updates</t>
  </si>
  <si>
    <t xml:space="preserve">Invoicing and timesheet review </t>
  </si>
  <si>
    <t>Filing of 1702Q for FY2024 2nd Quarter.</t>
  </si>
  <si>
    <t>Update compliance invoicing and send out to clients for billing</t>
  </si>
  <si>
    <t>Clean up setup of Travel allowance</t>
  </si>
  <si>
    <t>Checking of dispute for this cut-off</t>
  </si>
  <si>
    <t>🟨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t>
  </si>
  <si>
    <t>Amy's additional pay emails</t>
  </si>
  <si>
    <t>Meeting with Stuart  on month end</t>
  </si>
  <si>
    <t>Follow up tasks in Asana and adding subtasks</t>
  </si>
  <si>
    <t>financial model</t>
  </si>
  <si>
    <t>marsil icare</t>
  </si>
  <si>
    <t>srac bs recs update</t>
  </si>
  <si>
    <t>email, AR</t>
  </si>
  <si>
    <t>files, email</t>
  </si>
  <si>
    <t>hr pro</t>
  </si>
  <si>
    <t>hr pro evaluation</t>
  </si>
  <si>
    <t>Tax Advice</t>
  </si>
  <si>
    <t xml:space="preserve">Called Guia re Supply Crew concerns re questions of Emily </t>
  </si>
  <si>
    <t>Called Emily and Irish re adjustments of both companies and discussed adjusting entries.</t>
  </si>
  <si>
    <t>Weekly billable reporting XPM timesheets review</t>
  </si>
  <si>
    <t xml:space="preserve">Updating CPR and billable reporting </t>
  </si>
  <si>
    <t xml:space="preserve">Billable report additional tabs  timesheet review Sprout approvals </t>
  </si>
  <si>
    <t>Payroll tax training facilitation Preparation included</t>
  </si>
  <si>
    <t>last day run through Charmie</t>
  </si>
  <si>
    <t>meeting with Jordan</t>
  </si>
  <si>
    <t>Payroll Tax training</t>
  </si>
  <si>
    <t>Enter bills</t>
  </si>
  <si>
    <t>Entering bills</t>
  </si>
  <si>
    <t>Entering bills and checking statements, email from Deb</t>
  </si>
  <si>
    <t>Enter bills and check statements, check cash expenses and correct some transactions</t>
  </si>
  <si>
    <t>Update office sched, teams messages</t>
  </si>
  <si>
    <t>Capacity update to Ralph</t>
  </si>
  <si>
    <t>GST review and BAS checklist</t>
  </si>
  <si>
    <t>Payroll tax training</t>
  </si>
  <si>
    <t>Quick call with Ralph re performance pro</t>
  </si>
  <si>
    <t>Last day run-through - Charmie</t>
  </si>
  <si>
    <t>Load ABA for Henry Bull as per Dominic's request</t>
  </si>
  <si>
    <t>Payroll review and some queries to Jim</t>
  </si>
  <si>
    <t>Query from Kayenne re ERP instalment</t>
  </si>
  <si>
    <t>Action payroll emails, update live file for payroll processing</t>
  </si>
  <si>
    <t>Post journal for BAS Email client re payment</t>
  </si>
  <si>
    <t>Update cashflow file AP and bank rec review</t>
  </si>
  <si>
    <t>Accounts review Bank rec Inbox mgmt</t>
  </si>
  <si>
    <t>Import bank transactions Inbox managment Posting of AP bills</t>
  </si>
  <si>
    <t>Update AP run Upload payments</t>
  </si>
  <si>
    <t xml:space="preserve">Payroll tax training </t>
  </si>
  <si>
    <t xml:space="preserve">Update employee setup for Anna. Update her pay template in draft payrun. Email Kerry accordingly. </t>
  </si>
  <si>
    <t>Review BS as at 31.12.2023. Send comments to Logika/Lindsay for adjustment/clarification</t>
  </si>
  <si>
    <t>Weekly invoices, liaise with Con re payroll tax registration in QLD, etc</t>
  </si>
  <si>
    <t>Dec 2023 quarter BAS review &amp; lodgement</t>
  </si>
  <si>
    <t>Fortnightly catchup with Ali</t>
  </si>
  <si>
    <t>Meet and greet with James of Alliance</t>
  </si>
  <si>
    <t>Dell support on replacing camera</t>
  </si>
  <si>
    <t>3TOP- call with Stephen, review Chris'report, instructions to Rachele</t>
  </si>
  <si>
    <t xml:space="preserve">AP - bank - </t>
  </si>
  <si>
    <t xml:space="preserve">BLM - reconciliations - correct accounts </t>
  </si>
  <si>
    <t>email new fees</t>
  </si>
  <si>
    <t xml:space="preserve">Liaise with team, emails </t>
  </si>
  <si>
    <t>Teams catch up Stephen</t>
  </si>
  <si>
    <t>emails, teams, client admin, Asana</t>
  </si>
  <si>
    <t>emails Shalini and LM re BAM and BELCR</t>
  </si>
  <si>
    <t>Review BS rec, prepare monthly reports</t>
  </si>
  <si>
    <t>Weekly Catch up</t>
  </si>
  <si>
    <t>Exit Interview - Charmie</t>
  </si>
  <si>
    <t>Publish bills from Hubdoc to Xero</t>
  </si>
  <si>
    <t>Emails and Import contacts from AgriChain to Xero</t>
  </si>
  <si>
    <t>Enter bills in Sage and Update Team and Department List</t>
  </si>
  <si>
    <t>Meeting with Gerhard and Xavi regarding payroll concerns</t>
  </si>
  <si>
    <t>Correspondence re. nGage pulse survey Weekly HR meeting with FD Review of AussiePay data (in prep for salary reviews)</t>
  </si>
  <si>
    <t>Draft script for Sydney staff (office closure) and potential impacts</t>
  </si>
  <si>
    <t>Correspondence re. reporting line change request Weekly Finance/HR meeting Onboarding new employee Correspondence re. newhire Review of candidates</t>
  </si>
  <si>
    <t>check emails, chat Nick</t>
  </si>
  <si>
    <t>check Stump Capital</t>
  </si>
  <si>
    <t>check and respond to emails, check with Aileen re bank access</t>
  </si>
  <si>
    <t>Check Outstanding ATO Status file from LM and add notes</t>
  </si>
  <si>
    <t>review and update capacity</t>
  </si>
  <si>
    <t>chats, emails, Asana, attend to concerns/questions</t>
  </si>
  <si>
    <t>chats, emails, Asana, follow ups</t>
  </si>
  <si>
    <t>Check for client movements considering recent promotions, BAS/IAS status, etc</t>
  </si>
  <si>
    <t>Research on KeyPay set up, cross check with SRAC, etc</t>
  </si>
  <si>
    <t>monthly catchup</t>
  </si>
  <si>
    <t>call with LM re GST across entities</t>
  </si>
  <si>
    <t>monthly catchup with Cess</t>
  </si>
  <si>
    <t>Annual Physical Exam Schedule</t>
  </si>
  <si>
    <t xml:space="preserve"> *meeting with Z regarding intellicare  *continue flows</t>
  </si>
  <si>
    <t xml:space="preserve">Review of Comments from James for the EFT lists and updating Bank Details </t>
  </si>
  <si>
    <t xml:space="preserve">Checking of Statements </t>
  </si>
  <si>
    <t xml:space="preserve">Posting of Invoices </t>
  </si>
  <si>
    <t>Checking, sending follow-ups to client re queries</t>
  </si>
  <si>
    <t>Started BS recon</t>
  </si>
  <si>
    <t>bank recon for BAS</t>
  </si>
  <si>
    <t>Checking emails, loading bills, bank recon for BAS, checking Luke's eBay account to find missing bills, BS rec</t>
  </si>
  <si>
    <t>Xero set-up, emails</t>
  </si>
  <si>
    <t>review of forecast P&amp;L layout</t>
  </si>
  <si>
    <t>bank recs</t>
  </si>
  <si>
    <t>OT rates call w/ Gerhard</t>
  </si>
  <si>
    <t>email/teams settings</t>
  </si>
  <si>
    <t>check inbox</t>
  </si>
  <si>
    <t>- Retrieval of Charmie Patos equipment. - ASIC - ATO   - Continued work on the Superfoods Australia case. - Checked the working condition of April Tortal's returned equipment.</t>
  </si>
  <si>
    <t>bank recon email unreconciled items</t>
  </si>
  <si>
    <t>ap report</t>
  </si>
  <si>
    <t>AR invoice</t>
  </si>
  <si>
    <t>Reconciliation for tax queries</t>
  </si>
  <si>
    <t>Checking payroll emails, keeping notes</t>
  </si>
  <si>
    <t>Setup Xero, fix chart of accounts</t>
  </si>
  <si>
    <t>chat with Ge - speech chat with Xavi - Earjobs NZ</t>
  </si>
  <si>
    <t>emails, sprout, asana, XPM</t>
  </si>
  <si>
    <t>finalising work level instructions for Xero HQ report templates</t>
  </si>
  <si>
    <t>prepare work level instructions - xero HQ reports chat with shalini and ann chat with Jim about too nice IAS</t>
  </si>
  <si>
    <t>review of the query from Camila - remaining expenses how to account to other income</t>
  </si>
  <si>
    <t>meeting with shalini - re assistance on 3 clients</t>
  </si>
  <si>
    <t>HR, COO, Advisory mtg Case mgmt - Dinesh, Sonam, Zane etc Response to inbox queries</t>
  </si>
  <si>
    <t>Updates to Employment Contract Library templates in ELMO P&amp;C mtg - MD Ops/P&amp;C mtg 4-week handover doc progressed  Flexi work arrangement template created Change mgmt templates created</t>
  </si>
  <si>
    <t>emails, bank recon, ap bills</t>
  </si>
  <si>
    <t>emails, bank recon, uploading csv file and sent queries to client</t>
  </si>
  <si>
    <t>Update custom layout of P&amp;L for fintech and sent to client for checking, bank recon, ap items in dext</t>
  </si>
  <si>
    <t>AP Items, Dext Prep, bank recon</t>
  </si>
  <si>
    <t>AP items from procore, hubdoc</t>
  </si>
  <si>
    <t>Run: LOC Run: TB and Cashraw Automation of January 2024 Endorsement: Flatfile of Cashraw Dev: PrimeBuild Payroll Processing Report Automation</t>
  </si>
  <si>
    <t>Load ATO payments, email client</t>
  </si>
  <si>
    <t>Reprots fo rJudo as pr Julian request</t>
  </si>
  <si>
    <t>Load paymetns to ANZ</t>
  </si>
  <si>
    <t>Emails, teams, general client messages.  Call with Nick, catch up with PB team</t>
  </si>
  <si>
    <t>Review payrun and liaise with Mary Ann</t>
  </si>
  <si>
    <t>Payroll / contractors reviwe - RCTI for Jemimah and setup in bank</t>
  </si>
  <si>
    <t>Perf review / catch up with andrew Allison meeting re GL and costing PB emails / chat with Dean / Dave M</t>
  </si>
  <si>
    <t>Catch Up - Alison</t>
  </si>
  <si>
    <t>Book Relevant Drug &amp; Alcohol Test - Nederman - Bayswater, VIC - Alison</t>
  </si>
  <si>
    <t>Follow Up Face-to-Face Interview (Kyle) - Salary, Title, Tools &amp; Leave - Sheet Metal Worker - NSW - Nordfab - Alison</t>
  </si>
  <si>
    <t>Draft Employment Contract (Kyle) - Sheet Metal Worker - NSW - Nordfab - Alison</t>
  </si>
  <si>
    <t>Reference Check (Josh) - Kyle - Sheet Metal Worker - NSW - Nordfab - Alison</t>
  </si>
  <si>
    <t>Responding to Rose's queries</t>
  </si>
  <si>
    <t>Attending to Mary's queries</t>
  </si>
  <si>
    <t>Another meeting with Ann</t>
  </si>
  <si>
    <t>Attending to Ann' Queries</t>
  </si>
  <si>
    <t>Responding to queries, updating the WPS and creation of ASANA</t>
  </si>
  <si>
    <t>Meeting with Mary and attending to queries.</t>
  </si>
  <si>
    <t>Responding to queries and updating WPS</t>
  </si>
  <si>
    <t>Meeting with Sherly, attending to other queries</t>
  </si>
  <si>
    <t>Recharging invoice intercompany ( Refreshing and updating knowledge )</t>
  </si>
  <si>
    <t>The Trustee for Salmon Family Trust No 2</t>
  </si>
  <si>
    <t>XPM and Xero error</t>
  </si>
  <si>
    <t>Work late, and deducted to my salary.</t>
  </si>
  <si>
    <t>Phone call with AS to discuss HR Advisory.  Revision of testimonial for SAI  Revision of HR Casual resumes from Oct 2023 and email potential candidates casual HR job opportunity.</t>
  </si>
  <si>
    <t xml:space="preserve">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t>
  </si>
  <si>
    <t>provided documents for Tax</t>
  </si>
  <si>
    <t>Answered quaeries and processed adjustments for BAS</t>
  </si>
  <si>
    <t>collecting Documents for Tax</t>
  </si>
  <si>
    <t>Dec 2023 Qtr:  Respond to client queries on BAS email Shalini &amp; Lindsay back on BS questions Follow up on remission letter with Gen</t>
  </si>
  <si>
    <t>meet and greet Sherly</t>
  </si>
  <si>
    <t>hand over / Uniting Invoice / weekly AR call / team activity with Admin &amp; HR</t>
  </si>
  <si>
    <t>Meet &amp; Greet Sherly with Dext ASI Team</t>
  </si>
  <si>
    <t>handover BAS Process / call with the tax team</t>
  </si>
  <si>
    <t>payroll review / call with Mel</t>
  </si>
  <si>
    <t>went to bank to pay BIR 1702Q / went to BDO to check status of security deposit / went to Spaces to pick up documents</t>
  </si>
  <si>
    <t xml:space="preserve">Weekly bank Reconciliation </t>
  </si>
  <si>
    <t xml:space="preserve">Email Management Bills raise to xero Approving sales to a2x Bank reconciliation to BM and LOC Inc Double Checking of the right balances of clearing accounts </t>
  </si>
  <si>
    <t xml:space="preserve">Answer Performance evaluation for my fifth month </t>
  </si>
  <si>
    <t>Topic 7 - The Management Report Topic 7.1 - Executive Summary Report Topic 7.2 - Cash Summary Topic 7.3 - Profit &amp; Loss Report Topic 7.4 - Balance Sheet Report</t>
  </si>
  <si>
    <t xml:space="preserve">NON Billable: Meeting with LM regarding to the update of Q2 BAS.   Updating spreadsheet of Balance Sheet and PL as of 31 December 2024 in BAS Q2  Uploading of ATO IAS payment to ANZ and send the report to Lyn and Eli for approval.   Fixing Journal Entries </t>
  </si>
  <si>
    <t xml:space="preserve">Email Management Bill Processing Invoice Processing Preparation of reimbursement to Daniele Cameron expense   </t>
  </si>
  <si>
    <t xml:space="preserve">Email Management Asana Task Clean up  Follow up Skylife's Payment for Dexterous invoice no 18103  Email Management </t>
  </si>
  <si>
    <t xml:space="preserve">Reviewing of TGS Handover and reconciling Transactions </t>
  </si>
  <si>
    <t xml:space="preserve">Email Management Processing payment of 4 contractor Updating AU employees fortnight payroll Updating new employees in Xero </t>
  </si>
  <si>
    <t>Intellicare billing checking - dispute</t>
  </si>
  <si>
    <t>Timesheet review and invoice issue process email to Rachele</t>
  </si>
  <si>
    <t>Coordination with Ms Con re: concerns on billing and others</t>
  </si>
  <si>
    <t>Update ASIC tasks. Coordinate invoices for Alder Road. Coordinate with Sam re: LItica invoice</t>
  </si>
  <si>
    <t>Checking with Ms Tess/coordination of billing. Processing of cash advance from Mark Barte</t>
  </si>
  <si>
    <t>Process bills, take all Asana tasks, invoice and setup repeating templates. Catch up emails. Process bank recs. Give some TS as requested.</t>
  </si>
  <si>
    <t>Payroll processing for 25 Feb 2024 payout</t>
  </si>
  <si>
    <t>🟨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t>
  </si>
  <si>
    <t xml:space="preserve">excel formulas </t>
  </si>
  <si>
    <t>OKR</t>
  </si>
  <si>
    <t>email, AP</t>
  </si>
  <si>
    <t>Jan BS recs</t>
  </si>
  <si>
    <t>BR &amp; BS recs</t>
  </si>
  <si>
    <t>self eval</t>
  </si>
  <si>
    <t>with Ann</t>
  </si>
  <si>
    <t>Update capacity Xero cert Admin emails, staff queries</t>
  </si>
  <si>
    <t>WIP update CPR update 5th month eval start for M. Ticzon</t>
  </si>
  <si>
    <t>Call with Jordan Xero cert  Performance Pro Maan Billable report update - distinct values</t>
  </si>
  <si>
    <t>Fortnightly capacity file meeting</t>
  </si>
  <si>
    <t>Call with Jordan</t>
  </si>
  <si>
    <t>Check in with Maan, query on new employee for onboarding</t>
  </si>
  <si>
    <t>Call with Gerardo re gen exp - resto and liquor rebates</t>
  </si>
  <si>
    <t>Fin/Admin/HR virtual catch up</t>
  </si>
  <si>
    <t>Acton emails, respond to teams messages, update asana</t>
  </si>
  <si>
    <t>Salmon Family Trust - query from LM re sale of property for BAS purposes</t>
  </si>
  <si>
    <t>Query from client re repeating invoice and draft invoices. Check draft and respond to client to confirm if okay to delete both invoices in draft and repeating invoices</t>
  </si>
  <si>
    <t>Unapproved/unallocated timesheets report</t>
  </si>
  <si>
    <t>Payroll processing, setup new employee, update live file</t>
  </si>
  <si>
    <t>Payroll processing, call with Edz to update automation of payroll journals</t>
  </si>
  <si>
    <t>Respond to Phil with docs and recommendation to get advice re rights assigned to A and B class shares</t>
  </si>
  <si>
    <t>Respond to queries from Sylvie and Shalini re variation of PAYG instalment for December BAS</t>
  </si>
  <si>
    <t>BELCR AR - update JSA invoice</t>
  </si>
  <si>
    <t>AP and bank rec review</t>
  </si>
  <si>
    <t>Discuss client query with Jim</t>
  </si>
  <si>
    <t>Inbox mgmt AP and review bank rec Import bank transactions Upload payments</t>
  </si>
  <si>
    <t>Inbox management Upload payments AP</t>
  </si>
  <si>
    <t>Accounts and GST review</t>
  </si>
  <si>
    <t>Add super details</t>
  </si>
  <si>
    <t>Review super accruals report</t>
  </si>
  <si>
    <t>Review all employees have super</t>
  </si>
  <si>
    <t>Upload payables, email Katherine/Shalisa. Review deduction for an employee, liaise with Ann re payback in FY 2024</t>
  </si>
  <si>
    <t>Scope change form for Alliance &amp; Emma M.</t>
  </si>
  <si>
    <t>Various internal calls/emails/massages re Manila trip, invoices, QLD payroll tax registration with Con, onboarding tasks, start with scope change form for Shipley, etc</t>
  </si>
  <si>
    <t>Send copy of quarterly IAS, update XPM for signatory</t>
  </si>
  <si>
    <t>Dec 2023 quarter review and lodgement. Liaise with Sam/Sylvie re PAYGI, vary same, update WPS and XPM</t>
  </si>
  <si>
    <t>Dec 2023 quarter review and lodgement. Internal queries and confirmtion</t>
  </si>
  <si>
    <t>Catch-up with Nica re assistance required</t>
  </si>
  <si>
    <t>Capacity planning meeting</t>
  </si>
  <si>
    <t>Email NZ accountant in relation to GST setup in Xero</t>
  </si>
  <si>
    <t>Meet with Tax team</t>
  </si>
  <si>
    <t>Meet with Alliance team</t>
  </si>
  <si>
    <t>meet AP and AR team</t>
  </si>
  <si>
    <t>Opening Payroll Account</t>
  </si>
  <si>
    <t>Overview AP Process with Regie</t>
  </si>
  <si>
    <t>Training Course</t>
  </si>
  <si>
    <t>payment Chris Turner - emails re SGD account</t>
  </si>
  <si>
    <t>Review Offsite cost recharge- create 3 invoices-email directors</t>
  </si>
  <si>
    <t>review draft financial statements Fy 2023</t>
  </si>
  <si>
    <t>Chat to Carly re Shipley, run and send P&amp;L and BS</t>
  </si>
  <si>
    <t>Josh email re JPE financials, issue FY 2024</t>
  </si>
  <si>
    <t>email re debt collection</t>
  </si>
  <si>
    <t>emails, liaise with Team</t>
  </si>
  <si>
    <t>Call with Amanda- email to Dext</t>
  </si>
  <si>
    <t>Asana, emails, timesheet</t>
  </si>
  <si>
    <t xml:space="preserve">Liaise with team re capacity and leave </t>
  </si>
  <si>
    <t>Review BAM December BAS, chat Sam and Shalini re PAYGI, email to Stephen</t>
  </si>
  <si>
    <t>Consolidated Accounts @ January + Conso 12 mths to Dec23</t>
  </si>
  <si>
    <t>BASS financials at 30 June - change layout P&amp;L and BS in xero - send accounts BAM and BASS to stephen</t>
  </si>
  <si>
    <t>Email and Manual Journal</t>
  </si>
  <si>
    <t>Clear AP inbox and Submit bills for approval</t>
  </si>
  <si>
    <t>F/up re. town hall Town Hall presentation Correspondence re. IT/email accounts</t>
  </si>
  <si>
    <t>Discussion with manager re. recruitment requirements and coaching re. performance reviews</t>
  </si>
  <si>
    <t>Call/coaching re. office closure discussion</t>
  </si>
  <si>
    <t>Correspondence re. reporting line changes Recruitment/onboarding of newhire</t>
  </si>
  <si>
    <t>Team engagement activity</t>
  </si>
  <si>
    <t>Coordinate direct report movements, Request Z for updates in access (movement in direct reports), chats re updates on handovers, etc</t>
  </si>
  <si>
    <t>chats, emails, attend to concerns/queries, list items for discussion with Guia, etc</t>
  </si>
  <si>
    <t>review capacity, coordinate transfer of client/task, chats re Dext billable/nonbillable tasks, check Asana per staff, etc</t>
  </si>
  <si>
    <t>call with Guia re SA responsibilities</t>
  </si>
  <si>
    <t>*meeting with Alison  *Sporadic meetings and finalizations  *continuation of flows</t>
  </si>
  <si>
    <t xml:space="preserve">Leave Reports </t>
  </si>
  <si>
    <t xml:space="preserve">Marking as Paid in Simpro </t>
  </si>
  <si>
    <t>Review of Statements and batching of bills for AMEX Payment</t>
  </si>
  <si>
    <t>Checking</t>
  </si>
  <si>
    <t>Loading bills from HubDoc, bank recon for BAS</t>
  </si>
  <si>
    <t>Email management, loading bills, bank recon</t>
  </si>
  <si>
    <t>Handover meeting with Gerardo</t>
  </si>
  <si>
    <t>convo w/ Mary re: review and schedule</t>
  </si>
  <si>
    <t>call w/ Jim re: forecast P&amp;L layout</t>
  </si>
  <si>
    <t>Xero set-up CoA/ contacts</t>
  </si>
  <si>
    <t>teams, queries</t>
  </si>
  <si>
    <t>emails/teams/queries/Sprout</t>
  </si>
  <si>
    <t>team acitivity</t>
  </si>
  <si>
    <t>payroll process walkthrough w/ Rose and Sherley</t>
  </si>
  <si>
    <t>Budget report. import file</t>
  </si>
  <si>
    <t>bank recon process ap invoices from email</t>
  </si>
  <si>
    <t>reviewing recorded training, checking previous invoices</t>
  </si>
  <si>
    <t>bank recon call with Ms.Ef</t>
  </si>
  <si>
    <t>bank recon process invoices from email</t>
  </si>
  <si>
    <t>ap batch payment</t>
  </si>
  <si>
    <t>Checking queries</t>
  </si>
  <si>
    <t>Bank recs, checking of ATO payments</t>
  </si>
  <si>
    <t>Checking pending AS and sending email follow-up to client, checking accounts</t>
  </si>
  <si>
    <t>Tax queries</t>
  </si>
  <si>
    <t>SA meeting with Ann</t>
  </si>
  <si>
    <t>Filing pay runs to ATO, publishing payslips</t>
  </si>
  <si>
    <t>Exporting ABA files</t>
  </si>
  <si>
    <t>Checking pay run and sending email follow-up</t>
  </si>
  <si>
    <t>email follow up client</t>
  </si>
  <si>
    <t>continue setting up Xero</t>
  </si>
  <si>
    <t>complete Xero file setup</t>
  </si>
  <si>
    <t>Balance Sheet prep</t>
  </si>
  <si>
    <t>emails, asana, chat with Sylvie</t>
  </si>
  <si>
    <t>check trainings sent by Nick</t>
  </si>
  <si>
    <t>reply to client query</t>
  </si>
  <si>
    <t>training with Ge how to import budget</t>
  </si>
  <si>
    <t>update forecast file</t>
  </si>
  <si>
    <t>emails, asana, chat with Ann review trainings meeting with Ali</t>
  </si>
  <si>
    <t>Jan 24 Super</t>
  </si>
  <si>
    <t>MD LOO HR Daily Huddle Employment Contract template updates Phone Screen - Finance Handover prep Phone screen - Estimator VIC Formal performance mgmt advice - SM VIC lever trouble shooting Inbox enquiries</t>
  </si>
  <si>
    <t>AP bills review and sent to client for batch upload</t>
  </si>
  <si>
    <t>AP items, dext prepare, emails, batch sent to client for payrun</t>
  </si>
  <si>
    <t>ap items</t>
  </si>
  <si>
    <t>Client query fill up data for their forecast excel, ap items</t>
  </si>
  <si>
    <t>ap items, bank recon, update on BS recon</t>
  </si>
  <si>
    <t>Finalise custom report for P&amp;L forecast as requested by John Cousins.</t>
  </si>
  <si>
    <t>Check DL and laiise with Ef re Lucia personal payment</t>
  </si>
  <si>
    <t>Return form to Mercer for overpaid super.  Non billable - Dext error</t>
  </si>
  <si>
    <t>Email to Tyson with ATO payment details</t>
  </si>
  <si>
    <t>Email to Ash re Oporto queries</t>
  </si>
  <si>
    <t>Reports for 4 entities to Julian / Eric</t>
  </si>
  <si>
    <t>Load payments, email to Marianne, process update and emailt o Ef</t>
  </si>
  <si>
    <t>Call iwth Jess Invocing for Dexterous</t>
  </si>
  <si>
    <t>Emails, Asana</t>
  </si>
  <si>
    <t>Emails, calls</t>
  </si>
  <si>
    <t>Emails, call with Ali, teasm</t>
  </si>
  <si>
    <t>Download PRODA letter and setup meeting with Allison</t>
  </si>
  <si>
    <t xml:space="preserve">Load payroll to bank, import visa card statements </t>
  </si>
  <si>
    <t xml:space="preserve">Sueprannuation for all Oporto PHG entities, email to client </t>
  </si>
  <si>
    <t>Load payrolls to bank and send email</t>
  </si>
  <si>
    <t>Finalise payroll and send emails to team / Mohit for cash</t>
  </si>
  <si>
    <t>REview payroll and meting with MAry, call to Matt Finalise RCTIs for contractors</t>
  </si>
  <si>
    <t>Payroll reviews</t>
  </si>
  <si>
    <t>Exit Interview - Ze</t>
  </si>
  <si>
    <t>Verbal Employment Offer Acceptance (Kyle) - Sheet Metal Worker - NSW - Nordfab - Alison</t>
  </si>
  <si>
    <t>Reference Check (Gerry) - Kyle - Sheet Metal Worker - NSW - Nordfab - Alison</t>
  </si>
  <si>
    <t>Sent an email to Bern and part of quality control</t>
  </si>
  <si>
    <t>Responding to Queries and checking details.</t>
  </si>
  <si>
    <t>Attending to queries and checking of 162 variance</t>
  </si>
  <si>
    <t xml:space="preserve">XPM update ( Checking pending OTS &amp; ASAN ) and inform the client. </t>
  </si>
  <si>
    <t>&gt;Fixing Error in XPM and AS refill &gt;Template creation &gt;BAS prep and process &gt;Reading email and Asana</t>
  </si>
  <si>
    <t xml:space="preserve">&gt;	updating and creating BAS template  &gt;	updating ASANA &gt;	updating template for use of import report &gt;	Checking of previous BAS lodgemend &gt;	Checking &amp; Reading outlook emails in case there is special notes/instruction &gt;	Reading ASANA if there is previous instruction from Shalini &gt;	Looking for onedrive folder. &gt;	Encoding client other details in ASANA, XPM &amp; Xero file &gt;	Creating File name &gt;	Checking of previous BAS activity statement &gt;	Checking of financial setting &gt;	Validating invoices &gt;	Initial check of BAS recon &gt;	Initial check of Sale Recon recon &gt;	Checking FBT inst. Registration from ATO portal &gt;	Verifying ATO portal those posted in Xero book ( from previous quarter to current ) &gt;	Checking of previous variance &gt;	Validating difference of GST  &gt;	Initial Review BAS &gt;XPM error &gt;Fixing details in XPM &gt;Checking of code in ATO portal RE-EMAIL &gt;Received email from Shalini, regarding the adjustment &gt;Update the WPS &gt;Did manual recon &gt;Update the ASANA &gt;Update the BAS list </t>
  </si>
  <si>
    <t>Dec 2023 BAS including meeting, recon, XPM, ATO, template and 144K variance</t>
  </si>
  <si>
    <t>Work late and deducted to my salary</t>
  </si>
  <si>
    <t>Phone interview with applicant for casual admin HR role and set up interview face to face for next week, Teams message COO with information.</t>
  </si>
  <si>
    <t xml:space="preserve">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t>
  </si>
  <si>
    <t>Consolidated supporting docs for Tax Team</t>
  </si>
  <si>
    <t>Employee set up</t>
  </si>
  <si>
    <t>answer queries raised by employees regarding super</t>
  </si>
  <si>
    <t>Load all BAS from FY18 to FY23 to tax team one drive Reconcile ATO BAS account Emails to Daniel re GST</t>
  </si>
  <si>
    <t>Collections process with Sherly</t>
  </si>
  <si>
    <t>catch up Mel / CF / emails</t>
  </si>
  <si>
    <t>call with James - GP Analysis</t>
  </si>
  <si>
    <t>adhoc report</t>
  </si>
  <si>
    <t>Variations Analysis / Updating BS Rec file / Checking salary incentives account</t>
  </si>
  <si>
    <t>PL Analysis / hand over / emails / setup BAS Payment</t>
  </si>
  <si>
    <t>Payment uploading to Combizz Import Paypal currencies and reconciled Bills raise to xero postscript transactions Postscript transactions to a2x sales sent to xero Reconciled postscript transactions to LOC Inc Account</t>
  </si>
  <si>
    <t xml:space="preserve">Email Management Bills raise to xero  check and approved sales in a2x Bank Reconciliation BM and LOC Inc Payroll Onboarding for new Employee Prepared Payment summary report for approval </t>
  </si>
  <si>
    <t xml:space="preserve">Email Management Bills Processing Bank Recon Richbox Loan Recon </t>
  </si>
  <si>
    <t xml:space="preserve">Email Management Forwarding of Bills in AU Hubdoc Reconciling of Bills and invoices against vendors statement   </t>
  </si>
  <si>
    <t>Email Management Bills Processing Bank/Credit Card Recon Preparation of Cash Flow Sending of updated unreconciled credit card transactions to Michelle and Nicole</t>
  </si>
  <si>
    <t>Team Ann Social Activity  Email Management  Asana Task Clean up</t>
  </si>
  <si>
    <t>NON Billable  Meeting with Kate RE: update in Today's AU Payroll  NON Billable  Meeting with Kate RE: update in Today's AU Payroll  Finalising AU Payroll, send ABA and payroll summary to Kate and sending of Payslips</t>
  </si>
  <si>
    <t>Additional invoicing based on Asana tasks</t>
  </si>
  <si>
    <t>Further checking/concerns for the requested bills. Follow up Kate for invoicing. Update BAS/IAS repeating template as per Shalini.</t>
  </si>
  <si>
    <t>Checking of emails. Endorse payables to Nick. Prepare schedule and ABA file.</t>
  </si>
  <si>
    <t xml:space="preserve">BIR installation by Mark and rechecking </t>
  </si>
  <si>
    <t>Prepare BIR 1604E For CY2023 and schedule for Alphalist - for Branch</t>
  </si>
  <si>
    <t>Prepare BIR 1604E For CY2023 and schedule for Alphalist - for RO</t>
  </si>
  <si>
    <t>Meeting with Ms Con</t>
  </si>
  <si>
    <t>Payroll processing/request and BDO file upload preparation</t>
  </si>
  <si>
    <t>🟨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t>
  </si>
  <si>
    <t>Uploading payments in bank</t>
  </si>
  <si>
    <t>Preparing AP list</t>
  </si>
  <si>
    <t>uploading payroll payments</t>
  </si>
  <si>
    <t>Fathom help</t>
  </si>
  <si>
    <t>Meeting with Carly on financial model</t>
  </si>
  <si>
    <t>AR reports</t>
  </si>
  <si>
    <t>Ap</t>
  </si>
  <si>
    <t>email, call icare</t>
  </si>
  <si>
    <t>marsil icare internal queries/ with Rose and prepare wps for multiple yrs</t>
  </si>
  <si>
    <t>AP. recs</t>
  </si>
  <si>
    <t>email/chat</t>
  </si>
  <si>
    <t>Team meeting</t>
  </si>
  <si>
    <t>3top recs</t>
  </si>
  <si>
    <t>January Super reviewed</t>
  </si>
  <si>
    <t>5th month eval - Maan Ticzon</t>
  </si>
  <si>
    <t>Xero cert -self phased completion</t>
  </si>
  <si>
    <t>Finished graph model for billable analysis</t>
  </si>
  <si>
    <t>Billable update continued Xero cert</t>
  </si>
  <si>
    <t xml:space="preserve">Finalizing billable dashboard Admin - staff matters, queries, emails </t>
  </si>
  <si>
    <t>Query from Ge re IAS</t>
  </si>
  <si>
    <t>Requesting for deferral</t>
  </si>
  <si>
    <t>Review actual wages (x4 FY) discussion with Cess</t>
  </si>
  <si>
    <t>Discussion with Cess BAS, outstanding iCare dec, Martin's wages</t>
  </si>
  <si>
    <t>Fixing up tax code and account code of some Dec23 quarter transactions</t>
  </si>
  <si>
    <t>Emails with Deb re BAS, IAS payments, and review Dec23 books</t>
  </si>
  <si>
    <t>Payroll processing overview with Sherly and Xavi</t>
  </si>
  <si>
    <t>Teams messages</t>
  </si>
  <si>
    <t>Morning emails, teams messages</t>
  </si>
  <si>
    <t>Call wit LM re PAYG</t>
  </si>
  <si>
    <t>Fix pay template to top up super,  delete draft invoices as per email, process top up super for this FN</t>
  </si>
  <si>
    <t>Action payroll emails, update query sheet, update employees' addresses as per ELMO</t>
  </si>
  <si>
    <t>Catch up with Con re novated lease and month end workings of novated lease clearing account</t>
  </si>
  <si>
    <t>Review and update workpapers and tax return Journal dividend at 31 Oct 23 to repay director loans at 30 June 2023 and run past Sylvie and Shalini</t>
  </si>
  <si>
    <t>Set up new bank accounts in BELCR</t>
  </si>
  <si>
    <t>Post journal for Jan24 IAS Send email reminder re IAS/BAS</t>
  </si>
  <si>
    <t>Update pending transactions file and send to Carly.</t>
  </si>
  <si>
    <t>Inbox mgmt Bank rec</t>
  </si>
  <si>
    <t>Set up new bank accounts in Xero Connect bank feeds</t>
  </si>
  <si>
    <t>Import bank transactions Bank reconciliation Send follow up email to client re pending transactions for BAS</t>
  </si>
  <si>
    <t>AP run Update cashflow</t>
  </si>
  <si>
    <t>Process payroll Export reports Email client</t>
  </si>
  <si>
    <t>Review draft payroll Send query to Ash</t>
  </si>
  <si>
    <t>Complete set up of new employees Review draft payroll Set up OT pay item</t>
  </si>
  <si>
    <t>Attend to emails from Gary and John</t>
  </si>
  <si>
    <t>Send BPAY details for Lyndcote Pty Ltd BAS to David for payment. Request for further information for the Xero setup</t>
  </si>
  <si>
    <t>Gen messages to coordinate training time, Angela emails re debtor chasing, bank transactions for Dext</t>
  </si>
  <si>
    <t>Scope change form for Shipley. Finalise Emma M scope change form and send for signing</t>
  </si>
  <si>
    <t>Start with scope review for Marsill</t>
  </si>
  <si>
    <t>Follow up with team re IAS signature. Request for BAS deferrals, send list to team for approved deferrals</t>
  </si>
  <si>
    <t>Start preparing training materials</t>
  </si>
  <si>
    <t>Overview process of AP, AR and Payroll</t>
  </si>
  <si>
    <t>3TOP rec</t>
  </si>
  <si>
    <t>Review cc transactions, pay Rene's card</t>
  </si>
  <si>
    <t>query Tracey on payment receipt</t>
  </si>
  <si>
    <t>queries new bank accounts</t>
  </si>
  <si>
    <t>Review and send procedures and task list</t>
  </si>
  <si>
    <t>Try access and change details QRO</t>
  </si>
  <si>
    <t>Call and email Josh, Nick, Nica</t>
  </si>
  <si>
    <t>Correct Fathom layout and actual invoices in BASS</t>
  </si>
  <si>
    <t>RIL - Summarise ATO situation for 2 entities</t>
  </si>
  <si>
    <t>Check Hubdoc and Email/Inbox Management</t>
  </si>
  <si>
    <t>Create a Prepayment Schedule and Manual Journals</t>
  </si>
  <si>
    <t>Call with Nicole</t>
  </si>
  <si>
    <t>Quickbooks Training</t>
  </si>
  <si>
    <t>Check FWO awards rate</t>
  </si>
  <si>
    <t>Town Hall Meeting with VP HR  Correspondence re. email accounts/distribution lists Coordinate Difficult Conversations training</t>
  </si>
  <si>
    <t>Correspondence re. warehouse issues</t>
  </si>
  <si>
    <t>Correspondence re. recruitment/review of applications</t>
  </si>
  <si>
    <t>Enter new investors in Xero</t>
  </si>
  <si>
    <t>call with Mary re queries</t>
  </si>
  <si>
    <t>Atlantis - check email and updates, post adjustment to reconcile with TMO</t>
  </si>
  <si>
    <t>update management reports for changes in data, chats with Sylvie re CPDF holidngs</t>
  </si>
  <si>
    <t>Check info on CPDF holdings, try to figure how to go about Tim's request, check emails</t>
  </si>
  <si>
    <t>chats, double check team APE sched, attend to concerns/queries, etc</t>
  </si>
  <si>
    <t>chats, emails, Sprout, check APE sched, review capacity, check hrs in capacity vs invoice (cost), etc</t>
  </si>
  <si>
    <t>Update file; Global team meeting</t>
  </si>
  <si>
    <t>*handover finalization  *Sporadic meetings and finalizations  *continuation of flows</t>
  </si>
  <si>
    <t>Run four Alliance automations + AP automation; Fixed OneDrive issue where Raw Files folder on local machine not updating</t>
  </si>
  <si>
    <t>Alliance Automation Part 2 and 3 Development Payroll Journal Reports Generation</t>
  </si>
  <si>
    <t>checking the account, reading emails to get details of the quotes</t>
  </si>
  <si>
    <t>Trying to figure out what to do re the Zendesk prepayment</t>
  </si>
  <si>
    <t>Checking emails, loading bills, bank recon, AP file</t>
  </si>
  <si>
    <t>Checking emails, loading bills, creating quotes as requested by Anna, bank recon, weekly report</t>
  </si>
  <si>
    <t>Introduction to Lucia</t>
  </si>
  <si>
    <t>Follow up on meeting request Set up meeting get necessary info (eg notice period)</t>
  </si>
  <si>
    <t>Set up meeting with Vishal Respond to Ilana re: Rabbi Apple fund accounting</t>
  </si>
  <si>
    <t>Investigate + summarise response to letter re: missed deadlines for CSG from ATO check on current status of financials</t>
  </si>
  <si>
    <t>super and bank integration</t>
  </si>
  <si>
    <t>review/ prepayments adj</t>
  </si>
  <si>
    <t>client intro w/ internal Dex team &amp; Lucia</t>
  </si>
  <si>
    <t>emails/queries/teams/calendar sched/reminders/Sprout</t>
  </si>
  <si>
    <t>emails/ queries</t>
  </si>
  <si>
    <t>review, adjustments, upload, approval</t>
  </si>
  <si>
    <t>review and adjustment</t>
  </si>
  <si>
    <t>checking budget reports</t>
  </si>
  <si>
    <t>bank transaction call with Ms.Rose</t>
  </si>
  <si>
    <t>re-checking of processed invoices</t>
  </si>
  <si>
    <t>emails regarding bas ang ias</t>
  </si>
  <si>
    <t>Updating invoices</t>
  </si>
  <si>
    <t>Recording of invoices</t>
  </si>
  <si>
    <t>Responding to emails, checking inbox</t>
  </si>
  <si>
    <t>Recording of invoices, Bank recs</t>
  </si>
  <si>
    <t>Bank recs, recording of invoices, manual journals</t>
  </si>
  <si>
    <t>Recon for tax queries</t>
  </si>
  <si>
    <t>meeting with Sylvie - JPE trust</t>
  </si>
  <si>
    <t>balance sheet prep</t>
  </si>
  <si>
    <t>balance sheet discussion with Sylvie</t>
  </si>
  <si>
    <t>read emails, check email about Chemika - read email thread</t>
  </si>
  <si>
    <t>emails, chats, read about Aider chat with Sylvie about JPE trust</t>
  </si>
  <si>
    <t>idle - power interruption</t>
  </si>
  <si>
    <t>review the query from Client</t>
  </si>
  <si>
    <t xml:space="preserve">Employment Relations matter - Rob Morris LOO T&amp;C - Nick Saclley Phone calls to/from mgmt </t>
  </si>
  <si>
    <t>Contract audit - base &amp; super T&amp;C</t>
  </si>
  <si>
    <t>invisalign invoices, bank recon</t>
  </si>
  <si>
    <t>bills, emails sort, hubdoc</t>
  </si>
  <si>
    <t>Update P&amp;L report, bank recon, dext prep</t>
  </si>
  <si>
    <t xml:space="preserve">AP Bills, Dext Prepare, Update P&amp;L report formats </t>
  </si>
  <si>
    <t xml:space="preserve">Check for Nine invoices - email to Lucia Message with Ef re AP, super allcoate tasks to Xavi </t>
  </si>
  <si>
    <t>PAX TECHNOLOGY- meeting with Deb onsite</t>
  </si>
  <si>
    <t>Travel to / from Deb onsite Central</t>
  </si>
  <si>
    <t>Email to Ef / Xavi re prepayments for Zendesk / accounting for new monthly billing</t>
  </si>
  <si>
    <t>Handover introduction to global team - non billable</t>
  </si>
  <si>
    <t>Review payroll information sent by client Initial client meeting Email to IT team re setting up new email address Review new Xero file setup form - request hard copy to edit from IT team</t>
  </si>
  <si>
    <t>Emails and Teams</t>
  </si>
  <si>
    <t xml:space="preserve">Call with Nick </t>
  </si>
  <si>
    <t>Catch up with new Mayday account manager Emails</t>
  </si>
  <si>
    <t xml:space="preserve"> Email to Zoe to confirm fees / EL Emails WPN exemption from STP legislation</t>
  </si>
  <si>
    <t>Emails - Aider email to Bailey (Aider) and Nick</t>
  </si>
  <si>
    <t>Work with Mark to setup email address for Angie, follow up on various asana tasks.</t>
  </si>
  <si>
    <t>Emails, teams - draft email to Deb to follow up from meeting</t>
  </si>
  <si>
    <t xml:space="preserve">Emails - review Ackad GST for BAS, email  Tyson Create Deb / Angie info file Review info on WPN / no ABN </t>
  </si>
  <si>
    <t>check tax for brent, email Eric</t>
  </si>
  <si>
    <t>Team chat with Bern</t>
  </si>
  <si>
    <t xml:space="preserve">15 mins coffee breaks as paid per Labor Code of the Philippines, Article 85. ( AFTERNOON ) </t>
  </si>
  <si>
    <t>Xero downtime and other Xero concern raised by IT</t>
  </si>
  <si>
    <t>XPM, Emails, Teamchat, Asana and other adhocs</t>
  </si>
  <si>
    <t>idle - internet issue and network interruption</t>
  </si>
  <si>
    <t>BAS con</t>
  </si>
  <si>
    <t>Redoing of work and further digging of variance due to adjustment</t>
  </si>
  <si>
    <t>Sort out Asana tasks</t>
  </si>
  <si>
    <t>Recruitment for HR Advisor - review Seek resumes x 25 and shortlist applicants.  Phone interviews.</t>
  </si>
  <si>
    <t>Various phone calls with CEO.  Redundancy paperwork and terminations. Various Teams calls with employees to be terminated, and Teams message.  Liaise with IT/Salesforce Manager to advise of IT access disablement tomorrow.  Type up statements of Service.</t>
  </si>
  <si>
    <t>GST Recs and organizing the folder</t>
  </si>
  <si>
    <t>Emails, Asana (Deleted hundreds of duplicate tasks)</t>
  </si>
  <si>
    <t>Answer Superannuation queries from employees. Called the Employee services for QSuper</t>
  </si>
  <si>
    <t>Year end recs - ATO Integrated account check documents loaded in tax team One Drive</t>
  </si>
  <si>
    <t xml:space="preserve">adhoc </t>
  </si>
  <si>
    <t>emails / BIR Review / follow up Aranas, BDO, Parlance / payroll tax  registration</t>
  </si>
  <si>
    <t>CF / emails / catch up Nick / Hand over Sherly / management meeting / call with RJ re Dext Internal</t>
  </si>
  <si>
    <t>GP analysis</t>
  </si>
  <si>
    <t>Prepared Clearing Account Domestic - Klarna -Shopify -Afterpay Bills raise to xero Updating pay template of Kaycee Prepared Clearing Account International -Afterpay -Klarna -Shopify approving postscript sales to a2x</t>
  </si>
  <si>
    <t xml:space="preserve">Email Management Bills raise to xero Approving sales to a2x Bank Reconciliation BM and LOC Inc Updated the Payroll info of Lauren and Anna </t>
  </si>
  <si>
    <t>Support and Admin</t>
  </si>
  <si>
    <t xml:space="preserve">Preparation of Weekly Batch Payment  Email Management Bills Processing Bank / Credit Card Recon </t>
  </si>
  <si>
    <t>Email Management Bills processing Bank Recon Sending Unreconciled Bank Transactions and AP report to Kate and Xavi</t>
  </si>
  <si>
    <t xml:space="preserve">Email Management Asana Task Clean up </t>
  </si>
  <si>
    <t>Further clean up of Asana tasks/Prepare report needed by Ali.</t>
  </si>
  <si>
    <t>Cleaning up Asana tasks on Onboarding-Offboarding clients</t>
  </si>
  <si>
    <t>Process invoices for BAS/IAS. Checking with CMs. Compliance invoicing update. Catch up emails and respond.</t>
  </si>
  <si>
    <t>Process BDO upload/Bank recs/Sending emails for 2307/Coordination the payout.</t>
  </si>
  <si>
    <t>Invoicing and updating all templates for invoicing</t>
  </si>
  <si>
    <t>Process 1604E for RO and Branch and prepare summary of Annual Alphalisting for both CY2023</t>
  </si>
  <si>
    <t>✅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t>
  </si>
  <si>
    <t>emails and logins</t>
  </si>
  <si>
    <t>filing and emailing payslips</t>
  </si>
  <si>
    <t>email to Yoko and call to Stuart</t>
  </si>
  <si>
    <t>Call with Stuart and prep for Square call</t>
  </si>
  <si>
    <t>follow up tasks Asana and meeting with Aileen Prep for Square call</t>
  </si>
  <si>
    <t>Call with Yoko from SquareTrade</t>
  </si>
  <si>
    <t>email, Files</t>
  </si>
  <si>
    <t>email, BR</t>
  </si>
  <si>
    <t>Jan2024 BS Recs</t>
  </si>
  <si>
    <t>Marsil -email for icare</t>
  </si>
  <si>
    <t>wyzed training</t>
  </si>
  <si>
    <t>3top recs &amp; meeting w/ Sylvie</t>
  </si>
  <si>
    <t>With Guia regarding Tax queries for both company</t>
  </si>
  <si>
    <t>Transferred Global team meeting tracker to MS list as suggestion  Sprout timesheet review (payroll tom)  Staff concerns  Prep for Ali catch-up  Start revamping team back-up plan</t>
  </si>
  <si>
    <t>Assist in payroll specialist selection/screening with HR  WIP research in XPM  APE progress tracking  5th month evaluation continued</t>
  </si>
  <si>
    <t xml:space="preserve">Global team meeting with Ali WIP analysis </t>
  </si>
  <si>
    <t>Finance catch-up</t>
  </si>
  <si>
    <t>Entering deposits from January</t>
  </si>
  <si>
    <t>Query from Jim re HB</t>
  </si>
  <si>
    <t>Emails, updating Asana</t>
  </si>
  <si>
    <t>Update Asana, remove payroll tasks for Kinala group</t>
  </si>
  <si>
    <t>Discussions in the office</t>
  </si>
  <si>
    <t>Discussion with Kate re archiving old locations</t>
  </si>
  <si>
    <t>Review new employee setup and pay update for Lauren</t>
  </si>
  <si>
    <t>Payroll journals x 9 Hours worked report x 2</t>
  </si>
  <si>
    <t>Review automated journals, emails to Allison, action payroll emails</t>
  </si>
  <si>
    <t>Deleting/Archiving finished jobs</t>
  </si>
  <si>
    <t>Payroll processing and peer review, finalise payroll</t>
  </si>
  <si>
    <t>Recode account allocation</t>
  </si>
  <si>
    <t>Review cashflow AP and bank rec review</t>
  </si>
  <si>
    <t>Inbox mgmt Review travel expense international account for recode Bank rec AP</t>
  </si>
  <si>
    <t>Update employee pay template Reprocess payroll</t>
  </si>
  <si>
    <t>Create and update employee's payroll calendar Update pay templates for car allowance Create draft payroll</t>
  </si>
  <si>
    <t>Upload payables and email Zoe</t>
  </si>
  <si>
    <t>Review letter to ATO for GI remission, update same and send to Logika for final review with further comments</t>
  </si>
  <si>
    <t xml:space="preserve">Attend to queries from Kerry and Prue. </t>
  </si>
  <si>
    <t>Travel time</t>
  </si>
  <si>
    <t>Onsite visit to meet with Alan and Catherine. Go over the scope list etc</t>
  </si>
  <si>
    <t>Assist with debtor chasing, download client list from ATO portal, send to Gen, Emma M, payment plan communication, bank transactions, review invoices sitting in draft and advise Mel, meeting with Mel re income by contact etc</t>
  </si>
  <si>
    <t>Meeting with Bern re workflow</t>
  </si>
  <si>
    <t>training and meeting overview process</t>
  </si>
  <si>
    <t>AMT Sybex inv query</t>
  </si>
  <si>
    <t>try get bank feed for CFM / query Ann on Units register</t>
  </si>
  <si>
    <t>Call ATO re GIC remission - email Stephen and Sam, update notes</t>
  </si>
  <si>
    <t>call Rachele re 3TOP rec</t>
  </si>
  <si>
    <t>Access to VPN with Mark and Josh, start downloading reports, email Josh, issues with Outlook and Excel</t>
  </si>
  <si>
    <t>emails, liaise with team, reach out to Logika</t>
  </si>
  <si>
    <t>Call with Nica</t>
  </si>
  <si>
    <t>Asana update, Teams, emails</t>
  </si>
  <si>
    <t>Fathom - correct report and actual, re-allocation of expenses, details for Stephen</t>
  </si>
  <si>
    <t>RIL - call ATO - email Shalini and Nick</t>
  </si>
  <si>
    <t>Update supplier's bank details in Xero</t>
  </si>
  <si>
    <t>Review of correspondence re. Sydney office</t>
  </si>
  <si>
    <t>Discussion re. CSG  Correspondence re. NSW sales Recruitment - review of applications</t>
  </si>
  <si>
    <t>internal catchup</t>
  </si>
  <si>
    <t>chats, emails, Sprout, Asana, chats re concerns, etc</t>
  </si>
  <si>
    <t>emails, Asana, Wyzed</t>
  </si>
  <si>
    <t>Probationary review Cess - complete form, discuss with Cess and email Z</t>
  </si>
  <si>
    <t>*final handover (EXT)  *meeting with Miguel for intranet  *Sporadic meetings and finalizations  *continuation of flows</t>
  </si>
  <si>
    <t xml:space="preserve">Leave Balances </t>
  </si>
  <si>
    <t xml:space="preserve">Meeting with Ms. Con </t>
  </si>
  <si>
    <t xml:space="preserve">Team Ann Weekly Huddle </t>
  </si>
  <si>
    <t>Alliance Automation Part 2 and 3 Development Lack of Colors Report Generation Alliance Debtor Report Generation</t>
  </si>
  <si>
    <t>Handover with Ge</t>
  </si>
  <si>
    <t>Adding journals for bills paid</t>
  </si>
  <si>
    <t>inbox management, AP payment</t>
  </si>
  <si>
    <t>bank recon, BS rec</t>
  </si>
  <si>
    <t xml:space="preserve">Meeting with Mel + Jo to discuss cessation of bookkeeping services Prepare email documenting the discussion + outcomes for the client Update internal team on way forward </t>
  </si>
  <si>
    <t>Arriva training: Empowering New Managers</t>
  </si>
  <si>
    <t>leave loading</t>
  </si>
  <si>
    <t>process ap invoices bank recon</t>
  </si>
  <si>
    <t>bank recon. Ap invoices from inbox. emails</t>
  </si>
  <si>
    <t>Process ap invoices from inbox</t>
  </si>
  <si>
    <t>AP batch payment</t>
  </si>
  <si>
    <t>call with Ms.Ef</t>
  </si>
  <si>
    <t>Checking accounts, sending follow-ups</t>
  </si>
  <si>
    <t>Empowering new managers Seminar</t>
  </si>
  <si>
    <t>assist Maann with A2x</t>
  </si>
  <si>
    <t>review scope of work, go through transactions in MYOB, estimate of fee</t>
  </si>
  <si>
    <t>internal meeting with Shalini - intro to Chemika</t>
  </si>
  <si>
    <t>clean up emails, files, XPM timesheets</t>
  </si>
  <si>
    <t>review linkedin trainings- provide updates to Nick</t>
  </si>
  <si>
    <t>prepare for the training video, idle time</t>
  </si>
  <si>
    <t>assist Ge on payroll query</t>
  </si>
  <si>
    <t>payroll queries</t>
  </si>
  <si>
    <t>Employment Relations matter - Rob Morris</t>
  </si>
  <si>
    <t>Client query, adjustment computation for employee tagged as working holiday maker</t>
  </si>
  <si>
    <t>Bank recon items, AP Bills</t>
  </si>
  <si>
    <t>Updating P&amp;L Reports for Fintech &amp; Livewire as per client pref</t>
  </si>
  <si>
    <t>Updating payroll profile</t>
  </si>
  <si>
    <t>hubdoc, ap emails sort and book, invoices from procore</t>
  </si>
  <si>
    <t>Dext Prepare, bills, add employee</t>
  </si>
  <si>
    <t>Run: LOC Run: Holdsworth Automation Part 2 Dev: PrimeBuild Payroll Processing Report Automation</t>
  </si>
  <si>
    <t>Assist Rose with query on novated lease</t>
  </si>
  <si>
    <t>Review bank queries / files</t>
  </si>
  <si>
    <t>AP to Lucia and bank rec queries</t>
  </si>
  <si>
    <t>Enter bills to ANZ and emails for approvals.</t>
  </si>
  <si>
    <t>Work through Asana project to update tasks required and repeating frequencies. Create client queries sheet.</t>
  </si>
  <si>
    <t>Review and adjustments for tax return</t>
  </si>
  <si>
    <t>Review all Asana projects and tasks / dates required</t>
  </si>
  <si>
    <t>Check ATO portal for GST group cancellation update.  Email to Emily to check</t>
  </si>
  <si>
    <t>Review Asana project and dates / tasks required</t>
  </si>
  <si>
    <t>Call with Emily re tax</t>
  </si>
  <si>
    <t>Emails - BAS query for Myall St Richbox review bank rec queries</t>
  </si>
  <si>
    <t>Review Asana and emails</t>
  </si>
  <si>
    <t>Emails including follow up to Angie, checking new Xero file</t>
  </si>
  <si>
    <t xml:space="preserve">Messages with Shalini Jordan - update priority on Oporto task Mary - queires with BX AWX amounts Email to Steve at onefocus re handover </t>
  </si>
  <si>
    <t>IT issues - resolve with Mark</t>
  </si>
  <si>
    <t>Meeting with Bern / Shalini re engagement team handover to processing team process</t>
  </si>
  <si>
    <t>Responding to Irish Queries</t>
  </si>
  <si>
    <t>Client email and updating Asana</t>
  </si>
  <si>
    <t>Assisting Irish regarding client queries</t>
  </si>
  <si>
    <t>Attending queries : Process of PAYGI draft</t>
  </si>
  <si>
    <t>Email, XPM, ASANA, &amp; Xero</t>
  </si>
  <si>
    <t>Further digging of variances</t>
  </si>
  <si>
    <t>Redoing and updating wps, ATO fix</t>
  </si>
  <si>
    <t xml:space="preserve">Email and BAS resolution </t>
  </si>
  <si>
    <t>Fixing Xero &amp; XPM errors</t>
  </si>
  <si>
    <t>Further digging of 157K variance</t>
  </si>
  <si>
    <t>Dec. BAS</t>
  </si>
  <si>
    <t>REdoing work and further digging of variance</t>
  </si>
  <si>
    <t>Refreshing and reading of PAYGI draft process</t>
  </si>
  <si>
    <t>Meeting with Lindsay BAS concern and queries</t>
  </si>
  <si>
    <t xml:space="preserve">answered queries from employees </t>
  </si>
  <si>
    <t>Check ATO account balance email Daniel Balance sheet   Load Daniel personal information into Tax team One Drive</t>
  </si>
  <si>
    <t xml:space="preserve">weekly AP meeting / GP Analysis / create new Xero layout / hand over </t>
  </si>
  <si>
    <t>catch up Lindz / catch up Charm</t>
  </si>
  <si>
    <t>company update / emails</t>
  </si>
  <si>
    <t>Payroll tax registration VIC and QLD / Payroll monitoring / hand over file</t>
  </si>
  <si>
    <t>emails / call with Eunice / Payroll / QLD Payroll tax Verification</t>
  </si>
  <si>
    <t xml:space="preserve">Continuation of Clearing Paypal International Bills raise to Xero postscript transactions  Approving sales to a2x of postscript sales Bank reconciliation for postscript transactions </t>
  </si>
  <si>
    <t xml:space="preserve">Import Paypal currencies Clearing Paypal Domestic Clearing Paypal International  Clearing Shopify Installment </t>
  </si>
  <si>
    <t xml:space="preserve">Email Management Bills raise to xero Bank Reconciliation BM and LOC Inc Checking of a2x error and approved sales Checking the statement of account for the corporate traveler to ensure that all the invoices have been processed in Xero. Import CBA 7334 and reconciled  </t>
  </si>
  <si>
    <t>Grow Coaching with TL Ralph</t>
  </si>
  <si>
    <t>Email Management Bills Reconciliation</t>
  </si>
  <si>
    <t>Updating Bank Recon   Email Management  Bills Processing</t>
  </si>
  <si>
    <t>Balance Sheet Recon On going</t>
  </si>
  <si>
    <t xml:space="preserve">Email Management Bills Processing Bank Credit Card Recon Sending of Unreconciled credit card recon to Michelle </t>
  </si>
  <si>
    <t>Team Ann Weekly Huddle</t>
  </si>
  <si>
    <t>Catch up on emails, respond to, and report unnecessary emails. Process other bank recs remaining. Update compliance invoicing report.Coordination with payroll status and checking of funds.</t>
  </si>
  <si>
    <t>APE in Balanga - with travel and internal monitoring with Ms Con regarding Payroll status</t>
  </si>
  <si>
    <t>Checking of BDO accounts. BDO payroll file uploading.</t>
  </si>
  <si>
    <t xml:space="preserve">✅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t>
  </si>
  <si>
    <t>bank reco</t>
  </si>
  <si>
    <t>internal emails / chats/logins</t>
  </si>
  <si>
    <t xml:space="preserve">Fathom report </t>
  </si>
  <si>
    <t>Marsil - checking of reports for PO vs. Bills assigned, if applicable</t>
  </si>
  <si>
    <t>SRAC team meeting &amp; Books</t>
  </si>
  <si>
    <t>BAS queries update</t>
  </si>
  <si>
    <t>Nica email query</t>
  </si>
  <si>
    <t>SRAC dext Team meeting</t>
  </si>
  <si>
    <t>Empowering New Managers: Essential Skills for Success in Leadership</t>
  </si>
  <si>
    <t>Called Guia -- to finalized adjustment entries of clearing accounts in sole and company</t>
  </si>
  <si>
    <t>Finalize billable new working file</t>
  </si>
  <si>
    <t>1:1 with Ali - discussing people issues, billable reporting and CPR reporting  Staff admin-APE tracking  Sprout timesheet review-payroll disputes if any</t>
  </si>
  <si>
    <t>Revising billable report as per Nick  Asana tasks Revamp back-up plan</t>
  </si>
  <si>
    <t>1:1 with Maan coaching</t>
  </si>
  <si>
    <t>AP walkthrough with Sherly</t>
  </si>
  <si>
    <t>Alliance SI Weel bank account analysis</t>
  </si>
  <si>
    <t>Company update - Brisbane</t>
  </si>
  <si>
    <t>Monthly meeting with Con</t>
  </si>
  <si>
    <t xml:space="preserve">Empowering New Managers: Essential Skills for Success in Leadership </t>
  </si>
  <si>
    <t>Load ABA for JC</t>
  </si>
  <si>
    <t>Novated Lease Clearing account variance</t>
  </si>
  <si>
    <t>Seminar</t>
  </si>
  <si>
    <t>Run monthly P&amp;L report for YTD and send to Zoe</t>
  </si>
  <si>
    <t>Catchup with Nica re MYOB analysis</t>
  </si>
  <si>
    <t>Review updated P&amp;L for Jan 2024. Provide feedback to Jimwelle and to send to Tom. Check on ATO portal re tax refund cheque for FY 2023, liaise with Gen re call to ATO</t>
  </si>
  <si>
    <t>Attend to emails from Kerry. Email re budget in Xero</t>
  </si>
  <si>
    <t xml:space="preserve">Weekly meeting to discuss issues, workflow etc. Review emails </t>
  </si>
  <si>
    <t>Chase team for IAS signature, follow up for Dec BAS prep, liaise with LM re workflow</t>
  </si>
  <si>
    <t xml:space="preserve">Finalise scope change form for Shipley and send to client, James emails, debtors, Gen emails, </t>
  </si>
  <si>
    <t>Dec 2023 quarter BAS review, queries, send to Rose/LM</t>
  </si>
  <si>
    <t>Meeting with Bern/Kate re workflow</t>
  </si>
  <si>
    <t>training</t>
  </si>
  <si>
    <t>Rec 3TOP, Travel exp recoding</t>
  </si>
  <si>
    <t xml:space="preserve">Timesheet, Asana, </t>
  </si>
  <si>
    <t>- resume screening - sent interview invites to applicants - reach out to AP candidates' references</t>
  </si>
  <si>
    <t>Assist Emily with tax / reconciliation for FY23 tax return - to discuss billable with Nick</t>
  </si>
  <si>
    <t>Prepare pay run and Set up new employee in Xero</t>
  </si>
  <si>
    <t>Correspondence re. LinkedIn Correspondence re. Australian Management Committee and SLAs</t>
  </si>
  <si>
    <t>Calls with Accounting manager and Managing Director Draft Project Engineer and Senior Project Engineer position descriptions</t>
  </si>
  <si>
    <t>Call re. Sydney restructure</t>
  </si>
  <si>
    <t>Phone screens Coordinate interviews</t>
  </si>
  <si>
    <t>chats re queries/concerns, check March 4-7 sched and office attendance req't, etc</t>
  </si>
  <si>
    <t>chats, emails, check Asana of all team members and follow up</t>
  </si>
  <si>
    <t>emails, chats, respond to Burn re handover process, etc</t>
  </si>
  <si>
    <t>chats re concerns/queries, coordinate tasks, confirm aribnb requirements, etc</t>
  </si>
  <si>
    <t>check XPM timesheets and check queries with directs</t>
  </si>
  <si>
    <t>break, Asana, capacity, etc</t>
  </si>
  <si>
    <t>emails, chats, fill out contact details request from Gen</t>
  </si>
  <si>
    <t>finalizing of flow continuation of manuals</t>
  </si>
  <si>
    <t>Processing of Reimbursements</t>
  </si>
  <si>
    <t>Creation and review of EFT lists for this week's invoice payment</t>
  </si>
  <si>
    <t>Holly Maree Investments Pty Ltd</t>
  </si>
  <si>
    <t>Run Marsill Automation; Run four Alliance automations + AP automation</t>
  </si>
  <si>
    <t>Capspace Automation Report Generation Alliance Automation Part 1 Part 2 Development</t>
  </si>
  <si>
    <t>My kid's birthday</t>
  </si>
  <si>
    <t xml:space="preserve">Meeting with Vishal to discuss Trust Deed accounting + projects/donations accounting Make ACNC submission + advise Eli Check re: Alceon </t>
  </si>
  <si>
    <t>Emails/current status/check on mtd performance</t>
  </si>
  <si>
    <t>emails/queries/inbox</t>
  </si>
  <si>
    <t>emails/teams/Sprout/Asana</t>
  </si>
  <si>
    <t>conso reports</t>
  </si>
  <si>
    <t>stomach bug</t>
  </si>
  <si>
    <t>checking of recorded hand over</t>
  </si>
  <si>
    <t>bank recon AP invoices from inbox</t>
  </si>
  <si>
    <t>bank recon Approve ap invoices</t>
  </si>
  <si>
    <t>eofy</t>
  </si>
  <si>
    <t>Recording of invoices, AP payments, responding to queries</t>
  </si>
  <si>
    <t>Process improvement call with BIT</t>
  </si>
  <si>
    <t>Updating asana</t>
  </si>
  <si>
    <t>PAYG Rec, creating new folders</t>
  </si>
  <si>
    <t xml:space="preserve">emails, asana, xpm </t>
  </si>
  <si>
    <t>answer queries in teams, chat with Sylvie, emails, check xero hq reports for recording</t>
  </si>
  <si>
    <t>Mtg with Head of HR on org change</t>
  </si>
  <si>
    <t>Salary reviews - market research &amp; report prep Employment relations matter - Rob Morris - planning mtg with Directro &amp; formal mtg with employee + follow up  HR Daily team huddle Onboarding mtg w/ Ops Mgr &amp; Chairman for new MD</t>
  </si>
  <si>
    <t>ap bills, email</t>
  </si>
  <si>
    <t>ap emails sort to folders, sent queries for correct projects</t>
  </si>
  <si>
    <t>AP payments, set up new payee, bills received enterd in xero.</t>
  </si>
  <si>
    <t>ap items, bank recon</t>
  </si>
  <si>
    <t>bank recon, ap items, payroll</t>
  </si>
  <si>
    <t>Dext Prep, AP Items, bank recon</t>
  </si>
  <si>
    <t>bank recon, sent items to client for AP</t>
  </si>
  <si>
    <t>hubdoc, client queries</t>
  </si>
  <si>
    <t>Invoices from procore</t>
  </si>
  <si>
    <t>Sure Fire Automation</t>
  </si>
  <si>
    <t>Run: LOC Automation Dev: PrimeBuild Payroll Processing Report</t>
  </si>
  <si>
    <t>Email to Anna re travel expenses.</t>
  </si>
  <si>
    <t>Follow up on 3H dereistration with Sam</t>
  </si>
  <si>
    <t>Reporting - Oporto template queries back to Ash</t>
  </si>
  <si>
    <t>Queries with Emily , emails</t>
  </si>
  <si>
    <t xml:space="preserve">REview hubdoc and push bills, </t>
  </si>
  <si>
    <t>Oporto report update</t>
  </si>
  <si>
    <t>AP - review and load bills for payment incl icare, AGL on Bpay Amex AU load payment Review emails and respond to Lucia</t>
  </si>
  <si>
    <t>Follow up tax queries for Emily, email Anna re contractor / employee</t>
  </si>
  <si>
    <t>REach out to Josh Bus re Koala Wash Group</t>
  </si>
  <si>
    <t>Setup hubdoc, email bills to hubdoc Review Aurora payments Email Marianne on this.</t>
  </si>
  <si>
    <t>Meeting with previous bookkeeper</t>
  </si>
  <si>
    <t>Emails, check Junk, review Asana</t>
  </si>
  <si>
    <t>Team meeting and emails, Travel from city meeting</t>
  </si>
  <si>
    <t>Emal to Andrew re pay rate audit</t>
  </si>
  <si>
    <t>Emails re Eddie Aydin claim</t>
  </si>
  <si>
    <t>Check annual rate on payslips for employee.</t>
  </si>
  <si>
    <t>first 15 mins of finance team meeting, not on timesheet</t>
  </si>
  <si>
    <t>Review emails - Ronnie re Opex costs, Allison re journals</t>
  </si>
  <si>
    <t xml:space="preserve">Email to Jess re Dana Roso pay Finance team meeting </t>
  </si>
  <si>
    <t>Candidate Enquiry (Harsh) - Technical Customer Service Coordinator - NSW - Nordfab - Alison</t>
  </si>
  <si>
    <t>Checking of ATO portal</t>
  </si>
  <si>
    <t>Attending to Queries and updating ASANA</t>
  </si>
  <si>
    <t>Attending to queries and updating the ASANA</t>
  </si>
  <si>
    <t xml:space="preserve">Responding to queries and email. </t>
  </si>
  <si>
    <t xml:space="preserve">Responding to Rose email regarding client queries. </t>
  </si>
  <si>
    <t>Xpm</t>
  </si>
  <si>
    <t xml:space="preserve">Reading messages from Anne Team outing and made a payment to Aileen. </t>
  </si>
  <si>
    <t>Responding to Gen : RE: Zoho</t>
  </si>
  <si>
    <t>Attending to Gen's email</t>
  </si>
  <si>
    <t xml:space="preserve">AFTERNOON Break: 15 mins coffee breaks as paid per Labor Code of the Philippines, Article 85 </t>
  </si>
  <si>
    <t xml:space="preserve">MORNING Break: 15 mins coffee breaks as paid per Labor Code of the Philippines, Article 85.  </t>
  </si>
  <si>
    <t>IAS/BAS Preparation &amp; Lodgement - Nov</t>
  </si>
  <si>
    <t>Updating WPS as per shalini advised</t>
  </si>
  <si>
    <t>IAS/BAS Preparation &amp; Lodgement - Oct</t>
  </si>
  <si>
    <t>Asana, XPM and Xero updates</t>
  </si>
  <si>
    <t xml:space="preserve">Nov. and Oct. 2023 WPS </t>
  </si>
  <si>
    <t>Attending to queries and updating checking the WPS</t>
  </si>
  <si>
    <t>Re Updating wps due to adjustment</t>
  </si>
  <si>
    <t>Attending to Queries, Chat with Lindsay, compost email and give a resolution. Searching email if they have previous instruction. Updating Asana, Checking ATO portal from previous. Checking if they already have CTR, Retretreving history and other adhoc</t>
  </si>
  <si>
    <t xml:space="preserve">Refreshing knowledge, Searching ATO rules regarding Trading entities and what is the GST impact. </t>
  </si>
  <si>
    <t>Meeting with Gen ( Zoho )</t>
  </si>
  <si>
    <t>Meeting with Aileen RE; Anne's team outing</t>
  </si>
  <si>
    <t>Mariecon's farewell party plan</t>
  </si>
  <si>
    <t>BAS/IAS concern and meeting</t>
  </si>
  <si>
    <t>Out to sign reports and updating ASANA &amp; XPM. checking CM and BK.</t>
  </si>
  <si>
    <t>Recruitment for HR Advisory.  Reviewing resumes on Seek and shortlisting candidates.</t>
  </si>
  <si>
    <t xml:space="preserve">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t>
  </si>
  <si>
    <t>Review GIC letter Emails to Daniel on Balance Sheet  Emails to LM on BAS update for sole trader</t>
  </si>
  <si>
    <t>Recon and email clean up</t>
  </si>
  <si>
    <t>AP Review</t>
  </si>
  <si>
    <t>handover file</t>
  </si>
  <si>
    <t>call with Angel / Aranas refund</t>
  </si>
  <si>
    <t>CF / emails / weekly call with James / hand over Sherly</t>
  </si>
  <si>
    <t>Bills raise to xero Approving sales to a2x Bank reconciliation LOC INC and BM Payroll uploading to CBA</t>
  </si>
  <si>
    <t>Email management  Bills raise to Xero Bank Reconciliation BM</t>
  </si>
  <si>
    <t>Topic 7.5 - Aged Payables Report Topic 7.6 - Aged Receivables Report Topic 7.7 -Preparing Cash Flow Forecast</t>
  </si>
  <si>
    <t>5th Month evaluation. finalization catch up with TL Ralph</t>
  </si>
  <si>
    <t xml:space="preserve">Checking Employee list vs. Payrun (XERO) Process Payroll and prepared employee report summary for approval. </t>
  </si>
  <si>
    <t>Security and Support with the team</t>
  </si>
  <si>
    <t>Email Management Bills Processing Bank and Credit Card Recon Invoice Processing</t>
  </si>
  <si>
    <t xml:space="preserve">Balance Sheet Recon   Prepayment Schedule recon </t>
  </si>
  <si>
    <t>Email Management Asana Task Clean Up</t>
  </si>
  <si>
    <t>Process  bills, update banks. Coordinate invoices for approval. Catch up emails and respond. Ezidebit checking and updates.</t>
  </si>
  <si>
    <t>Additional invoicing based on Asana tasks and other repeating templates setup. Catch up again all remaining emails and respond.</t>
  </si>
  <si>
    <t>Invoicing, preparation of TS and full coordination on details of invoicing.</t>
  </si>
  <si>
    <t>Alphalist checking and esubmission of Alphalist for BIR 1604E both for RO and Branch</t>
  </si>
  <si>
    <t>🐌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t>
  </si>
  <si>
    <t>logins/teams chat/asana/internal emails</t>
  </si>
  <si>
    <t>Meeting with Carly on sales advisor</t>
  </si>
  <si>
    <t>Call with Rodrigo regarding sales advisor</t>
  </si>
  <si>
    <t>access to email, review of process, Asana</t>
  </si>
  <si>
    <t>Asana follow ups Levies procedure review of invoice</t>
  </si>
  <si>
    <t>FIles, email</t>
  </si>
  <si>
    <t>call with Silvana re iCare update payments queries</t>
  </si>
  <si>
    <t xml:space="preserve">Bank reconciliation </t>
  </si>
  <si>
    <t>5th month eval discussion with Maan</t>
  </si>
  <si>
    <t>Weekly billable reporting including review and follow up</t>
  </si>
  <si>
    <t>Update consolidate group analysis update weekly billable per Nick Arrange team logistics for AU team visit next week</t>
  </si>
  <si>
    <t>Admin - emails, Asana, quickbooks cert, team logistics for visit, handover plan for Rose resigning, discussion with Admin on schedules, provide Admin request of accountants data</t>
  </si>
  <si>
    <t>Call with Rose</t>
  </si>
  <si>
    <t>Message with Gerardo re IAS payment and payment plan, asked Ms Gen to check if payment plan defaulted</t>
  </si>
  <si>
    <t>Entering bills and checking statements</t>
  </si>
  <si>
    <t>Morning emails and teams messages, update Asana</t>
  </si>
  <si>
    <t>Query from client re GST on purchases for Port Stephens, discuss with LM</t>
  </si>
  <si>
    <t>Email Kiara re land tax recoding to GST free, re-code transactions in Xero and re-assign to LM</t>
  </si>
  <si>
    <t>Various catch ups</t>
  </si>
  <si>
    <t>Load payroll payments</t>
  </si>
  <si>
    <t>Re-upload payroll journals</t>
  </si>
  <si>
    <t>Eddie Aydin - Weekly Payment Reimbursement Request</t>
  </si>
  <si>
    <t>Check payroll journals issue Allison emailed, re-send the journals as attachment instead of sharepoint link</t>
  </si>
  <si>
    <t>Payroll review, call with Maan re payroll adjustments</t>
  </si>
  <si>
    <t>Upload payments in Westpac</t>
  </si>
  <si>
    <t>Manage AP and cashflow</t>
  </si>
  <si>
    <t>Update cashflow AP and bank rec review Upload payments in the bank</t>
  </si>
  <si>
    <t xml:space="preserve">Inbox mgmt Post bills Recode transactions </t>
  </si>
  <si>
    <t>Inbox mgmt Import bank transactions to Xero</t>
  </si>
  <si>
    <t>Catch up with Ish</t>
  </si>
  <si>
    <t>Spaceful timesheet and invoice review</t>
  </si>
  <si>
    <t>Discussion with Nick/Sylvie re GST/ABN cancellation, action plan etc. Follow up with Sylvie re the plan</t>
  </si>
  <si>
    <t>Attend to email from Rose re payment to Trust account, ATO ICA balance. Login to portal to review same, send email to Rose to liaise further with client</t>
  </si>
  <si>
    <t>Teams meeting with Ish/Philippa and Sarah to discuss AMEX balance, CF etc. Need to follow up with BOQ re Overdraft facility</t>
  </si>
  <si>
    <t>Weekly invoices, email MDF re change in invoice for F/N, advise Mel re updating Ezidebit. Assist Angela with debtor chasing, James emails etc, Gen. BAS/IAS followup</t>
  </si>
  <si>
    <t>Final review of Dec 2023 quarter BAS and lodgement</t>
  </si>
  <si>
    <t>Dec 2023 quarter BAS review &amp; lodgement. Reallocate BAS payment for Sep 2023 BAS. Update BS and GST &amp; PAYG Rec</t>
  </si>
  <si>
    <t>Training</t>
  </si>
  <si>
    <t>trainings and meeting</t>
  </si>
  <si>
    <t>3TOP</t>
  </si>
  <si>
    <t>Review Sam's inv and T/sheet</t>
  </si>
  <si>
    <t>Invoices Capspace and Bellinger</t>
  </si>
  <si>
    <t>misc emails, liaise with team</t>
  </si>
  <si>
    <t>Finalise financials, issues to access server, look for info in server re the payments to Josh in Jul22, liaise with Nica</t>
  </si>
  <si>
    <t>emails, Teams, Asana</t>
  </si>
  <si>
    <t>Nick &amp; Shalini on RIL ABN cancellation</t>
  </si>
  <si>
    <t>RIL - Details to Stephen - cancellation of ABN, situation ATO</t>
  </si>
  <si>
    <t>Vacation Leave</t>
  </si>
  <si>
    <t>Weekly call with FD Correspondence re. performance reviews</t>
  </si>
  <si>
    <t>Draft PM PD Correspondence re. performance review process</t>
  </si>
  <si>
    <t xml:space="preserve">Weekly finance/HR meeting Review/Update of Aussie Pay onboarding  Draft script for discussion re. CSG role Correspondence re. staff education </t>
  </si>
  <si>
    <t>emails, chats, fill out client list file</t>
  </si>
  <si>
    <t>beak, chats, emails, queries</t>
  </si>
  <si>
    <t>read articles re paid parental leave, check files  received for paid parental leave, etc</t>
  </si>
  <si>
    <t xml:space="preserve">Review and action comments of James regarding the EFT lists for payment </t>
  </si>
  <si>
    <t>Run four Alliance automations + AP automation; Added 5 supplier to Alliance Automation Tax Invoice</t>
  </si>
  <si>
    <t>Pushing bills from HubDoc, bank recon</t>
  </si>
  <si>
    <t>Checking emails, loading bills, AP payment</t>
  </si>
  <si>
    <t>Email checking, loading bills, bank recon</t>
  </si>
  <si>
    <t>Pushing bills from HubDoc, bank recon, BS recon for BAS</t>
  </si>
  <si>
    <t>David's payroll query</t>
  </si>
  <si>
    <t>review, approve, send bill</t>
  </si>
  <si>
    <t>Adrian's request for customised report</t>
  </si>
  <si>
    <t>Bookkeeping - Emails</t>
  </si>
  <si>
    <t>emails/ Sprout/ calendar</t>
  </si>
  <si>
    <t>emails/teams/reminders/Sprout</t>
  </si>
  <si>
    <t>call w/Ge re; Emma</t>
  </si>
  <si>
    <t>monthly catch up w/ Ge</t>
  </si>
  <si>
    <t>call w/ Jim and checking Pearson's should-be final pay</t>
  </si>
  <si>
    <t>review and check of set-up of new EE</t>
  </si>
  <si>
    <t>added ap invoices</t>
  </si>
  <si>
    <t>ap invoices from inbox</t>
  </si>
  <si>
    <t>AP report emails</t>
  </si>
  <si>
    <t>meeting with Xavi</t>
  </si>
  <si>
    <t>Bank recs, additional queries for the client</t>
  </si>
  <si>
    <t>Bank recs- Reconciling NZ sales transactions</t>
  </si>
  <si>
    <t>Reconciling payments</t>
  </si>
  <si>
    <t>Updating asana, checking emails</t>
  </si>
  <si>
    <t>Entering payroll in Xero, accounts rec</t>
  </si>
  <si>
    <t>Checking query from client</t>
  </si>
  <si>
    <t>discuss automation/ work on alternative excel file required by Jordan</t>
  </si>
  <si>
    <t>chat with Jordan - oporto format emails, idle</t>
  </si>
  <si>
    <t>meeting JOrdan - automation for Oporto stores and update Xero HQ report</t>
  </si>
  <si>
    <t xml:space="preserve">emails, asana, xpm,chat with Kate about new client and hubdoc setup watch video meeting - Yacht life new client email client - introductions  </t>
  </si>
  <si>
    <t>wyzed  trainings</t>
  </si>
  <si>
    <t>FBT training in Wyzed</t>
  </si>
  <si>
    <t xml:space="preserve">4 x redundancies - document pack prep COO, Head of HR bi-weekly mtg Inbox enquiries  </t>
  </si>
  <si>
    <t>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t>
  </si>
  <si>
    <t>dext prep, ap items</t>
  </si>
  <si>
    <t>AP items, hubdoc, invoices from procore</t>
  </si>
  <si>
    <t>AP Items, dext Prepare, email queries for payroll</t>
  </si>
  <si>
    <t>Report request for billing</t>
  </si>
  <si>
    <t>Hubdoc GST setup</t>
  </si>
  <si>
    <t>Follow up emails, introduction to James for Zoe, follow up on invoices and R&amp;D grant.  Set up Asana projects</t>
  </si>
  <si>
    <t>Emails,teams, ooo</t>
  </si>
  <si>
    <t xml:space="preserve">Invoicing review and send.  Follow up on IAS / BAS check Remove SRPty Ltd from XPM - liaise with Mark Teams message re Mayday - emails </t>
  </si>
  <si>
    <t>QLD WK review</t>
  </si>
  <si>
    <t>Workers comp review</t>
  </si>
  <si>
    <t>Payroll reviews and reimbursement claim / check for Eddie Aydin W/Comp</t>
  </si>
  <si>
    <t>Onboarding Enquiry (Kyle) - Sheet Metal Worker - NSW - Nordfab - Alison</t>
  </si>
  <si>
    <t>&gt;BAS/IAS report &gt;Sent an email to Nick &gt;Propose a solution &gt;Check and validate the report for process improvement,</t>
  </si>
  <si>
    <t>Reading Team chat channel and other BAS concerns</t>
  </si>
  <si>
    <t>Catch up with Mel</t>
  </si>
  <si>
    <t>Attending to Queries</t>
  </si>
  <si>
    <t>Meeting with Gen RE: Con farewell meeting</t>
  </si>
  <si>
    <t>Attending to queries, email and follow up the client</t>
  </si>
  <si>
    <t>Call with Mariecon - other concerns</t>
  </si>
  <si>
    <t>Meeting with Lindsay regarding Farewell party of Con. Program and hosting</t>
  </si>
  <si>
    <t>Meeting with Ralf ( BAS concern )</t>
  </si>
  <si>
    <t>AFTERNOON Break: 15 mins coffee breaks as paid per Labor Code of the Philippines, Article 85</t>
  </si>
  <si>
    <t>MORNING Break: 15 mins coffee breaks as paid per Labor Code of the Philippines, Article 85.</t>
  </si>
  <si>
    <t>Assisting Zerra regarding regarding VIking ( booking and Van quotation. ) Called Driver to ask the Van rental prize.</t>
  </si>
  <si>
    <t>Helping Gen for Farewall Party. Looking of Restaurant and checking of price details</t>
  </si>
  <si>
    <t>&gt;Reading Social clubs and responding. Propose Viking area. &gt;Reading BreakOut activity &gt;Reading Karaoke Activity</t>
  </si>
  <si>
    <t>Farewell party planning and preparation.,</t>
  </si>
  <si>
    <t>NonBillable: Reading Team chat channel, understanding the nature and other BAS concerns</t>
  </si>
  <si>
    <t>BAS dec</t>
  </si>
  <si>
    <t>New feature and format for BAS activity. Learning and navigation ( Xero )</t>
  </si>
  <si>
    <t>Reading Nick's email</t>
  </si>
  <si>
    <t>Recruitment for HR advisory - review resumes from seek, shortlisting applicants, and phone interviews.</t>
  </si>
  <si>
    <t xml:space="preserve">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t>
  </si>
  <si>
    <t>Email Response to Daniel Make changes to Xero file for share capital email tax team  Review income journals with Lindsay</t>
  </si>
  <si>
    <t>AR weekly meeting</t>
  </si>
  <si>
    <t>handover file / emails</t>
  </si>
  <si>
    <t>RJ's access</t>
  </si>
  <si>
    <t>Handover Dext - system access</t>
  </si>
  <si>
    <t>handover RJ</t>
  </si>
  <si>
    <t xml:space="preserve">Approving sales to a2x Bills raise to Xero Reconciled answered queries. </t>
  </si>
  <si>
    <t xml:space="preserve">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t>
  </si>
  <si>
    <t>Maintain your Xero advisor certification in 2024 - Watch Video Product updates Add Badges - Migrate your practice and clients to Xero  Discover the benefits of migrating to Xero</t>
  </si>
  <si>
    <t>Xero Migrate renewal certification Make a plan to migrate your practice and clients Build and manage a migration project team Get clients feeling confident with the right Xero plan</t>
  </si>
  <si>
    <t>Support</t>
  </si>
  <si>
    <t>Email Management Bills Processing Invoices Processing Bank/Credit Card Recon Preparation of Weekly Cash Flow</t>
  </si>
  <si>
    <t>Catch up and respond to various emails. Process bank recs. Coordinate invoices remaining on the Awaiting Approval.</t>
  </si>
  <si>
    <t>BIR Alphalist for 1604C new version</t>
  </si>
  <si>
    <t>Continue preparation of New BIR Alphalist version for 1604C and all the documents needed for compliance submission</t>
  </si>
  <si>
    <t>🏆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t>
  </si>
  <si>
    <t>supplier bills processing</t>
  </si>
  <si>
    <t>approval of invoice</t>
  </si>
  <si>
    <t>Meeting with Jenny on commissions</t>
  </si>
  <si>
    <t>Xero Summer summit</t>
  </si>
  <si>
    <t>Adhoc - Fundraising money report</t>
  </si>
  <si>
    <t>ZIP money allocate CN,update and recon, email</t>
  </si>
  <si>
    <t>BR, files</t>
  </si>
  <si>
    <t xml:space="preserve">Urgent Call request from Adriana re MEA accounts  </t>
  </si>
  <si>
    <t>Call with Silvana - iCare declaration of Actual wages for Multiple yrs</t>
  </si>
  <si>
    <t xml:space="preserve">asana </t>
  </si>
  <si>
    <t>Feb AL &amp; LSL Accruals - BAM and BELCR</t>
  </si>
  <si>
    <t>Cost recharge BAM and BASS to BELCR</t>
  </si>
  <si>
    <t>3top recon</t>
  </si>
  <si>
    <t>Cap planning-rose leaving Asana team tasks review Admin-emails QB cert</t>
  </si>
  <si>
    <t>Building compliance master tracker Handover notes Set-up accesses and links</t>
  </si>
  <si>
    <t>Interview - Jovelyn Taperla</t>
  </si>
  <si>
    <t>Payroll specialist interview - John Philip San Pedro</t>
  </si>
  <si>
    <t>Finance handover with con</t>
  </si>
  <si>
    <t>Bank rec Check payments</t>
  </si>
  <si>
    <t>Review BAS excluded expense accounts</t>
  </si>
  <si>
    <t>AR - raise invoices for new MSN AP - post bills, prepare reports for pay run Bank rec Inbox mgmt Review and recode transactions</t>
  </si>
  <si>
    <t>Send email reminder to client</t>
  </si>
  <si>
    <t>Calculate Noah's payroll adjustment Process payroll in advance</t>
  </si>
  <si>
    <t xml:space="preserve">Upload payables and email Katherine/Shalisa for approval Liaise with Ann re payroll review.  Follow up with Cess re Jan grant allocations. </t>
  </si>
  <si>
    <t>Lunch with the team</t>
  </si>
  <si>
    <t>Onsite visit: Handover with Leonie re AP, AR and payroll functions. Go through the processes, filing etc</t>
  </si>
  <si>
    <t xml:space="preserve">Give update to Nick re Chemika work, concerns,  Attend to internal messages/emails </t>
  </si>
  <si>
    <t>meeting and training</t>
  </si>
  <si>
    <t>review AP list and unreconciled cc</t>
  </si>
  <si>
    <t>liaise with team, emails</t>
  </si>
  <si>
    <t>Catch up Stephen - Fathom, RIL entities</t>
  </si>
  <si>
    <t>Updated Fathom report at 31 Jan + add comments and details instructions team re recode accounts, new accounts, cost recharge</t>
  </si>
  <si>
    <t>Super ATO: create new employees, terminate Amy &amp; Rebecca, Lodge super Feb for BAM and BELCR</t>
  </si>
  <si>
    <t>Manual Journal</t>
  </si>
  <si>
    <t>Create PO's in Xero</t>
  </si>
  <si>
    <t>Emails and PO's</t>
  </si>
  <si>
    <t>Copy contacts from AgriChain to Xero</t>
  </si>
  <si>
    <t>Bank Reconciliation and Manual Journal</t>
  </si>
  <si>
    <t>Internal audit call Update intranet with Town Hall presentations Coordinate Town Hall workshops re. core themes</t>
  </si>
  <si>
    <t>Coaching re. people management/performance reviews</t>
  </si>
  <si>
    <t>Call re. closure of Sydney office Advice re. compassionate leave Draft script for redundancy discussions Draft letters for redundancy outcome Review of performance documentation and recommended next steps</t>
  </si>
  <si>
    <t>Follow up re. drug and alcohol testing</t>
  </si>
  <si>
    <t>Monthly interest payment</t>
  </si>
  <si>
    <t xml:space="preserve">AP Processing </t>
  </si>
  <si>
    <t>Capspace Funds Management Pty Ltd</t>
  </si>
  <si>
    <t>The Yacht Life</t>
  </si>
  <si>
    <t>Run four Alliance automations + AP automation; Developed a new feature for Simpro as requested by Rejie. New Feature involves adding comments to Simpro</t>
  </si>
  <si>
    <t>Meeting with Ge for Asana tasks</t>
  </si>
  <si>
    <t>Checking previous transactions, research for unfamiliar suppliers</t>
  </si>
  <si>
    <t>Pushing (100+) bills from HubDoc, bank recon, BS rec for BAS</t>
  </si>
  <si>
    <t xml:space="preserve">attending to review points from James for the group (6 entities) update some w/p for the group send James tax returns for review </t>
  </si>
  <si>
    <t>changeover and intro</t>
  </si>
  <si>
    <t>emails/ invites</t>
  </si>
  <si>
    <t>emails/Teams</t>
  </si>
  <si>
    <t>APE sched/ teams queries/ calendar/ Sprout reminders</t>
  </si>
  <si>
    <t>assess payroll specialist applicants profile</t>
  </si>
  <si>
    <t>payroll history report</t>
  </si>
  <si>
    <t>Pearson overpayment email</t>
  </si>
  <si>
    <t>meeting w/ internal Dext</t>
  </si>
  <si>
    <t>call w/ Cess re: a query Ngoc Nguyen</t>
  </si>
  <si>
    <t>call w/ Aileen re: Judy's leave balances transfer to NZ entity</t>
  </si>
  <si>
    <t>Pearson overpayment</t>
  </si>
  <si>
    <t>Pearson's final pay and emails</t>
  </si>
  <si>
    <t>- Calls to ATO regarding the client's request for GIC remission on the amount of $3,196.36</t>
  </si>
  <si>
    <t>expenses report</t>
  </si>
  <si>
    <t>credit note</t>
  </si>
  <si>
    <t>process ap invoices from inbox bank recon</t>
  </si>
  <si>
    <t>ap batch payment report</t>
  </si>
  <si>
    <t>export ABA files</t>
  </si>
  <si>
    <t>Bank recon Checking of paypal transactions</t>
  </si>
  <si>
    <t xml:space="preserve">call with Ms.Ef regarding task handover </t>
  </si>
  <si>
    <t>Checking payments, and sending follow-up for ATO payment</t>
  </si>
  <si>
    <t>TBA - sending statements</t>
  </si>
  <si>
    <t>Checking accounts, manual journals</t>
  </si>
  <si>
    <t>Checking and cleaning up bills for Telstra</t>
  </si>
  <si>
    <t>Bank recs, Recording of invoices</t>
  </si>
  <si>
    <t xml:space="preserve">Inquiry from Aileen </t>
  </si>
  <si>
    <t>Checking employee rate &amp; responding to client</t>
  </si>
  <si>
    <t>offboarding checklist, chat with Jim about AL payout, Chat with Rac about PPL, chat with Mark about Asana project for Yacht</t>
  </si>
  <si>
    <t>review offboarding process</t>
  </si>
  <si>
    <t>prepare checklist for offboarding process</t>
  </si>
  <si>
    <t>emails, asana check, xpm chat with Jordan about prior project - capacity planning work level instructions - xero hq reports watch trainings about xero hq</t>
  </si>
  <si>
    <t>Custom Onboarding Pack for new snr leadership role Updates to company-wide onboarding pack Progressing salary review analysis - first draft complete ready for MD mtg HR Daily Mtg Progressing JS handover Updates to templates &amp; policy doc's in anticipation of JS departrue</t>
  </si>
  <si>
    <t>AP Items, invoices from procore, hubdoc</t>
  </si>
  <si>
    <t>ap items, upload csv files, bank recon, dext prepare, update of custom report as per client (John Cousin)</t>
  </si>
  <si>
    <t>Run: LOC Automation Run: Holdsworth Automation Part 1 for Cabcharge Dev: PrimeBuild Payroll Processing Report</t>
  </si>
  <si>
    <t>Asana tasks and emails</t>
  </si>
  <si>
    <t>CM review for BAS, forward to team</t>
  </si>
  <si>
    <t>CM review for BAS, email to team</t>
  </si>
  <si>
    <t>Review payroll</t>
  </si>
  <si>
    <t>Review payroll and update Noah tax rate to account for backpay</t>
  </si>
  <si>
    <t>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t>
  </si>
  <si>
    <t>Attending to query</t>
  </si>
  <si>
    <t>Attending to queries and checking ATO portal.</t>
  </si>
  <si>
    <t>Attending to queries and updating file</t>
  </si>
  <si>
    <t>Attending to queries and updating the reports and Xero file</t>
  </si>
  <si>
    <t>Meeting with Lindsday &amp; Gen ( Party PLanning )</t>
  </si>
  <si>
    <t xml:space="preserve">MORNING Break: 15 mins coffee breaks as paid per Labor Code of the Philippines, Article 85. </t>
  </si>
  <si>
    <t>Call restaurant for reservation and some activity</t>
  </si>
  <si>
    <t>Helping and assisting Gen ( Party and Activity )</t>
  </si>
  <si>
    <t>Responding to Social committee group and update them about the Van rental.</t>
  </si>
  <si>
    <t>NonBilalble Updating XPM and Xero file. Checking WPS</t>
  </si>
  <si>
    <t>Attending to queries and updating XPM and Xero</t>
  </si>
  <si>
    <t>NonBillable - Fixing XPM and I already informed MarK barter</t>
  </si>
  <si>
    <t>NonBiillable - Fixing XPM</t>
  </si>
  <si>
    <t>BAS prep, Exporting, Creating WPS, FOlder one drive, XPM and others</t>
  </si>
  <si>
    <t>Dec Bas</t>
  </si>
  <si>
    <t>Exporting, creation of WPS, fixing error, payroll setting, ATO validation and BAS prep</t>
  </si>
  <si>
    <t>&gt;Meeting with Gen. ( Con Farewel Party ) &gt;Reading Ali email</t>
  </si>
  <si>
    <t>Recruitment for HR advisory - shortlisting applicants, completing phone interviews and booking in for first round interviews.</t>
  </si>
  <si>
    <t>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t>
  </si>
  <si>
    <t>FY17 income reconciliations</t>
  </si>
  <si>
    <t>went to BDO to sign documents for the security deposit</t>
  </si>
  <si>
    <t>hand over Alliance &amp; Dext / Cash Flow / emails / Compliance Review</t>
  </si>
  <si>
    <t xml:space="preserve">Uploading AP Payments to CBA Responding emails and raise postscript bill to xero </t>
  </si>
  <si>
    <t xml:space="preserve">Email Management Bills raise to xero Bank Reconciliation BM and LOC Inc Check and Approved sales to a2x Updated pay template of Tayla Import CBA 7334 Transferred Money to Corpo Card Prepared summary report for payment approval New employee set up Import Paypal and reconciled </t>
  </si>
  <si>
    <t>Support and set up laptop for Nicole</t>
  </si>
  <si>
    <t>Email Management Bills Processing  Invoice Processing Bank/Credit Card Recon   Email Management Bills Processing - continuation  Updating Unreconciled bank recon and send reports to Michelle and Nicole.  EOFY 23 recon</t>
  </si>
  <si>
    <t>ABA file update and endorsement to Nick</t>
  </si>
  <si>
    <t>Process request for payment for PH Branch</t>
  </si>
  <si>
    <t>Updating Asana tasks for the additional for billing</t>
  </si>
  <si>
    <t>Catch up emails for AU accounts</t>
  </si>
  <si>
    <t>Update all Asana tasks and take actions.</t>
  </si>
  <si>
    <t>Clarification of invoice with Jordan and checking of invoice. Escalate to Ms Con</t>
  </si>
  <si>
    <t>Fixed repeating templates for MDF and Lack of Color. Coordination with Maan and Shalini.</t>
  </si>
  <si>
    <t>Reports update for Shalini (Checking if Hourly) on Frequency Column</t>
  </si>
  <si>
    <t>Completion of all documents for BIR 1604C submission/checking of details/esubmission and coordination with BIT re: files for access to Ms Tess</t>
  </si>
  <si>
    <t>BIR Alphalist update for the address of all employees under RO</t>
  </si>
  <si>
    <t>APE questions from Xavi</t>
  </si>
  <si>
    <t>Checking of MP2 setup. SSS Loan setup for Sherly</t>
  </si>
  <si>
    <t>ND and Holiday Summary for 3 months needed by Nick</t>
  </si>
  <si>
    <t>🏆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</si>
  <si>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payments uploading in bank</t>
  </si>
  <si>
    <t>Chat/Meeting with Mark and Jordon</t>
  </si>
  <si>
    <t>review of commission plan</t>
  </si>
  <si>
    <t>Meeting with Scott on commissions</t>
  </si>
  <si>
    <t xml:space="preserve">check BAS payment follow up on PO to be done by today and BAS to be signed today review PO </t>
  </si>
  <si>
    <t>prep for Fathom conference review of Xero summit</t>
  </si>
  <si>
    <t xml:space="preserve">AP 6279 MEA QLD - CN reapplication and new bill </t>
  </si>
  <si>
    <t>review Martin's wages &amp; clearing account</t>
  </si>
  <si>
    <t>AP, BR</t>
  </si>
  <si>
    <t>grant alloc</t>
  </si>
  <si>
    <t>Call request from Silvana for Wages from Nov to January</t>
  </si>
  <si>
    <t>Ngoc Anh Thu Nguyen Pay W.C 05.02.24 query</t>
  </si>
  <si>
    <t xml:space="preserve">bank recs </t>
  </si>
  <si>
    <t>Finance meeting</t>
  </si>
  <si>
    <t>dex emails</t>
  </si>
  <si>
    <t>Sharing PPL process to the team</t>
  </si>
  <si>
    <t>CHecked part timers who has no lunch break from last FN</t>
  </si>
  <si>
    <t>Cash flow and local compliances review</t>
  </si>
  <si>
    <t>Finance compliances review Finance recording handover review Admin request - client masterlist for referral</t>
  </si>
  <si>
    <t>Practice cash flow Asana tasks transfer from con Managing Rose attrition Sprout approvals Handover recordings review</t>
  </si>
  <si>
    <t>Update CF per new clients engagement DILO prep for finance role BDO business banking set-up and test run Review notes of new payroll specialist candidates</t>
  </si>
  <si>
    <t>Payroll specialist interview</t>
  </si>
  <si>
    <t>Wth Con handover</t>
  </si>
  <si>
    <t>CF handover from Con</t>
  </si>
  <si>
    <t>Meeting with James.</t>
  </si>
  <si>
    <t>Teams messages with Jim re ATO ICA, ATO payments and trust payments</t>
  </si>
  <si>
    <t>Queries to William re STG account</t>
  </si>
  <si>
    <t>Enter bank transactions and recon STG</t>
  </si>
  <si>
    <t>Entering bank transactions, recon STG account</t>
  </si>
  <si>
    <t>Enter bank transactions and recon STG account</t>
  </si>
  <si>
    <t>Various teams messages</t>
  </si>
  <si>
    <t>Morning emails and various teams messages</t>
  </si>
  <si>
    <t>Email Kiara that all BAS are lodged and give payable/refund amount per entity</t>
  </si>
  <si>
    <t>Call with Nick</t>
  </si>
  <si>
    <t>Query from Adrienne re Bashar Raad</t>
  </si>
  <si>
    <t>Update novated lease payments template in Xero to allocate GST paid by employee correctly for BAS reporting</t>
  </si>
  <si>
    <t>updates to tax return and workpapers Review division 7a and implicaiton Message with Sylvie re dividend stattemetns</t>
  </si>
  <si>
    <t>Set up transfers in Westpac</t>
  </si>
  <si>
    <t>Dec23 quarter bank rec</t>
  </si>
  <si>
    <t>Set up new payees in Westpac</t>
  </si>
  <si>
    <t>Review transaction in Westpac per Ish's request</t>
  </si>
  <si>
    <t>AP run Upload forex/fund transfer</t>
  </si>
  <si>
    <t>Upload payments in Westpac/OCBC Prepare 3TOP files</t>
  </si>
  <si>
    <t>Accounts review for BAS</t>
  </si>
  <si>
    <t>Post payrun Export reports and send to client Send out payslip and file STP</t>
  </si>
  <si>
    <t>Post payrun Export reports and email to client Send out payslips</t>
  </si>
  <si>
    <t>Post pay run Export and send payroll reports  LIaise re handover</t>
  </si>
  <si>
    <t>Export reports Update Noah's adjustment file Send reports to client Send payslips and file STP</t>
  </si>
  <si>
    <t>Phone call with Alan re scope of work/deliverables, changing to electronic filing, cost estimate etc</t>
  </si>
  <si>
    <t>Attend to various emails from Leonie re payroll tax registration for VIC. Try logging in online but couldn't. Advise Leonie accordingly</t>
  </si>
  <si>
    <t>Meeting with Xavi/Jim re overpayment to an employee. Emails etc</t>
  </si>
  <si>
    <t>Update draft payrun for Yvonne and email Kerry Do an introduction for EF</t>
  </si>
  <si>
    <t>Send CBA form to David to sign and post for bank feed activation. Follow up on DOB and TFN</t>
  </si>
  <si>
    <t>Follow up with BOQ re overdraft facility and how it works, provide update to Ish.  Respond to Ish's email. Send email to Sarah with an update</t>
  </si>
  <si>
    <t>Attend to email from Nick re clients sold, send follow up email to Ben. Send James BAS clients sold list again re lodgement dates etc, Angela, review XPM client list re frequency, share with Jordan/Angela to update</t>
  </si>
  <si>
    <t>BAS deferral requests for clients, advise team, follow up with team on signature, send copies of BAS, email team re XPM and access to tax module</t>
  </si>
  <si>
    <t>Dec 2023 quarter BAS review and lodgement. Internal liaising re incorrect GST reports, check ATO portal, update WPS</t>
  </si>
  <si>
    <t>Dec 2023 quarter BAS review, update XPM and WPS. Lodge same</t>
  </si>
  <si>
    <t>Email Stephen re financials</t>
  </si>
  <si>
    <t>3TOP - liaise with team on 19th reimbursement</t>
  </si>
  <si>
    <t xml:space="preserve">BELCR / BLM - issue sub-management invoice, Forex deal file, list of payments </t>
  </si>
  <si>
    <t>Access server issue / Mark B Gather and check all doc for RSM</t>
  </si>
  <si>
    <t>Liaise with team re 3TOP 19th reimb and automation</t>
  </si>
  <si>
    <t>Liaise with Ann and client re Interest reports</t>
  </si>
  <si>
    <t xml:space="preserve">Email and call Josh, </t>
  </si>
  <si>
    <t>Asana, emails, teams, timesheet</t>
  </si>
  <si>
    <t>Update budget and Fathom report</t>
  </si>
  <si>
    <t>AR and Email/Inbox Management</t>
  </si>
  <si>
    <t>Add Planned Dates on bills</t>
  </si>
  <si>
    <t>Add Planned Date on bills</t>
  </si>
  <si>
    <t>Meeting with Elena and Mary Ann regarding RMF Expense Claims</t>
  </si>
  <si>
    <t>Call with VP HR Call with Finance Director and Accounting Manager Correspondence re. flexible working arrangement</t>
  </si>
  <si>
    <t>Call with GM re. personnel issues Documentation and action plan re. people issue CSG position description Phone screens</t>
  </si>
  <si>
    <t>Whole day power interruption</t>
  </si>
  <si>
    <t>finalizing of flow continuation of manuals  meeting with Miguel for Intranet setup</t>
  </si>
  <si>
    <t>Run four Alliance automations + AP automation; Developed and conducted multiple testing for the newly added feature on Simpro.</t>
  </si>
  <si>
    <t>Alliance Report Automation Testing and additional delete function developement</t>
  </si>
  <si>
    <t>Quick call with LM</t>
  </si>
  <si>
    <t>Feb IAS report</t>
  </si>
  <si>
    <t>Checking for BAS</t>
  </si>
  <si>
    <t>bank recon, BAS reports for 4 quarters</t>
  </si>
  <si>
    <t>Emails, loading bills, creating invoices, bank recon, weekly report</t>
  </si>
  <si>
    <t>Payment run questions Catch up with Lynn</t>
  </si>
  <si>
    <t>Sprout/ emails</t>
  </si>
  <si>
    <t>technical expertise questionnaire payroll specialist</t>
  </si>
  <si>
    <t>approval/ pay slips/ STP</t>
  </si>
  <si>
    <t>upload and approval</t>
  </si>
  <si>
    <t>adjustment</t>
  </si>
  <si>
    <t>review queries/emails</t>
  </si>
  <si>
    <t>adjustments</t>
  </si>
  <si>
    <t>statements</t>
  </si>
  <si>
    <t>process credit notes check of supplier statements emails</t>
  </si>
  <si>
    <t>bank recon ap invoices</t>
  </si>
  <si>
    <t>Checking of statements emails</t>
  </si>
  <si>
    <t>bank recon process ap invoices from inbox check of paypal account</t>
  </si>
  <si>
    <t>Bank recs, checking of accounts</t>
  </si>
  <si>
    <t>Bank recs, fixing Telstra bills, recording of invoices</t>
  </si>
  <si>
    <t>Checking asana, emails</t>
  </si>
  <si>
    <t>Rate computation and checking</t>
  </si>
  <si>
    <t>Checking payroll emails and replying to email</t>
  </si>
  <si>
    <t>survey questions, emails, asana, idle</t>
  </si>
  <si>
    <t>trainings, prepare survey questions, clean up asana for new client, idle time</t>
  </si>
  <si>
    <t>HR Monthly mtg</t>
  </si>
  <si>
    <t>HR daily mtg Inbox responses Salary Review mtg with MD Salary Review market research cont.  Terminations</t>
  </si>
  <si>
    <t>Offboarding, inbox tidy up, finishing outstanding tasks, last mtg with COO &amp; Head HR</t>
  </si>
  <si>
    <t>Bank recon, check ap items</t>
  </si>
  <si>
    <t>Invoices from procore, ap emails, payroll employee profile update and sync to EH</t>
  </si>
  <si>
    <t>payslips, hubdoc, remittance, email sort to inboxes</t>
  </si>
  <si>
    <t>ap items, bank recon, payroll</t>
  </si>
  <si>
    <t>update new payroll, batch file for late invoices received in Dext, email query, update excel reports for month-end figures</t>
  </si>
  <si>
    <t>CJs Gregory Hills lodge nil BAS and email to Gen re fees</t>
  </si>
  <si>
    <t>Review all compliance, email to Tyson / Tom at HK re non-Dext entities with overdue lodgements</t>
  </si>
  <si>
    <t>REcode transactions prior to 1/10/2023 to exclude from GST as not registered Update AS Asana tasks to allocate to client project</t>
  </si>
  <si>
    <t>Check GST / Payg registration and BAS Email to client to confirm registration for tax. Email re CJs Gregory hills with outstanding BAS and nil lodgements</t>
  </si>
  <si>
    <t>Review Pinnacle ff proposal and capacity for Ef - email to Ali</t>
  </si>
  <si>
    <t>Review BS reconciliation</t>
  </si>
  <si>
    <t>Set up Organisation branch number to match ATO for auto lodgements.</t>
  </si>
  <si>
    <t>Liaise with Mary re expenses submissions</t>
  </si>
  <si>
    <t>Email re client agent linking G&amp; T bill add to Xero Send email re grant application</t>
  </si>
  <si>
    <t>Emails, Asana tasks.</t>
  </si>
  <si>
    <t>Review BAS and check income / GST on income</t>
  </si>
  <si>
    <t>Review of all ATO accounts and summary email to Eric</t>
  </si>
  <si>
    <t>Review of statements, addresses etc.</t>
  </si>
  <si>
    <t>Client Delivery meeting, discussion with Carly / Libby re PB</t>
  </si>
  <si>
    <t>Enter payroll journal for Feb and put together process</t>
  </si>
  <si>
    <t>Emails - report for Jess (Milenko) Report for Andrew (Willemsens)</t>
  </si>
  <si>
    <t>Payroll processing and email to Zoe Setup STP and lodge Jan and Feb payruns to ATO</t>
  </si>
  <si>
    <t>Call Jordan RE: CC card</t>
  </si>
  <si>
    <t>Meeting with Elf ( BAS concern )</t>
  </si>
  <si>
    <t>Meeting with MaryAnn's  ( BAS concern )</t>
  </si>
  <si>
    <t xml:space="preserve">Attending to queries, email and creation of ASANA. </t>
  </si>
  <si>
    <t>Email and other adhoc</t>
  </si>
  <si>
    <t xml:space="preserve">Helping Gen coordinating the restaurant regarding Lunch Party. Email and called the supervisor of the store for reservation, quotation and other request. </t>
  </si>
  <si>
    <t xml:space="preserve">Assisting Gen regarding price quotation. </t>
  </si>
  <si>
    <t>NonBillable - Update Asana and RolledOver</t>
  </si>
  <si>
    <t>Non Billable - Update Asana and Rolled Over</t>
  </si>
  <si>
    <t>Dec BAS</t>
  </si>
  <si>
    <t xml:space="preserve">BAS cont. and adjustment </t>
  </si>
  <si>
    <t>Meeting with Ralf ( Payment to TWT )</t>
  </si>
  <si>
    <t>Catch up with Gen.. Employees orders and DP</t>
  </si>
  <si>
    <t>Call me: Payment re: Party</t>
  </si>
  <si>
    <t>Recruitment for HR Advisor - interview face to face with applicant and write up interview notes.  Review resumes for further candidates and complete phone interview's.  Book in Teams chats next week for first round interviews.</t>
  </si>
  <si>
    <t xml:space="preserve">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t>
  </si>
  <si>
    <t>coding for owner's drawings</t>
  </si>
  <si>
    <t>includes employee set-up and resignations</t>
  </si>
  <si>
    <t>Emails to Daniel re GIC letter and GST registration for FY18 reconciliation of FY17 sole trader accounts</t>
  </si>
  <si>
    <t>creating procedure and recon</t>
  </si>
  <si>
    <t>Clearing Account Domestic Klarna Shopify afterpay Clearing Account International Klarna Shopify Afterpay' Bills raise to xero postscript transactions</t>
  </si>
  <si>
    <t xml:space="preserve">Email Management  Bills raise to Xero Approving sales to a2x  Bank Reconciliation BM and LOC Inc Check the statement account amount of EVOLVE </t>
  </si>
  <si>
    <t>Support and set up VM</t>
  </si>
  <si>
    <t xml:space="preserve">NON Billable   Quick Call with Aileen regarding the issue of Client's Expense Claim </t>
  </si>
  <si>
    <t>Email Management Bills Processing Bank Recon</t>
  </si>
  <si>
    <t xml:space="preserve">Email Management Bills Processing Preparation of Weekly batch Payment Invoice Processing </t>
  </si>
  <si>
    <t xml:space="preserve">Email Management Bills Processing Bank Recon Statement Recon Sending of Unreconciled Bank Statement and AP Reports to Kate and Xavi  Process and Sending of Invoice consolidation report to Kate  </t>
  </si>
  <si>
    <t xml:space="preserve">Meeting With Kate  Meeting with LM regarding on how we can send the Upstage's Tax Report as the client said she didnt received it.   Catch up meeting with Elena and Aileen re: TGS- Employees expense claims </t>
  </si>
  <si>
    <t>Canada Team - Processing of January 2024 Commissions  Adhoc</t>
  </si>
  <si>
    <t>Month end closing activities updates</t>
  </si>
  <si>
    <t>Process bank recs. Update bills. Request for some checking, JO and others. Catch up emails.</t>
  </si>
  <si>
    <t>Dexterous Xero file requested by Kate</t>
  </si>
  <si>
    <t>Process all necessary bills/coordination. Checking of details. Process bank recs and monitoring of ORs. BDO file upload and preparation of summary for tomorrow's endorsement.</t>
  </si>
  <si>
    <t>Compliance Invoicing Update</t>
  </si>
  <si>
    <t>Final pay preparation for Charmie Patos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</si>
  <si>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</si>
  <si>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email notes of meeting</t>
  </si>
  <si>
    <t>Call with Stuart</t>
  </si>
  <si>
    <t>Asana tasks follow up</t>
  </si>
  <si>
    <t>Meeting with Jenny on commission</t>
  </si>
  <si>
    <t>Flights and accommodation review for Syd trip</t>
  </si>
  <si>
    <t>monthly CM meeting</t>
  </si>
  <si>
    <t xml:space="preserve">AP </t>
  </si>
  <si>
    <t>AR</t>
  </si>
  <si>
    <t>AP, email, call Martin</t>
  </si>
  <si>
    <t>AP, Files</t>
  </si>
  <si>
    <t>Sched fortnight call with Adriana - Awaiting approval bills</t>
  </si>
  <si>
    <t>Grant alloc, email</t>
  </si>
  <si>
    <t>emails, BR</t>
  </si>
  <si>
    <t>AR NDIS, email</t>
  </si>
  <si>
    <t>queries with Lindsay</t>
  </si>
  <si>
    <t xml:space="preserve">email, Asana, teams email </t>
  </si>
  <si>
    <t>Allocate the payment received from 3TOP to all 11 sales invoices</t>
  </si>
  <si>
    <t>3e recs , reviewed OMS acct setup</t>
  </si>
  <si>
    <t xml:space="preserve">3E recs </t>
  </si>
  <si>
    <t xml:space="preserve">1- Shadowed with Sarah re 3top reimbursements and payroll adj of Greg 2- Updated the bank acct details of ET collective 3- Checked the PAYG of Michael  </t>
  </si>
  <si>
    <t>Recruitment support-screening other CV MS list updating Admin tasks-emails, request, approvals</t>
  </si>
  <si>
    <t>Call with Sherly Handover recording review Call with Lindsay Payroll technical assessment checking MDF payroll time allocation Emails Asana update</t>
  </si>
  <si>
    <t>Monthly XPM timesheet submission checking Monthly onsite compliance summary/review Preparing for client delivery meeting CF update Sprout monthly timesheet review Capacity check Sprout approvals Call with Shalini  on client delivery</t>
  </si>
  <si>
    <t>Client delivery meeting including prepping MS list beforehand for updates</t>
  </si>
  <si>
    <t>Query from Gerardo re liquor rebates and other bills</t>
  </si>
  <si>
    <t>Various emails and teams messages throughout the day</t>
  </si>
  <si>
    <t>Export reports from SWH, draft WPK then assign to LM</t>
  </si>
  <si>
    <t>Export reports from COM, LON and WPK, draft BAS wpk and assign to LM</t>
  </si>
  <si>
    <t>Discussion on Kai Gold's pay</t>
  </si>
  <si>
    <t>Additonal payroll info for processing</t>
  </si>
  <si>
    <t>Payroll processing and peer review, action payroll emails</t>
  </si>
  <si>
    <t>updates to tax return and workpapers and send out</t>
  </si>
  <si>
    <t>3TOP - finalised sales invoices and bills</t>
  </si>
  <si>
    <t>Inbox mgmt Post AP bills Upload payment</t>
  </si>
  <si>
    <t>Review BAM and BELCR payroll</t>
  </si>
  <si>
    <t>Update pay rise calculations and update figures in TL</t>
  </si>
  <si>
    <t>Upload payables, email Zoe, attend to emails from Zoe re EOM reports for Feb 2024</t>
  </si>
  <si>
    <t>Various follows up with BOQ, Sarah and Ish. Respond to Ish's various emails, etc</t>
  </si>
  <si>
    <t>Various correspondence and check on portal re overdue lodgements, task setup, removing clients form ATO portal etc</t>
  </si>
  <si>
    <t>Review payroll for F/E 28/02/2024, upload payroll, email Shalisa/Katherine. Respond to email re KID cost update</t>
  </si>
  <si>
    <t>Angela, Mel, call with payroll office from VIC, send email to Con requesting further info, Kim call, etc</t>
  </si>
  <si>
    <t>Meeting with Carly re new client, email Rajv, final review of EL, send to Rajiv. Update Nick</t>
  </si>
  <si>
    <t>Review and lodgement of BAS for Dec 2023 quarter. Discussion re amount payable etc</t>
  </si>
  <si>
    <t>Client delivery meeting and prep</t>
  </si>
  <si>
    <t>Credit Application and Cash Flow. Updating Procedure for On boarding and Credit limit process.</t>
  </si>
  <si>
    <t>review set up of OMS in Xero</t>
  </si>
  <si>
    <t>3TOP - review invoices and bills 19th Reimb.</t>
  </si>
  <si>
    <t>Review and upload interest payments</t>
  </si>
  <si>
    <t>Final journal in BLM, run financials Fy 2023, send to directors</t>
  </si>
  <si>
    <t>BASS - BAML recharges</t>
  </si>
  <si>
    <t>AP - CC payment and process, Daedal inv, 3TOP pmt, check LTI, check OCBC</t>
  </si>
  <si>
    <t>Gather and send all doc to RSM</t>
  </si>
  <si>
    <t>Call Nick, email Andrew Blundell re STarleaton ITR</t>
  </si>
  <si>
    <t>emails, call Stephen, liaise with Team</t>
  </si>
  <si>
    <t>Emails, teams, Asana, update timesheet</t>
  </si>
  <si>
    <t>Send updated report to Stephen, download details, email with comments</t>
  </si>
  <si>
    <t xml:space="preserve">CM meeting </t>
  </si>
  <si>
    <t>Review payroll BAM and BELCR</t>
  </si>
  <si>
    <t>Catch up with Jordan</t>
  </si>
  <si>
    <t>HR Meeting</t>
  </si>
  <si>
    <t>Row Labels</t>
  </si>
  <si>
    <t>(blank)</t>
  </si>
  <si>
    <t>Grand Total</t>
  </si>
  <si>
    <t>Sum of [Time] Time (Totalled)</t>
  </si>
  <si>
    <t>Week 5</t>
  </si>
  <si>
    <t>[Week] Week</t>
  </si>
  <si>
    <t>Column Labels</t>
  </si>
  <si>
    <t>[Day] Day</t>
  </si>
  <si>
    <t>Saturday</t>
  </si>
  <si>
    <t>Sunday</t>
  </si>
  <si>
    <t>Actuals</t>
  </si>
  <si>
    <t>Actuals Total</t>
  </si>
  <si>
    <t>W5 Total</t>
  </si>
  <si>
    <t>Jennica Felipe,Nicole Guttmann</t>
  </si>
  <si>
    <t>Emily Ear,Len Mark Onanad,Shalini Sehgal</t>
  </si>
  <si>
    <t>Len Mark Onanad,Shalini Sehgal</t>
  </si>
  <si>
    <t>Franz Xavier Cruz,Gerardo Macawile,Princess Halili,Shrawani  Trivedi</t>
  </si>
  <si>
    <t>Carly Chant,Charm Dequito,Franz Xavier Cruz,Geneline Barongan,Kate Gow,Len Mark Onanad,Lindsay Casero,Ma Angela Ibanez,Maria Carlos,Rejie Montemor,Rosemarie Gaile Caliwag,Shalini Sehgal,Sherly Oro</t>
  </si>
  <si>
    <t>Dexterous Group,Kate Gow</t>
  </si>
  <si>
    <t>Efleda Reyes,Geneline Barongan,Len Mark Onanad,Shalini Sehgal</t>
  </si>
  <si>
    <t>Franz Xavier Cruz,Neeti Gambhir</t>
  </si>
  <si>
    <t>Len Mark Onanad,Logika Sri-Rangarajan,Nicole Guttmann,Rachele Anne Nicdao,Samuel Hoare,Sarah Angelica Medrano,Shalini Sehgal,Sylvie Dardare</t>
  </si>
  <si>
    <t>Len Mark Onanad,Samuel Hoare,Sarah Angelica Medrano,Shalini Sehgal</t>
  </si>
  <si>
    <t>Jennica Felipe,Marie Ann Ticzon,Rosemarie Gaile Caliwag</t>
  </si>
  <si>
    <t>Kate Gow,Mary Ann Carpio</t>
  </si>
  <si>
    <t>Aileen Fajardo,Len Mark Onanad</t>
  </si>
  <si>
    <t>Aileen Fajardo,Ann Morei Narag,Len Mark Onanad,Shalini Sehgal,Sylvie Dardare</t>
  </si>
  <si>
    <t>Neeti Gambhir,Rosemarie Gaile Caliwag,Shalini Sehgal</t>
  </si>
  <si>
    <t>Jeric Rivera,Jimwelle Villon,Nicole Guttmann,Rosemarie Gaile Caliwag</t>
  </si>
  <si>
    <t>Charmie Patos,Len Mark Onanad,Rosemarie Gaile Caliwag,Shalini Sehgal</t>
  </si>
  <si>
    <t>Dexterous Group,Jennica Felipe,Shalini Sehgal</t>
  </si>
  <si>
    <t>Len Mark Onanad,Neeti Gambhir,Samuel Hoare,Shalini Sehgal</t>
  </si>
  <si>
    <t>Aileen Fajardo,Charmie Patos,Rosemarie Gaile Caliwag</t>
  </si>
  <si>
    <t>April Rose Tortal,Gerardo Macawile,Rosemarie Gaile Caliwag</t>
  </si>
  <si>
    <t>Irish Guia Medel,Len Mark Onanad,Princess Halili,Shalini Sehgal</t>
  </si>
  <si>
    <t>Len Mark Onanad,Neeti Gambhir,Shalini Sehgal</t>
  </si>
  <si>
    <t>Ann Morei Narag,Gerardo Macawile,Len Mark Onanad,Melissa Bagsic,Rosemarie Gaile Caliwag</t>
  </si>
  <si>
    <t>Aileen Fajardo,Ann Morei Narag,April Rose Tortal,Bernadette Feliciano,Carly Chant,Charm Dequito,Charmie Patos,Daniel Estoesta,Dherick Jay Paalam,Edward Jon Arquiza,Efleda Reyes,Elena Gildina,Franz Xavier Cruz,Geneline Barongan,Gerardo Macawile,Irish Guia Medel,Jennica Felipe,Jeric Rivera,Jessica Sinclair,Jimwelle Villon,Jonathan Yanga,Jordan Martinez,Jose Bien Contreras,Kate Gow,Kimberley Chan,Len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Dardare,Timothy Milanay,Zerradiene Egido</t>
  </si>
  <si>
    <t>Maria Carlos,Melissa Bagsic</t>
  </si>
  <si>
    <t>Ann Morei Narag,Kate Gow,Mary Ann Carpio</t>
  </si>
  <si>
    <t>Aileen Fajardo,Franz Xavier Cruz,Len Mark Onanad,Shalini Sehgal</t>
  </si>
  <si>
    <t>Franz Xavier Cruz,Shalini Sehgal</t>
  </si>
  <si>
    <t>Franz Xavier Cruz,Irish Guia Medel,Len Mark Onanad,Shalini Sehgal</t>
  </si>
  <si>
    <t>Gerardo Macawile,Kate Gow,Len Mark Onanad,Lindsay Casero,Rosemarie Gaile Caliwag,Shalini Sehgal</t>
  </si>
  <si>
    <t>Len Mark Onanad,Samuel Hoare,Shalini Sehgal</t>
  </si>
  <si>
    <t>Len Mark Onanad,Rosemarie Gaile Caliwag,Shalini Sehgal</t>
  </si>
  <si>
    <t>Franz Xavier Cruz,Jimwelle Villon,Samuel Hoare,Shalini Sehgal</t>
  </si>
  <si>
    <t>Franz Xavier Cruz,Gerardo Macawile,Princess Halili</t>
  </si>
  <si>
    <t>Carly Chant,Elena Gildina,Franz Xavier Cruz,Irish Guia Medel,Len Mark Onanad,Princess Halili,Shalini Sehgal</t>
  </si>
  <si>
    <t>April Rose Tortal,Jimwelle Villon,Len Mark Onanad,Rosemarie Gaile Caliwag,Shalini Sehgal</t>
  </si>
  <si>
    <t>Jennica Felipe,Jeric Rivera,Jimwelle Villon,Ma Angela Ibanez,Rachele Anne Nicdao</t>
  </si>
  <si>
    <t>Jennica Felipe,Kate Gow,Len Mark Onanad,Shalini Sehgal</t>
  </si>
  <si>
    <t>Jimwelle Villon,Len Mark Onanad,Sarah Angelica Medrano,Shalini Sehgal</t>
  </si>
  <si>
    <t>Jennica Felipe,Sylvie Dardare</t>
  </si>
  <si>
    <t>Aileen Fajardo,Samuel Hoare</t>
  </si>
  <si>
    <t>Franz Xavier Cruz,Jennica Felipe,Jimwelle Villon,Len Mark Onanad,Shalini Sehgal</t>
  </si>
  <si>
    <t>Jennica Felipe,Len Mark Onanad,Shalini Sehgal</t>
  </si>
  <si>
    <t>Len Mark Onanad,Lindsay Casero,Princess Halili,Rosemarie Gaile Caliwag,Shalini Sehgal</t>
  </si>
  <si>
    <t>Len Mark Onanad,Sarah Angelica Medrano,Shalini Sehgal</t>
  </si>
  <si>
    <t>Aileen Fajardo,Charmie Patos,Libby Bruderlin,Neeti Gambhir,Rosemarie Gaile Caliwag</t>
  </si>
  <si>
    <t>Alison Sheer,Kimberley Chan</t>
  </si>
  <si>
    <t>Kate Gow,Nicole Guttmann</t>
  </si>
  <si>
    <t>Efleda Reyes,Jennica Felipe,Kate Gow,Len Mark Onanad,Sarah Angelica Medrano</t>
  </si>
  <si>
    <t>Efleda Reyes,Kate Gow,Len Mark Onanad,Sarah Angelica Medrano,Shalini Sehgal</t>
  </si>
  <si>
    <t>Efleda Reyes,Jennica Felipe,Kate Gow,Len Mark Onanad,Sarah Angelica Medrano,Shalini Sehgal</t>
  </si>
  <si>
    <t>Irish Guia Medel,Jessica Sinclair,Kate Gow,Rosemarie Gaile Caliwag</t>
  </si>
  <si>
    <t>Aileen Fajardo,Jennica Felipe,Kate Gow,Len Mark Onanad,Shalini Sehgal</t>
  </si>
  <si>
    <t>Franz Xavier Cruz,Kate Gow,Len Mark Onanad,Mary Ann Carpio,Shalini Sehgal</t>
  </si>
  <si>
    <t>Efleda Reyes,Kate Gow,Len Mark Onanad,Shalini Sehgal</t>
  </si>
  <si>
    <t>Efleda Reyes,Franz Xavier Cruz,Jennica Felipe,Kate Gow,Len Mark Onanad,Shalini Sehgal</t>
  </si>
  <si>
    <t>Neeti Gambhir,Shalini Sehgal</t>
  </si>
  <si>
    <t>Jimwelle Villon,Len Mark Onanad,Shalini Sehgal,Sylvie Dardare</t>
  </si>
  <si>
    <t>Aileen Fajardo,Len Mark Onanad,Sylvie Dardare</t>
  </si>
  <si>
    <t>Alison Sheer,Jimwelle Villon,Sarah Angelica Medrano,Shalini Sehgal</t>
  </si>
  <si>
    <t>Kate Gow,Len Mark Onanad</t>
  </si>
  <si>
    <t>Efleda Reyes,Gerardo Macawile,Jennica Felipe,Shalini Sehgal</t>
  </si>
  <si>
    <t>Dexterous Group,Sylvie Dardare</t>
  </si>
  <si>
    <t>Len Mark Onanad,Lindsay Casero,Logika Sri-Rangarajan,Shalini Sehgal</t>
  </si>
  <si>
    <t>Irish Guia Medel,Len Mark Onanad,Nicole Guttmann,Rachele Anne Nicdao</t>
  </si>
  <si>
    <t>Charmie Patos,Lindsay Casero</t>
  </si>
  <si>
    <t>Ann Morei Narag,Irish Guia Medel,Len Mark Onanad,Princess Halili,Shalini Sehgal</t>
  </si>
  <si>
    <t>Aileen Fajardo,Ann Morei Narag,Kate Gow,Len Mark Onanad,Nicole Guttmann,Shalini Sehgal</t>
  </si>
  <si>
    <t>Aileen Fajardo,Ann Morei Narag,Elena Gildina,Kate Gow,Len Mark Onanad,Mary Ann Carpio,Shalini Sehgal</t>
  </si>
  <si>
    <t>Efleda Reyes,Franz Xavier Cruz,Gerardo Macawile,Len Mark Onanad,Shalini Sehgal</t>
  </si>
  <si>
    <t>Aileen Fajardo,Elena Gildina,Len Mark Onanad,Mary Ann Carpio,Shalini Sehgal</t>
  </si>
  <si>
    <t>Dexterous Group,Samuel Hoare</t>
  </si>
  <si>
    <t>Jennica Felipe,Jimwelle Villon,Len Mark Onanad,Shalini Sehgal</t>
  </si>
  <si>
    <t>Jennica Felipe,Marie Ann Ticzon</t>
  </si>
  <si>
    <t>Charmie Patos,Len Mark Onanad,Lindsay Casero,Rosemarie Gaile Caliwag,Shalini Sehgal</t>
  </si>
  <si>
    <t>Jeric Rivera,Len Mark Onanad,Rosemarie Gaile Caliwag,Shalini Sehgal</t>
  </si>
  <si>
    <t>Aileen Fajardo,Franz Xavier Cruz,Len Mark Onanad,Sarah Angelica Medrano,Shalini Sehgal</t>
  </si>
  <si>
    <t>Aileen Fajardo,Jeric Rivera,Rachele Anne Nicdao</t>
  </si>
  <si>
    <t>Kate Gow,Len Mark Onanad,Mary Ann Carpio,Samuel Hoare,Shalini Sehgal</t>
  </si>
  <si>
    <t>Irish Guia Medel,Len Mark Onanad</t>
  </si>
  <si>
    <t xml:space="preserve">TH -8.01 ,F -7.99 </t>
  </si>
  <si>
    <t xml:space="preserve">M -8 ,T -8.02 ,W -8.01 ,TH -7.99 ,F -8 </t>
  </si>
  <si>
    <t xml:space="preserve">M -8.01 ,T -8 ,W -8.01 ,TH -8.01 ,F -8 </t>
  </si>
  <si>
    <t xml:space="preserve">M -8.01 ,T -8.02 ,W -8 ,TH -7.99 ,F -8 </t>
  </si>
  <si>
    <t xml:space="preserve">M -8 ,T -8 ,W -8 ,TH -7.99 </t>
  </si>
  <si>
    <t xml:space="preserve">F -0.33 </t>
  </si>
  <si>
    <t xml:space="preserve">M -1.17 ,T -5.67 ,W -0.33 ,TH -2 ,F -2.17 </t>
  </si>
  <si>
    <t xml:space="preserve">M -7.08 ,T -4.17 ,W -5.42 ,TH -5.17 ,F -3.41 </t>
  </si>
  <si>
    <t xml:space="preserve">M -2.58 ,T -3.58 ,W -3.5 ,TH -3 ,F -2 </t>
  </si>
  <si>
    <t xml:space="preserve">M -2.5 ,T -3.75 ,W -4.75 ,TH -2.58 </t>
  </si>
  <si>
    <t xml:space="preserve">TH -8.14 ,F -8.02 </t>
  </si>
  <si>
    <t xml:space="preserve">M -8.04 ,T -8.02 ,W -8 ,TH -8.02 ,F -8 </t>
  </si>
  <si>
    <t xml:space="preserve">M -8.04 ,T -8.01 ,W -8.01 ,TH -8 ,F -8 </t>
  </si>
  <si>
    <t xml:space="preserve">M -7.98 ,T -8.22 ,W -8.09 ,TH -8.01 ,F -7.99 </t>
  </si>
  <si>
    <t xml:space="preserve">M -5.87 ,T -5.37 ,W -13.34 ,TH -8 </t>
  </si>
  <si>
    <t xml:space="preserve">TH -8 ,F -8 </t>
  </si>
  <si>
    <t xml:space="preserve">M -8.04 ,T -8.03 ,W -8.07 ,TH -8.02 ,F -8 </t>
  </si>
  <si>
    <t xml:space="preserve">M -8.03 ,T -8.02 ,W -8 ,TH -8 </t>
  </si>
  <si>
    <t xml:space="preserve">M -8 ,T -10 ,W -8 ,TH -8 ,F -8 </t>
  </si>
  <si>
    <t xml:space="preserve">M -8 ,T -13 ,W -8 ,TH -8 ,F -8 </t>
  </si>
  <si>
    <t xml:space="preserve">M -12 ,T -8.5 ,W -8 ,TH -8 ,F -10.6 </t>
  </si>
  <si>
    <t xml:space="preserve">M -8 ,T -8 ,W -8 ,TH -10 </t>
  </si>
  <si>
    <t xml:space="preserve">TH -7 ,F -9 </t>
  </si>
  <si>
    <t xml:space="preserve">M -11 ,T -7 ,W -11 ,TH -7.5 ,F -8 </t>
  </si>
  <si>
    <t xml:space="preserve">M -10 ,T -9.5 ,W -8 ,TH -8 ,F -8 </t>
  </si>
  <si>
    <t xml:space="preserve">M -7 ,T -7.5 ,W -9 ,TH -11 ,F -8 </t>
  </si>
  <si>
    <t xml:space="preserve">M -7 ,T -7 ,W -8 ,TH -9 </t>
  </si>
  <si>
    <t xml:space="preserve">TH -8.27 ,F -8.27 </t>
  </si>
  <si>
    <t xml:space="preserve">M -8.38 ,T -8.02 ,W -8.59 ,TH -8.47 ,F -8 </t>
  </si>
  <si>
    <t xml:space="preserve">M -8.62 ,T -8.2 ,W -8.23 ,TH -8.55 ,F -8.4 </t>
  </si>
  <si>
    <t xml:space="preserve">M -8.08 ,T -8.35 ,W -8.28 ,TH -8.32 ,F -8.79 </t>
  </si>
  <si>
    <t xml:space="preserve">M -8.5 ,T -8.27 ,W -9.01 ,TH -8.37 </t>
  </si>
  <si>
    <t xml:space="preserve">M -10.45 ,T -8.17 ,W -8.08 ,TH -8 ,F -8 </t>
  </si>
  <si>
    <t xml:space="preserve">M -8.01 ,T -8 ,W -8 ,TH -8 ,F -8 </t>
  </si>
  <si>
    <t xml:space="preserve">M -8 </t>
  </si>
  <si>
    <t xml:space="preserve">TH -9.6 ,F -10.78 </t>
  </si>
  <si>
    <t xml:space="preserve">M -10.28 ,T -9.78 ,W -9.45 ,TH -9.6 ,F -8 </t>
  </si>
  <si>
    <t xml:space="preserve">M -9.37 ,T -11.77 ,W -10.07 ,TH -11.88 ,F -9.72 </t>
  </si>
  <si>
    <t xml:space="preserve">M -12.05 ,T -9.93 ,W -11.23 ,TH -10.3 ,F -9.67 </t>
  </si>
  <si>
    <t xml:space="preserve">M -11.73 ,T -11.97 ,W -9.87 ,TH -9.6 </t>
  </si>
  <si>
    <t xml:space="preserve">TH -3 </t>
  </si>
  <si>
    <t xml:space="preserve">M -4 ,T -3 ,F -2 </t>
  </si>
  <si>
    <t xml:space="preserve">M -2 ,T -2 ,TH -2.5 ,F -3 </t>
  </si>
  <si>
    <t xml:space="preserve">M -2 ,T -2 ,TH -3.5 ,F -3 </t>
  </si>
  <si>
    <t xml:space="preserve">M -3 ,T -3.5 ,W -6 ,TH -7.5 </t>
  </si>
  <si>
    <t xml:space="preserve">TH -9.47 ,F -9.05 </t>
  </si>
  <si>
    <t xml:space="preserve">M -9.25 ,T -9.07 ,W -9.18 ,TH -9.03 ,F -9 </t>
  </si>
  <si>
    <t xml:space="preserve">M -9.18 ,T -9.08 ,W -9.25 ,TH -9.2 ,F -9 </t>
  </si>
  <si>
    <t xml:space="preserve">M -9.18 ,T -9.02 ,W -9.03 ,TH -9.02 ,F -9.27 </t>
  </si>
  <si>
    <t xml:space="preserve">M -9.27 ,T -9.08 ,W -9.22 ,TH -9.05 </t>
  </si>
  <si>
    <t xml:space="preserve">TH -7.99 ,F -7.99 </t>
  </si>
  <si>
    <t xml:space="preserve">M -7.99 ,T -8 ,W -7.99 ,TH -8.01 ,F -8 </t>
  </si>
  <si>
    <t xml:space="preserve">M -8 ,T -8 ,W -7.99 ,TH -8.01 ,F -8 </t>
  </si>
  <si>
    <t xml:space="preserve">M -8 ,T -7.99 ,W -7.99 ,TH -8.01 ,F -8.02 </t>
  </si>
  <si>
    <t xml:space="preserve">M -8 ,T -7.99 ,W -8 ,TH -8 </t>
  </si>
  <si>
    <t xml:space="preserve">TH -8 ,F -8.01 </t>
  </si>
  <si>
    <t xml:space="preserve">M -7.99 ,T -8.01 ,W -8.01 ,TH -8.12 ,F -8 </t>
  </si>
  <si>
    <t xml:space="preserve">M -8.03 ,T -7.99 ,W -8.01 ,TH -8.01 ,F -8.01 </t>
  </si>
  <si>
    <t xml:space="preserve">M -8.07 ,T -8.02 ,W -8 ,TH -8 ,F -8 </t>
  </si>
  <si>
    <t xml:space="preserve">M -8 ,T -8.01 ,W -8 ,TH -8.01 </t>
  </si>
  <si>
    <t xml:space="preserve">TH -9.5 ,F -9.48 </t>
  </si>
  <si>
    <t xml:space="preserve">M -8 ,T -9.39 ,W -9.58 ,TH -9.73 ,F -8 </t>
  </si>
  <si>
    <t xml:space="preserve">M -9.75 ,T -9.63 ,W -9.62 ,TH -9.84 ,F -9.75 </t>
  </si>
  <si>
    <t xml:space="preserve">M -10.07 ,T -9.98 ,W -10.02 ,TH -10.05 ,F -9.8 </t>
  </si>
  <si>
    <t xml:space="preserve">M -10.35 ,T -9.5 ,W -9.91 ,TH -9.58 </t>
  </si>
  <si>
    <t xml:space="preserve">TH -7.99 ,F -8.01 </t>
  </si>
  <si>
    <t xml:space="preserve">M -8 ,T -8 ,W -8 ,TH -8 ,F -8 </t>
  </si>
  <si>
    <t xml:space="preserve">M -8 ,T -7.99 ,W -8.01 ,TH -8.02 ,F -7.99 </t>
  </si>
  <si>
    <t xml:space="preserve">M -8 ,T -8 ,W -8.01 ,TH -7.99 ,F -7.99 </t>
  </si>
  <si>
    <t xml:space="preserve">M -8 ,T -7.99 ,W -7.98 ,TH -8 </t>
  </si>
  <si>
    <t xml:space="preserve">TH -9.77 ,F -8.12 </t>
  </si>
  <si>
    <t xml:space="preserve">M -8 ,T -13.06 ,W -9.41 ,TH -11.19 ,F -8 </t>
  </si>
  <si>
    <t xml:space="preserve">M -8.2 ,T -8.01 ,W -8.15 ,TH -9.16 ,F -8.88 </t>
  </si>
  <si>
    <t xml:space="preserve">M -8.45 ,T -8.34 ,W -9.01 ,TH -8.75 </t>
  </si>
  <si>
    <t xml:space="preserve">TH -7.56 ,F -8.29 </t>
  </si>
  <si>
    <t xml:space="preserve">M -8.01 ,T -8.06 ,W -7.25 ,TH -9.44 ,F -8 </t>
  </si>
  <si>
    <t xml:space="preserve">M -8.29 ,T -8.02 ,W -7.71 ,TH -8.23 ,F -7.95 </t>
  </si>
  <si>
    <t xml:space="preserve">M -8 ,T -8.16 ,W -8.04 ,TH -7.69 ,F -8.25 </t>
  </si>
  <si>
    <t xml:space="preserve">M -8.08 ,T -7.88 ,W -8.17 ,TH -8.52 </t>
  </si>
  <si>
    <t xml:space="preserve">TH -8.05 ,F -7.84 </t>
  </si>
  <si>
    <t xml:space="preserve">M -8.1 ,T -8 ,W -8.1 ,TH -7.92 ,F -8 </t>
  </si>
  <si>
    <t xml:space="preserve">M -8.06 ,T -8.05 ,W -8.05 ,TH -7.96 ,F -8.07 </t>
  </si>
  <si>
    <t xml:space="preserve">M -8 ,T -8 ,W -8 ,TH -8.05 ,F -8.05 </t>
  </si>
  <si>
    <t xml:space="preserve">M -8 ,T -8.12 ,W -8.2 ,TH -7.9 </t>
  </si>
  <si>
    <t xml:space="preserve">TH -8.69 </t>
  </si>
  <si>
    <t xml:space="preserve">M -6.63 ,T -8.67 ,W -8.34 ,TH -8.4 </t>
  </si>
  <si>
    <t xml:space="preserve">M -8.2 ,T -6 ,W -6.66 ,TH -8.64 </t>
  </si>
  <si>
    <t xml:space="preserve">M -7.66 ,T -7.75 ,W -8 ,TH -2 ,F -0.5 </t>
  </si>
  <si>
    <t xml:space="preserve">M -9.33 ,T -9 ,W -7.92 ,TH -7.95 </t>
  </si>
  <si>
    <t xml:space="preserve">TH -8 ,F -9.55 </t>
  </si>
  <si>
    <t xml:space="preserve">M -8.02 ,T -8.07 ,W -8.25 ,TH -8.09 ,F -8 </t>
  </si>
  <si>
    <t xml:space="preserve">M -8.04 ,T -8.03 ,W -8.06 ,TH -8.01 ,F -8.01 </t>
  </si>
  <si>
    <t xml:space="preserve">M -8.03 ,T -8.03 ,W -8 ,TH -8.01 ,F -7.99 </t>
  </si>
  <si>
    <t xml:space="preserve">M -8.01 ,T -8.01 ,W -8.07 ,TH -8.04 </t>
  </si>
  <si>
    <t xml:space="preserve">M -8 ,T -8 ,W -8 ,TH -8 </t>
  </si>
  <si>
    <t xml:space="preserve">TH -8 ,F -4 </t>
  </si>
  <si>
    <t xml:space="preserve">TH -10.67 ,F -5.85 </t>
  </si>
  <si>
    <t xml:space="preserve">M -6.96 ,T -4.89 ,W -10.58 ,TH -11.25 ,F -6.8 </t>
  </si>
  <si>
    <t xml:space="preserve">M -8.4 ,T -7.68 ,W -8.41 ,TH -7.48 ,F -7.92 </t>
  </si>
  <si>
    <t xml:space="preserve">M -9.9 ,T -6.84 ,W -8.53 ,TH -8.24 ,F -8.84 </t>
  </si>
  <si>
    <t xml:space="preserve">M -7.17 ,T -8.47 ,W -7.6 ,TH -7.28 </t>
  </si>
  <si>
    <t xml:space="preserve">M -2.58 ,T -2.34 ,W -1.59 ,TH -3.42 ,F -0.17 </t>
  </si>
  <si>
    <t xml:space="preserve">M -3.75 ,T -3.83 ,W -2.9 ,TH -0.99 </t>
  </si>
  <si>
    <t xml:space="preserve">M -2.58 ,T -1.49 ,W -0.92 </t>
  </si>
  <si>
    <t xml:space="preserve">M -0.58 ,T -0.08 </t>
  </si>
  <si>
    <t xml:space="preserve">TH -8.06 ,F -8 </t>
  </si>
  <si>
    <t xml:space="preserve">M -8.12 ,T -8.04 ,W -7.98 ,TH -8.01 ,F -8.01 </t>
  </si>
  <si>
    <t xml:space="preserve">M -8.01 ,T -7.98 ,W -8.01 ,TH -8.21 ,F -8.46 </t>
  </si>
  <si>
    <t xml:space="preserve">M -8 ,T -8.06 ,W -8.04 ,TH -8.06 ,F -8.24 </t>
  </si>
  <si>
    <t xml:space="preserve">M -8.09 ,T -8 ,W -8.43 ,TH -8.38 </t>
  </si>
  <si>
    <t xml:space="preserve">TH -8 ,F -8.61 </t>
  </si>
  <si>
    <t xml:space="preserve">M -8.97 ,T -8.05 ,W -8 ,TH -8.37 ,F -8 </t>
  </si>
  <si>
    <t xml:space="preserve">M -8.06 ,T -9.22 ,W -8.15 ,TH -8.2 ,F -8.09 </t>
  </si>
  <si>
    <t xml:space="preserve">M -8.11 ,T -8.06 ,W -8.08 ,TH -8.11 ,F -8.41 </t>
  </si>
  <si>
    <t xml:space="preserve">M -8.2 ,T -8.03 ,W -8.84 ,TH -8.97 </t>
  </si>
  <si>
    <t xml:space="preserve">TH -1.65 ,F -0.25 </t>
  </si>
  <si>
    <t xml:space="preserve">M -1.75 ,T -1 ,W -0.75 ,TH -1 </t>
  </si>
  <si>
    <t xml:space="preserve">T -0.5 ,W -1.25 ,TH -1 ,F -0.5 </t>
  </si>
  <si>
    <t xml:space="preserve">M -0.5 ,T -1 ,W -0.75 ,TH -1.5 </t>
  </si>
  <si>
    <t xml:space="preserve">TH -8.38 ,F -9.35 </t>
  </si>
  <si>
    <t xml:space="preserve">M -9.04 ,T -8.01 ,W -8.09 ,TH -8.68 ,F -8.91 </t>
  </si>
  <si>
    <t xml:space="preserve">M -9.6 ,T -8.4 ,W -8.96 ,TH -9.62 ,F -7.63 </t>
  </si>
  <si>
    <t xml:space="preserve">M -8.89 ,T -8.27 ,W -8.61 ,TH -8.05 ,F -8.21 </t>
  </si>
  <si>
    <t xml:space="preserve">M -8 ,T -8.07 ,W -8.38 ,TH -8 </t>
  </si>
  <si>
    <t xml:space="preserve">M -8 ,T -8 ,W -8 ,TH -8.01 ,F -8 </t>
  </si>
  <si>
    <t xml:space="preserve">M -8 ,T -8 ,W -8.01 ,TH -7.99 ,F -8.08 </t>
  </si>
  <si>
    <t xml:space="preserve">M -8.01 ,T -8.04 ,W -8 ,TH -8.05 ,F -8.02 </t>
  </si>
  <si>
    <t xml:space="preserve">M -8 ,T -8.07 ,W -8.11 ,TH -8 </t>
  </si>
  <si>
    <t xml:space="preserve">TH -9 ,F -9 </t>
  </si>
  <si>
    <t xml:space="preserve">M -9 ,T -9 ,W -9 ,TH -9 ,F -9 </t>
  </si>
  <si>
    <t xml:space="preserve">M -8 ,T -8 ,W -9 ,TH -9 ,F -9 </t>
  </si>
  <si>
    <t xml:space="preserve">M -9 ,T -9 ,W -9 ,TH -9 </t>
  </si>
  <si>
    <t xml:space="preserve">TH -8.15 ,F -8.05 </t>
  </si>
  <si>
    <t xml:space="preserve">M -8.02 ,T -8.05 ,W -8.06 ,TH -8.01 ,F -8 </t>
  </si>
  <si>
    <t xml:space="preserve">M -8.05 ,T -8.02 ,W -8.19 ,TH -8.12 ,F -8.04 </t>
  </si>
  <si>
    <t xml:space="preserve">M -8.04 ,T -8.02 ,W -8.09 ,TH -8.16 ,F -8.14 </t>
  </si>
  <si>
    <t xml:space="preserve">M -8.05 ,T -8.08 ,W -8.03 ,TH -8.08 </t>
  </si>
  <si>
    <t xml:space="preserve">TH -8.09 ,F -10.71 </t>
  </si>
  <si>
    <t xml:space="preserve">M -9.42 ,T -9.08 ,W -9.56 ,TH -8.03 ,F -8 </t>
  </si>
  <si>
    <t xml:space="preserve">M -9.75 ,T -9.03 ,W -8.01 ,TH -8.13 ,F -8.04 </t>
  </si>
  <si>
    <t xml:space="preserve">M -8.65 ,T -8.07 ,W -8.6 ,TH -9.47 ,F -9.12 </t>
  </si>
  <si>
    <t xml:space="preserve">M -10.15 ,T -10.02 ,W -8.96 ,TH -8.22 </t>
  </si>
  <si>
    <t xml:space="preserve">TH -10 ,F -10 </t>
  </si>
  <si>
    <t xml:space="preserve">M -10 ,T -10 ,W -10 ,TH -10 ,F -8 </t>
  </si>
  <si>
    <t xml:space="preserve">M -10 ,T -10 ,W -10 ,TH -10 ,F -10 </t>
  </si>
  <si>
    <t xml:space="preserve">M -10 ,T -10 ,W -10 ,TH -10 </t>
  </si>
  <si>
    <t xml:space="preserve">TH -4 </t>
  </si>
  <si>
    <t xml:space="preserve">M -5.5 ,T -5.5 ,W -5 ,TH -5.5 ,F -5 </t>
  </si>
  <si>
    <t xml:space="preserve">M -5.5 ,T -6 ,W -4.5 ,TH -5 ,F -5.5 </t>
  </si>
  <si>
    <t xml:space="preserve">M -5.5 ,T -5 ,W -5.5 ,TH -5.5 ,F -5 </t>
  </si>
  <si>
    <t xml:space="preserve">M -5.5 ,T -5 ,W -5.5 ,TH -5.5 </t>
  </si>
  <si>
    <t xml:space="preserve">TH -6 ,F -6 </t>
  </si>
  <si>
    <t xml:space="preserve">M -5.99 ,T -6 ,W -6 ,TH -6.01 ,F -6 </t>
  </si>
  <si>
    <t xml:space="preserve">M -5.99 ,T -6 ,W -6 ,TH -6 ,F -5.99 </t>
  </si>
  <si>
    <t xml:space="preserve">M -6.16 ,T -4.14 ,W -5.64 ,TH -8.05 ,F -6.02 </t>
  </si>
  <si>
    <t xml:space="preserve">M -5.8 ,T -7.22 ,W -5.1 ,TH -5.89 </t>
  </si>
  <si>
    <t xml:space="preserve">TH -7.22 ,F -7.09 </t>
  </si>
  <si>
    <t xml:space="preserve">M -7.37 ,T -8.55 ,W -8.19 ,TH -7.92 ,F -8 </t>
  </si>
  <si>
    <t xml:space="preserve">M -11.34 ,T -7.37 ,W -7.6 ,TH -7.32 ,F -6.67 </t>
  </si>
  <si>
    <t xml:space="preserve">M -7.27 ,T -8.53 ,W -7.97 ,TH -8.21 ,F -8 </t>
  </si>
  <si>
    <t xml:space="preserve">M -8 ,T -8.01 ,W -8.07 ,TH -8.02 </t>
  </si>
  <si>
    <t xml:space="preserve">TH -8.53 ,F -8.98 </t>
  </si>
  <si>
    <t xml:space="preserve">M -9.78 ,T -8.5 ,W -8.69 ,TH -9.58 ,F -5.47 </t>
  </si>
  <si>
    <t xml:space="preserve">M -8.92 ,T -8.92 ,W -8 ,TH -8.49 ,F -9.41 </t>
  </si>
  <si>
    <t xml:space="preserve">M -8.81 ,T -8.83 ,W -9.07 ,TH -8.62 ,F -8.85 </t>
  </si>
  <si>
    <t xml:space="preserve">M -9.25 ,T -8.98 ,W -8.62 ,TH -9.34 </t>
  </si>
  <si>
    <t xml:space="preserve">TH -8.74 ,F -9.32 </t>
  </si>
  <si>
    <t xml:space="preserve">M -9.37 ,T -8.16 ,W -8.74 ,TH -11.79 ,F -8 </t>
  </si>
  <si>
    <t xml:space="preserve">M -8.41 ,T -9.02 ,W -9.23 ,TH -9.3 ,F -9.13 </t>
  </si>
  <si>
    <t xml:space="preserve">M -8.43 ,T -9.05 ,W -8.79 ,TH -8.68 ,F -8.27 </t>
  </si>
  <si>
    <t xml:space="preserve">M -8.37 ,T -8.5 ,W -8.05 ,TH -8 </t>
  </si>
  <si>
    <t xml:space="preserve">TH -8.45 ,F -8.74 </t>
  </si>
  <si>
    <t xml:space="preserve">M -8.2 ,T -8.73 ,W -9.2 ,TH -8.11 ,F -9.67 </t>
  </si>
  <si>
    <t xml:space="preserve">M -8.87 ,T -10.02 ,W -8.35 ,TH -8.1 ,F -8.92 </t>
  </si>
  <si>
    <t xml:space="preserve">M -8 ,T -8.47 ,W -8.6 ,TH -8 ,F -8 </t>
  </si>
  <si>
    <t xml:space="preserve">M -8 ,T -8.47 ,W -8.05 ,TH -8.53 </t>
  </si>
  <si>
    <t xml:space="preserve">TH -8.26 ,F -8.04 </t>
  </si>
  <si>
    <t xml:space="preserve">M -8.03 ,T -8.06 ,W -8.09 ,TH -8.14 ,F -8 </t>
  </si>
  <si>
    <t xml:space="preserve">M -8.01 ,T -8.21 ,W -8 ,TH -8.14 ,F -8.32 </t>
  </si>
  <si>
    <t xml:space="preserve">M -8.11 ,T -8.01 ,W -8.03 ,TH -7.99 ,F -8.56 </t>
  </si>
  <si>
    <t xml:space="preserve">M -8.01 ,T -8.08 ,W -8.12 ,TH -8.04 </t>
  </si>
  <si>
    <t xml:space="preserve">TH -0.84 ,F -0.75 </t>
  </si>
  <si>
    <t xml:space="preserve">M -0.42 ,T -1.33 ,W -1.02 ,TH -0.37 </t>
  </si>
  <si>
    <t xml:space="preserve">T -4 ,TH -1.5 ,F -0.34 </t>
  </si>
  <si>
    <t xml:space="preserve">T -0.34 ,W -0.7 </t>
  </si>
  <si>
    <t xml:space="preserve">W -0.8 ,TH -2.2 </t>
  </si>
  <si>
    <t xml:space="preserve">TH -8.05 ,F -8.08 </t>
  </si>
  <si>
    <t xml:space="preserve">M -8.25 ,T -8.09 ,W -8.21 ,TH -8 ,F -8 </t>
  </si>
  <si>
    <t xml:space="preserve">M -8.16 ,T -8.2 ,W -8.02 ,TH -8.13 ,F -8.04 </t>
  </si>
  <si>
    <t xml:space="preserve">M -8.35 ,T -8.03 ,W -8.02 ,TH -8.11 ,F -8 </t>
  </si>
  <si>
    <t xml:space="preserve">M -8.04 ,T -8 ,W -8.09 ,TH -8.02 </t>
  </si>
  <si>
    <t xml:space="preserve">TH -7.66 ,F -7.65 </t>
  </si>
  <si>
    <t xml:space="preserve">M -7.91 ,T -7.99 ,W -8.02 ,TH -8.09 ,F -7.41 </t>
  </si>
  <si>
    <t xml:space="preserve">M -7 ,T -8.74 ,W -7.5 ,TH -7.08 ,F -7.83 </t>
  </si>
  <si>
    <t xml:space="preserve">M -7.82 ,T -7.83 ,W -7.65 ,TH -7.58 ,F -7.81 </t>
  </si>
  <si>
    <t xml:space="preserve">M -7.91 ,T -7.58 ,W -7.66 ,TH -7.75 </t>
  </si>
  <si>
    <t xml:space="preserve">TH -8.31 ,F -8.03 </t>
  </si>
  <si>
    <t xml:space="preserve">M -8.25 ,T -8.04 ,W -8.1 ,TH -8.37 ,F -8.28 </t>
  </si>
  <si>
    <t xml:space="preserve">M -8.83 ,T -8.95 ,W -8.1 ,TH -8.63 </t>
  </si>
  <si>
    <t xml:space="preserve">TH -9.7 ,F -5 </t>
  </si>
  <si>
    <t xml:space="preserve">M -7.67 ,T -9.12 ,W -6.9 ,TH -9.4 ,F -3.4 </t>
  </si>
  <si>
    <t xml:space="preserve">M -7.13 ,T -10.5 ,W -7.6 ,TH -9.6 ,F -4.73 </t>
  </si>
  <si>
    <t xml:space="preserve">M -8.4 ,T -8.75 ,W -7.8 ,TH -9.7 ,F -2.5 </t>
  </si>
  <si>
    <t xml:space="preserve">M -8.25 ,T -8.1 ,W -8.2 ,TH -9.57 </t>
  </si>
  <si>
    <t xml:space="preserve">M -3 ,T -2 ,TH -3 </t>
  </si>
  <si>
    <t xml:space="preserve">T -2 ,W -2 ,TH -5 ,F -1 </t>
  </si>
  <si>
    <t xml:space="preserve">T -4 ,W -2 </t>
  </si>
  <si>
    <t>Jeric Rivera,Ann Morei Narag</t>
  </si>
  <si>
    <t>Jeric Rivera,Ann Morei Narag,Jennica Felipe</t>
  </si>
  <si>
    <t>Jeric Rivera,Ann Morei Narag,Jennica Felipe,Jordan Martinez</t>
  </si>
  <si>
    <t xml:space="preserve">TH -0.02 </t>
  </si>
  <si>
    <t xml:space="preserve">M -0.02 ,W -0.04 ,TH -0.02 </t>
  </si>
  <si>
    <t xml:space="preserve">T -0.02 </t>
  </si>
  <si>
    <t xml:space="preserve">M -0.02 ,W -0.04 </t>
  </si>
  <si>
    <t xml:space="preserve">TH -0.25 </t>
  </si>
  <si>
    <t xml:space="preserve">M -0.25 ,T -1 ,TH -4.16 </t>
  </si>
  <si>
    <t xml:space="preserve">W -2.84 ,TH -6.99 </t>
  </si>
  <si>
    <t xml:space="preserve">W -1 </t>
  </si>
  <si>
    <t xml:space="preserve">TH -8 </t>
  </si>
  <si>
    <t xml:space="preserve">M -7.83 ,T -8 ,W -8 ,TH -8 </t>
  </si>
  <si>
    <t xml:space="preserve">M -0.75 </t>
  </si>
  <si>
    <t xml:space="preserve">M -16.07 ,T -16.05 ,W -16.07 ,TH -24.02 ,F -16 </t>
  </si>
  <si>
    <t xml:space="preserve">M -26.46 ,T -16.17 ,W -16.08 ,TH -24 ,F -24 </t>
  </si>
  <si>
    <t xml:space="preserve">M -0.04 ,T -0.02 ,W -0.08 ,TH -0.04 </t>
  </si>
  <si>
    <t xml:space="preserve">TH -1.5 </t>
  </si>
  <si>
    <t xml:space="preserve">M -3.5 ,TH -6.25 </t>
  </si>
  <si>
    <t xml:space="preserve">M -1.25 ,TH -1.5 </t>
  </si>
  <si>
    <t xml:space="preserve">M -6 ,TH -1.25 ,F -1.25 </t>
  </si>
  <si>
    <t xml:space="preserve">M -2.75 ,TH -1 </t>
  </si>
  <si>
    <t xml:space="preserve">M -0.25 ,T -1 ,W -3.84 ,TH -11.4 </t>
  </si>
  <si>
    <t xml:space="preserve">M -9.49 ,T -7.74 ,W -5.41 ,TH -4.41 ,F -0.17 </t>
  </si>
  <si>
    <t xml:space="preserve">M -2.25 ,T -2.5 ,W -2.75 ,TH -5.15 ,F -0.75 </t>
  </si>
  <si>
    <t xml:space="preserve">M -17.08 ,T -16.99 ,W -16.2 ,TH -25.31 ,F -16.31 </t>
  </si>
  <si>
    <t xml:space="preserve">F -0.25 </t>
  </si>
  <si>
    <t xml:space="preserve">M -0.75 ,F -0.25 </t>
  </si>
  <si>
    <t xml:space="preserve">M -3 ,T -8 ,W -4 ,TH -8 ,F -1 </t>
  </si>
  <si>
    <t>Actual Total</t>
  </si>
  <si>
    <t xml:space="preserve"> M - 6 , W - 7 , TH - 7 , F - 5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</si>
</sst>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style="thin">
        <color rgb="FFEBEBEB"/>
      </top>
      <bottom/>
      <diagonal/>
    </border>
  </borders>
  <cellStyleXfs count="2">
    <xf numFmtId="0" fontId="0" fillId="0" borderId="0"/>
    <xf numFmtId="0" fontId="9" fillId="0" borderId="0" applyNumberFormat="0" applyFill="0" applyBorder="0" applyAlignment="0" applyProtection="0"/>
  </cellStyleXfs>
  <cellXfs count="39">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2" fontId="1" fillId="0" borderId="0" xfId="0" applyNumberFormat="1" applyFont="1" applyAlignment="1">
      <alignment horizontal="center"/>
    </xf>
    <xf numFmtId="0" fontId="0" fillId="0" borderId="0" xfId="0" applyNumberFormat="1"/>
    <xf numFmtId="0" fontId="2" fillId="0" borderId="0" xfId="0" applyFont="1" applyBorder="1"/>
    <xf numFmtId="0" fontId="0" fillId="0" borderId="1" xfId="0" applyBorder="1"/>
    <xf numFmtId="0" fontId="3" fillId="0" borderId="0" xfId="0" applyFont="1" applyBorder="1"/>
    <xf numFmtId="0" fontId="5" fillId="0" borderId="0" xfId="0" applyFont="1" applyBorder="1"/>
    <xf numFmtId="0" fontId="6" fillId="0" borderId="0" xfId="0" applyFont="1" applyBorder="1" applyAlignment="1">
      <alignment vertical="center"/>
    </xf>
    <xf numFmtId="0" fontId="7" fillId="0" borderId="1" xfId="0" applyFont="1" applyBorder="1"/>
    <xf numFmtId="0" fontId="0" fillId="0" borderId="0" xfId="0" applyFill="1"/>
    <xf numFmtId="0" fontId="0" fillId="0" borderId="0" xfId="0"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386.417389351853"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2-01T00:00:00" maxDate="2024-03-01T00:00:00"/>
    </cacheField>
    <cacheField name="[Staff] Name" numFmtId="0">
      <sharedItems containsBlank="1" count="55">
        <s v="Aileen Fajardo"/>
        <s v="Ann Morei Narag"/>
        <s v="April Rose Tortal"/>
        <s v="Bernadette Feliciano"/>
        <s v="Carly Chant"/>
        <s v="Charm Dequito"/>
        <s v="Charmie Patos"/>
        <s v="Daniel Estoesta"/>
        <s v="Dexterous Group"/>
        <s v="Dherick Jay Paalam"/>
        <s v="Edward Jon Arquiza"/>
        <s v="Efleda Reyes"/>
        <s v="Elena Gildina"/>
        <s v="Emily Ear"/>
        <s v="Franz Xavier Cruz"/>
        <s v="Geneline Barongan"/>
        <s v="Gerardo Macawile"/>
        <s v="Irish Guia Medel"/>
        <s v="Jennica Felipe"/>
        <s v="Jeric Rivera"/>
        <s v="Jessica Sinclair"/>
        <s v="Jimwelle Villon"/>
        <s v="Jonathan Yanga"/>
        <s v="Jordan Martinez"/>
        <s v="Jose Bien Contreras"/>
        <s v="Kate Gow"/>
        <s v="Len Mark Onanad"/>
        <s v="Libby Bruderlin"/>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ylvie Dardare"/>
        <s v="Zerradiene Egido"/>
        <s v="Alison Sheer"/>
        <s v="Shrawani  Trivedi"/>
        <s v="Kimberley Chan"/>
        <s v="Timothy Milanay"/>
        <s v="Sherly Oro"/>
        <m/>
      </sharedItems>
    </cacheField>
    <cacheField name="[Task] Name + Label" numFmtId="0">
      <sharedItems containsBlank="1"/>
    </cacheField>
    <cacheField name="[Time] Time (Totalled)" numFmtId="0">
      <sharedItems containsString="0" containsBlank="1" containsNumber="1" minValue="0.02" maxValue="12.05"/>
    </cacheField>
    <cacheField name="[Job] Billing Details" numFmtId="0">
      <sharedItems containsBlank="1" count="142">
        <s v="Merchant Services Online Pty Ltd"/>
        <s v="The Trustee for the Great Synagogue Foundation"/>
        <s v="Tasman Agri Pty Ltd"/>
        <s v="Unicorn Group Australia Pty Ltd"/>
        <s v="Space Industry Association of Australia Limited"/>
        <s v="Doughboy Pizza Franchising Pty Ltd"/>
        <s v="The Great Synagogue"/>
        <s v="Nephew Brand Pty Ltd"/>
        <s v="Simpson And Co Painting WA Pty Ltd"/>
        <s v="Queste Pty Ltd"/>
        <s v="Litica Australia Pty Ltd"/>
        <s v="Two By Four Cafe Pty Ltd"/>
        <s v="Dexterous Group Pty Limited"/>
        <s v="Noumed Pharmaceuticals Pty Ltd"/>
        <s v="Sydney Region Aboriginal Corporation"/>
        <s v="Donor Republic Pty Ltd"/>
        <s v="Alliance Electric Pty Ltd"/>
        <s v="Sure Fire Services Pty Ltd"/>
        <s v="Trupanion Australia Pty Ltd"/>
        <s v="Moody Kiddell &amp; Partners Asset Finance Pty Ltd"/>
        <s v="Philip Lomax"/>
        <s v="Pinnacle Oporto Ulladulla Pty Ltd"/>
        <s v="Pinnacle Oporto Warrawong Pty Ltd"/>
        <s v="Pinnacle Cj's Warrawong Pty Ltd "/>
        <s v="Pinnacle Hospitality Group Pty Ltd"/>
        <s v="Romance Was Born Pty Ltd"/>
        <s v="Pinnacle CJ's Nowra Pty Ltd"/>
        <s v="A. S. White Global Pty Ltd"/>
        <s v="Livewire Markets Pty Ltd"/>
        <s v="Speech and Learning Services Pty Ltd"/>
        <s v="Alder Road Food Group Pty Ltd"/>
        <s v="The Trustee for the Cowdroy Trust"/>
        <s v="Emma Mulholland on Holiday Pty Ltd"/>
        <s v="Food Rascal Enterprises Pty Ltd"/>
        <s v="Fusion Holdings (AAA) Pty Ltd"/>
        <s v="Connected Culture Group Pty Ltd"/>
        <s v="Holdsworth Community Ltd"/>
        <s v="Prime Build Services"/>
        <s v="SimplyAi Pty Ltd"/>
        <s v="Shipley Australasia Pty Limited"/>
        <s v="Fintech Equity Pty Ltd"/>
        <s v="Spaceful Pty Ltd"/>
        <s v="RSVP.com.au Pty Limited"/>
        <s v="BX Pty. Limited"/>
        <s v="Spectrum Retail Developments Pty Ltd"/>
        <s v="Upstage World Pty Ltd"/>
        <s v="One Focus Pty Ltd"/>
        <s v="Daniel Scheuch"/>
        <s v="Miller,Jolynn"/>
        <s v="Superfoods Australia Pty Ltd"/>
        <s v="Bellinger Asset Management Pty Limited"/>
        <s v="Black Montana Pty Ltd T/A Lack of Color"/>
        <s v="RichBox Pty Ltd"/>
        <s v="Dexterous Global Pty Ltd"/>
        <s v="Central Monitoring Services Pty. Limited"/>
        <s v="Marsill Pty Ltd"/>
        <s v="Energy Vault Pty Ltd"/>
        <s v="Ish Dental Pty Ltd"/>
        <s v="RH Capital Group Pty Ltd"/>
        <s v="Defeat Diabetes Proprietary Limited"/>
        <s v="Pinnacle Oporto Wodonga Pty Ltd"/>
        <s v="Starleaton Holdings Pty Ltd"/>
        <s v="Capspace Investments Pty Ltd"/>
        <s v="NordFab Pty Ltd"/>
        <s v="Capspace Pty Ltd"/>
        <s v="IAM Systems Pty Ltd"/>
        <s v="Too Nice Creative Pty Ltd"/>
        <s v="Spectrum Retail Pty Ltd"/>
        <s v="Timber Time Toys Pty Ltd"/>
        <s v="Dexterous Group RO"/>
        <s v="MDF Group Pty Limited"/>
        <s v="Ramp Holdings Pty Ltd"/>
        <s v="Harmony Build Pty Ltd"/>
        <s v="Woolpack Hotel"/>
        <s v="Commercial Hotel Tumut"/>
        <s v="Spinning Wheel Hotel"/>
        <s v="The Trustee for Spectrum REIT 23 Unit Trust"/>
        <s v="The Trustee for Spectrum Reit 30 Trust"/>
        <s v="The Trustee for Spectrum reit 38 Trust - Wallsend"/>
        <s v="ADFLMF Investments Pty Ltd"/>
        <s v="Ellis eCommerce Pty Ltd"/>
        <s v="TSM (The Service Manager) Pty Ltd"/>
        <s v="Studio Payne"/>
        <s v="ChronicleHQ Pty Ltd"/>
        <s v="Barrack Broking Pty Ltd"/>
        <s v="Organic Merchant Pty Ltd"/>
        <s v="Carbon Reduction Institute Pty Ltd"/>
        <s v="Supply Crew Pty Ltd"/>
        <s v="The Trustee for Lyndcote Family Trust"/>
        <s v="Chatswood Hotel"/>
        <s v="AS White Australia Pty Ltd"/>
        <s v="RSA Industries Pty Ltd"/>
        <s v="Atmosphere Property Pty Ltd"/>
        <s v="Marie-Pierre Cleret Pty. Limited"/>
        <s v="Bellinger Credit Pty Limited"/>
        <s v="Coex Capital Pty Ltd"/>
        <s v="Enigma Marketing Pty Ltd"/>
        <s v="Affluens360 Tax &amp; Business Advisory Pty Ltd"/>
        <s v="Affluens360 Wealth Management Pty Ltd"/>
        <s v="Pelan Pty. Limited"/>
        <s v="The Trustee for Shebeling Trust"/>
        <s v="Affluens360 Lending Pty Ltd"/>
        <s v="Fusion Accounting &amp; Advisory"/>
        <s v="Sack me! Pty Ltd"/>
        <s v="Holly Maree Investment Trust"/>
        <s v="Samuel Miles Investment Trust"/>
        <s v="Fleetwood Family Trust"/>
        <s v="Waterstone Pty. Limited"/>
        <s v="True Alpha Ventures Pty Ltd"/>
        <s v="Starleaton NZ Limited"/>
        <s v="The Trustee For Ackad Family Trust"/>
        <s v="Lyndcote Pty Limited"/>
        <s v="VGS Pty Ltd"/>
        <s v="3Forward Pty Ltd"/>
        <s v="Chemika Pty Ltd"/>
        <s v="Luminary Mindset Pty Ltd"/>
        <s v="WJ Dental Pty Ltd"/>
        <s v="Holly Maree Fleetwood"/>
        <s v="Samuel Miles Fleetwood"/>
        <s v="Earjobs NZ Limited Partnership"/>
        <s v="C.T.A.L. Investment Trust"/>
        <s v="Angela McHugh"/>
        <s v="The Trustee for Myall Street Investment Trust"/>
        <s v="Employee Protection Solutions Pty Ltd"/>
        <s v="Anthony David Fleetwood"/>
        <s v="Lisa Maree Fleetwood"/>
        <s v="The Trustee for Capspace Private Debt Fund"/>
        <s v="Thomas McKay"/>
        <s v="Spectrum Solar Energy Pty Ltd"/>
        <s v="The Trustee for the Salmon Family Trust"/>
        <s v="The Trustee for Salmon Family Trust No 2"/>
        <s v="Red Apple Education Pty Ltd"/>
        <s v="JPE Invest Pty Limited ATF JPE Trust"/>
        <s v="The Trustee for Port Stephens Development Trust"/>
        <s v="Coho Property Pty Ltd"/>
        <s v="The Search Experience Pty Ltd"/>
        <s v="Holly Maree Investments Pty Ltd"/>
        <s v="Capspace Funds Management Pty Ltd"/>
        <s v="The Yacht Life"/>
        <s v="Hunt Civil Pty Ltd"/>
        <s v="Richard Cunningham"/>
        <m/>
      </sharedItems>
    </cacheField>
    <cacheField name="[Time] Billable" numFmtId="0">
      <sharedItems containsBlank="1"/>
    </cacheField>
    <cacheField name="[Time] Note" numFmtId="0">
      <sharedItems containsBlank="1" longText="1"/>
    </cacheField>
    <cacheField name="[Week] Week" numFmtId="0">
      <sharedItems containsBlank="1" count="6">
        <s v="Week 1"/>
        <s v="Week 2"/>
        <s v="Week 3"/>
        <s v="Week 4"/>
        <s v="Week 5"/>
        <m/>
      </sharedItems>
    </cacheField>
    <cacheField name="[Day] Day" numFmtId="49">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2-01T00:00:00"/>
    <x v="0"/>
    <s v="Bookkeeping"/>
    <n v="0.03"/>
    <x v="0"/>
    <s v="Yes"/>
    <s v="Email"/>
    <x v="0"/>
    <s v="Thursday"/>
  </r>
  <r>
    <d v="2024-02-01T00:00:00"/>
    <x v="0"/>
    <s v="Bookkeeping"/>
    <n v="0.05"/>
    <x v="1"/>
    <s v="Yes"/>
    <s v="Download Bank Statement"/>
    <x v="0"/>
    <s v="Thursday"/>
  </r>
  <r>
    <d v="2024-02-01T00:00:00"/>
    <x v="0"/>
    <s v="Bookkeeping"/>
    <n v="7.0000000000000007E-2"/>
    <x v="2"/>
    <s v="Yes"/>
    <s v="Email/Inbox Management"/>
    <x v="0"/>
    <s v="Thursday"/>
  </r>
  <r>
    <d v="2024-02-01T00:00:00"/>
    <x v="0"/>
    <s v="Bookkeeping"/>
    <n v="7.0000000000000007E-2"/>
    <x v="3"/>
    <s v="Yes"/>
    <s v="Send RA to suppliers"/>
    <x v="0"/>
    <s v="Thursday"/>
  </r>
  <r>
    <d v="2024-02-01T00:00:00"/>
    <x v="0"/>
    <s v="Bookkeeping"/>
    <n v="0.08"/>
    <x v="0"/>
    <s v="Yes"/>
    <s v="Emails"/>
    <x v="0"/>
    <s v="Thursday"/>
  </r>
  <r>
    <d v="2024-02-01T00:00:00"/>
    <x v="0"/>
    <s v="Bookkeeping"/>
    <n v="0.08"/>
    <x v="4"/>
    <s v="Yes"/>
    <s v="Email/Inbox Management"/>
    <x v="0"/>
    <s v="Thursday"/>
  </r>
  <r>
    <d v="2024-02-01T00:00:00"/>
    <x v="0"/>
    <s v="Bookkeeping"/>
    <n v="0.08"/>
    <x v="3"/>
    <s v="Yes"/>
    <s v="Send Statement Requests to Suppliers"/>
    <x v="0"/>
    <s v="Thursday"/>
  </r>
  <r>
    <d v="2024-02-01T00:00:00"/>
    <x v="0"/>
    <s v="Bookkeeping"/>
    <n v="0.1"/>
    <x v="5"/>
    <s v="Yes"/>
    <s v="Emails"/>
    <x v="0"/>
    <s v="Thursday"/>
  </r>
  <r>
    <d v="2024-02-01T00:00:00"/>
    <x v="0"/>
    <s v="Bookkeeping"/>
    <n v="0.15"/>
    <x v="4"/>
    <s v="Yes"/>
    <s v="Download Bank Statements "/>
    <x v="0"/>
    <s v="Thursday"/>
  </r>
  <r>
    <d v="2024-02-01T00:00:00"/>
    <x v="0"/>
    <s v="Bookkeeping"/>
    <n v="0.15"/>
    <x v="6"/>
    <s v="Yes"/>
    <s v="Download Bank Statements"/>
    <x v="0"/>
    <s v="Thursday"/>
  </r>
  <r>
    <d v="2024-02-01T00:00:00"/>
    <x v="0"/>
    <s v="Bookkeeping"/>
    <n v="0.17"/>
    <x v="5"/>
    <s v="Yes"/>
    <s v="Accounts Receivable"/>
    <x v="0"/>
    <s v="Thursday"/>
  </r>
  <r>
    <d v="2024-02-01T00:00:00"/>
    <x v="0"/>
    <s v="Bookkeeping"/>
    <n v="0.17"/>
    <x v="5"/>
    <s v="Yes"/>
    <s v="Bank Reconciliation"/>
    <x v="0"/>
    <s v="Thursday"/>
  </r>
  <r>
    <d v="2024-02-01T00:00:00"/>
    <x v="0"/>
    <s v="Bookkeeping"/>
    <n v="0.2"/>
    <x v="6"/>
    <s v="Yes"/>
    <s v="Emails"/>
    <x v="0"/>
    <s v="Thursday"/>
  </r>
  <r>
    <d v="2024-02-01T00:00:00"/>
    <x v="0"/>
    <s v="Bookkeeping"/>
    <n v="0.23"/>
    <x v="6"/>
    <s v="Yes"/>
    <s v="AP and Email/Inbox Management"/>
    <x v="0"/>
    <s v="Thursday"/>
  </r>
  <r>
    <d v="2024-02-01T00:00:00"/>
    <x v="0"/>
    <s v="Bookkeeping"/>
    <n v="0.25"/>
    <x v="7"/>
    <s v="Yes"/>
    <s v="Bank Reconciliation"/>
    <x v="0"/>
    <s v="Thursday"/>
  </r>
  <r>
    <d v="2024-02-01T00:00:00"/>
    <x v="0"/>
    <s v="Bookkeeping"/>
    <n v="0.27"/>
    <x v="4"/>
    <s v="Yes"/>
    <s v="Email"/>
    <x v="0"/>
    <s v="Thursday"/>
  </r>
  <r>
    <d v="2024-02-01T00:00:00"/>
    <x v="0"/>
    <s v="Bookkeeping"/>
    <n v="0.32"/>
    <x v="8"/>
    <s v="Yes"/>
    <s v="Bank Reconciliation"/>
    <x v="0"/>
    <s v="Thursday"/>
  </r>
  <r>
    <d v="2024-02-01T00:00:00"/>
    <x v="0"/>
    <s v="Bookkeeping"/>
    <n v="0.32"/>
    <x v="6"/>
    <s v="Yes"/>
    <s v="Review"/>
    <x v="0"/>
    <s v="Thursday"/>
  </r>
  <r>
    <d v="2024-02-01T00:00:00"/>
    <x v="0"/>
    <s v="Bookkeeping"/>
    <n v="0.47"/>
    <x v="0"/>
    <s v="Yes"/>
    <s v="Bank Reconciliation"/>
    <x v="0"/>
    <s v="Thursday"/>
  </r>
  <r>
    <d v="2024-02-01T00:00:00"/>
    <x v="0"/>
    <s v="Bookkeeping"/>
    <n v="0.47"/>
    <x v="4"/>
    <s v="Yes"/>
    <s v="Accounts Payable"/>
    <x v="0"/>
    <s v="Thursday"/>
  </r>
  <r>
    <d v="2024-02-01T00:00:00"/>
    <x v="0"/>
    <s v="Bookkeeping"/>
    <n v="0.5"/>
    <x v="9"/>
    <s v="Yes"/>
    <s v="Bank Reconciliation"/>
    <x v="0"/>
    <s v="Thursday"/>
  </r>
  <r>
    <d v="2024-02-01T00:00:00"/>
    <x v="0"/>
    <s v="Bookkeeping"/>
    <n v="0.53"/>
    <x v="2"/>
    <s v="Yes"/>
    <s v="Bank Reconciliation"/>
    <x v="0"/>
    <s v="Thursday"/>
  </r>
  <r>
    <d v="2024-02-01T00:00:00"/>
    <x v="0"/>
    <s v="Bookkeeping"/>
    <n v="0.7"/>
    <x v="10"/>
    <s v="Yes"/>
    <s v="Bank Reconciliation"/>
    <x v="0"/>
    <s v="Thursday"/>
  </r>
  <r>
    <d v="2024-02-01T00:00:00"/>
    <x v="0"/>
    <s v="Bookkeeping"/>
    <n v="0.77"/>
    <x v="11"/>
    <s v="Yes"/>
    <s v="Bank Reconciliation"/>
    <x v="0"/>
    <s v="Thursday"/>
  </r>
  <r>
    <d v="2024-02-01T00:00:00"/>
    <x v="0"/>
    <s v="Bookkeeping"/>
    <n v="0.83"/>
    <x v="0"/>
    <s v="Yes"/>
    <s v="Accounts Receivable"/>
    <x v="0"/>
    <s v="Thursday"/>
  </r>
  <r>
    <d v="2024-02-01T00:00:00"/>
    <x v="0"/>
    <s v="General"/>
    <n v="0.03"/>
    <x v="12"/>
    <s v="No"/>
    <s v="Sign Performance Evaluation"/>
    <x v="0"/>
    <s v="Thursday"/>
  </r>
  <r>
    <d v="2024-02-01T00:00:00"/>
    <x v="0"/>
    <s v="General"/>
    <n v="0.25"/>
    <x v="12"/>
    <s v="No"/>
    <s v="Afternoon Break"/>
    <x v="0"/>
    <s v="Thursday"/>
  </r>
  <r>
    <d v="2024-02-01T00:00:00"/>
    <x v="0"/>
    <s v="General"/>
    <n v="0.25"/>
    <x v="12"/>
    <s v="No"/>
    <s v="Morning Break"/>
    <x v="0"/>
    <s v="Thursday"/>
  </r>
  <r>
    <d v="2024-02-01T00:00:00"/>
    <x v="0"/>
    <s v="Payroll Processing"/>
    <n v="0.05"/>
    <x v="13"/>
    <s v="Yes"/>
    <m/>
    <x v="0"/>
    <s v="Thursday"/>
  </r>
  <r>
    <d v="2024-02-01T00:00:00"/>
    <x v="0"/>
    <s v="Payroll Processing"/>
    <n v="0.17"/>
    <x v="10"/>
    <s v="Yes"/>
    <m/>
    <x v="0"/>
    <s v="Thursday"/>
  </r>
  <r>
    <d v="2024-02-01T00:00:00"/>
    <x v="0"/>
    <s v="Payroll Processing"/>
    <n v="0.2"/>
    <x v="13"/>
    <s v="Yes"/>
    <s v="Update employee's details"/>
    <x v="0"/>
    <s v="Thursday"/>
  </r>
  <r>
    <d v="2024-02-01T00:00:00"/>
    <x v="1"/>
    <s v="Bookkeeping"/>
    <n v="0.05"/>
    <x v="14"/>
    <s v="Yes"/>
    <m/>
    <x v="0"/>
    <s v="Thursday"/>
  </r>
  <r>
    <d v="2024-02-01T00:00:00"/>
    <x v="1"/>
    <s v="General"/>
    <n v="0.2"/>
    <x v="12"/>
    <s v="No"/>
    <s v="chats, emails, Sprout"/>
    <x v="0"/>
    <s v="Thursday"/>
  </r>
  <r>
    <d v="2024-02-01T00:00:00"/>
    <x v="1"/>
    <s v="General"/>
    <n v="0.32"/>
    <x v="12"/>
    <s v="No"/>
    <s v="check Sprout logs of the team and chase"/>
    <x v="0"/>
    <s v="Thursday"/>
  </r>
  <r>
    <d v="2024-02-01T00:00:00"/>
    <x v="1"/>
    <s v="General"/>
    <n v="0.37"/>
    <x v="12"/>
    <s v="No"/>
    <s v="emails, chats, sort attendance issues, check handover sched"/>
    <x v="0"/>
    <s v="Thursday"/>
  </r>
  <r>
    <d v="2024-02-01T00:00:00"/>
    <x v="1"/>
    <s v="General"/>
    <n v="0.38"/>
    <x v="12"/>
    <s v="No"/>
    <s v="break"/>
    <x v="0"/>
    <s v="Thursday"/>
  </r>
  <r>
    <d v="2024-02-01T00:00:00"/>
    <x v="1"/>
    <s v="General"/>
    <n v="0.97"/>
    <x v="12"/>
    <s v="No"/>
    <s v="chats, emails, Sprout, Asana, capacity, etc"/>
    <x v="0"/>
    <s v="Thursday"/>
  </r>
  <r>
    <d v="2024-02-01T00:00:00"/>
    <x v="1"/>
    <s v="Payroll Processing"/>
    <n v="2.83"/>
    <x v="15"/>
    <s v="Yes"/>
    <m/>
    <x v="0"/>
    <s v="Thursday"/>
  </r>
  <r>
    <d v="2024-02-01T00:00:00"/>
    <x v="1"/>
    <s v="Payroll Processing"/>
    <n v="3.02"/>
    <x v="14"/>
    <s v="Yes"/>
    <m/>
    <x v="0"/>
    <s v="Thursday"/>
  </r>
  <r>
    <d v="2024-02-01T00:00:00"/>
    <x v="2"/>
    <s v="Sick Leave"/>
    <n v="8"/>
    <x v="12"/>
    <s v="No"/>
    <s v="Sick Leave"/>
    <x v="0"/>
    <s v="Thursday"/>
  </r>
  <r>
    <d v="2024-02-01T00:00:00"/>
    <x v="3"/>
    <s v="Business Development"/>
    <n v="8"/>
    <x v="12"/>
    <s v="No"/>
    <s v="continuation of all flows  multiple meetings for finalization of flows"/>
    <x v="0"/>
    <s v="Thursday"/>
  </r>
  <r>
    <d v="2024-02-01T00:00:00"/>
    <x v="4"/>
    <s v="Client Meeting"/>
    <n v="3.5"/>
    <x v="16"/>
    <s v="No"/>
    <s v="Non-billable. Discussion about scope and options."/>
    <x v="0"/>
    <s v="Thursday"/>
  </r>
  <r>
    <d v="2024-02-01T00:00:00"/>
    <x v="4"/>
    <s v="General"/>
    <n v="3.5"/>
    <x v="12"/>
    <s v="No"/>
    <m/>
    <x v="0"/>
    <s v="Thursday"/>
  </r>
  <r>
    <d v="2024-02-01T00:00:00"/>
    <x v="5"/>
    <s v="Bookkeeping"/>
    <n v="1.93"/>
    <x v="16"/>
    <s v="Yes"/>
    <s v="Email Management "/>
    <x v="0"/>
    <s v="Thursday"/>
  </r>
  <r>
    <d v="2024-02-01T00:00:00"/>
    <x v="5"/>
    <s v="Bookkeeping"/>
    <n v="2.57"/>
    <x v="16"/>
    <s v="Yes"/>
    <s v="Statement Checking "/>
    <x v="0"/>
    <s v="Thursday"/>
  </r>
  <r>
    <d v="2024-02-01T00:00:00"/>
    <x v="5"/>
    <s v="Bookkeeping"/>
    <n v="3.77"/>
    <x v="16"/>
    <s v="Yes"/>
    <s v="Posting of invoices "/>
    <x v="0"/>
    <s v="Thursday"/>
  </r>
  <r>
    <d v="2024-02-01T00:00:00"/>
    <x v="6"/>
    <s v="Bookkeeping"/>
    <n v="0.57999999999999996"/>
    <x v="17"/>
    <s v="Yes"/>
    <s v="Booked Invoices"/>
    <x v="0"/>
    <s v="Thursday"/>
  </r>
  <r>
    <d v="2024-02-01T00:00:00"/>
    <x v="6"/>
    <s v="Bookkeeping"/>
    <n v="1.25"/>
    <x v="18"/>
    <s v="Yes"/>
    <s v="Payroll Processing A/P Processing Bank Recon"/>
    <x v="0"/>
    <s v="Thursday"/>
  </r>
  <r>
    <d v="2024-02-01T00:00:00"/>
    <x v="6"/>
    <s v="Bookkeeping"/>
    <n v="5.75"/>
    <x v="19"/>
    <s v="Yes"/>
    <s v="Booked Invoices Continue to recon VBI &amp; RCTI Booked VBI "/>
    <x v="0"/>
    <s v="Thursday"/>
  </r>
  <r>
    <d v="2024-02-01T00:00:00"/>
    <x v="6"/>
    <s v="General"/>
    <n v="0.42"/>
    <x v="12"/>
    <s v="No"/>
    <s v="Asana checking Sprout Checking XPM"/>
    <x v="0"/>
    <s v="Thursday"/>
  </r>
  <r>
    <d v="2024-02-01T00:00:00"/>
    <x v="7"/>
    <s v="Automations"/>
    <n v="9.6"/>
    <x v="12"/>
    <s v="No"/>
    <m/>
    <x v="0"/>
    <s v="Thursday"/>
  </r>
  <r>
    <d v="2024-02-01T00:00:00"/>
    <x v="8"/>
    <s v="Budget - Monthly"/>
    <n v="0.02"/>
    <x v="20"/>
    <s v="No"/>
    <m/>
    <x v="0"/>
    <s v="Thursday"/>
  </r>
  <r>
    <d v="2024-02-01T00:00:00"/>
    <x v="9"/>
    <s v="Automations"/>
    <n v="3"/>
    <x v="12"/>
    <s v="No"/>
    <s v="Run four Alliance automations + AP automation; Added 2 supplier to Alliance Automation Tax Invoice"/>
    <x v="0"/>
    <s v="Thursday"/>
  </r>
  <r>
    <d v="2024-02-01T00:00:00"/>
    <x v="10"/>
    <s v="Automations"/>
    <n v="9.4700000000000006"/>
    <x v="12"/>
    <s v="No"/>
    <s v="Connected Culture Automation Development and Testing. Alliance Debtors Report Generation. Payroll Journal Reports Generation."/>
    <x v="0"/>
    <s v="Thursday"/>
  </r>
  <r>
    <d v="2024-02-01T00:00:00"/>
    <x v="11"/>
    <s v="Bookkeeping"/>
    <n v="0.5"/>
    <x v="21"/>
    <s v="Yes"/>
    <s v="Bank recon, adding bills"/>
    <x v="0"/>
    <s v="Thursday"/>
  </r>
  <r>
    <d v="2024-02-01T00:00:00"/>
    <x v="11"/>
    <s v="Bookkeeping"/>
    <n v="0.57999999999999996"/>
    <x v="22"/>
    <s v="Yes"/>
    <s v="Bank recon, adding bills"/>
    <x v="0"/>
    <s v="Thursday"/>
  </r>
  <r>
    <d v="2024-02-01T00:00:00"/>
    <x v="11"/>
    <s v="Bookkeeping"/>
    <n v="0.75"/>
    <x v="23"/>
    <s v="Yes"/>
    <s v="Bank recon, adding bills"/>
    <x v="0"/>
    <s v="Thursday"/>
  </r>
  <r>
    <d v="2024-02-01T00:00:00"/>
    <x v="11"/>
    <s v="Bookkeeping"/>
    <n v="0.75"/>
    <x v="24"/>
    <s v="Yes"/>
    <s v="Bank recon, adding bills"/>
    <x v="0"/>
    <s v="Thursday"/>
  </r>
  <r>
    <d v="2024-02-01T00:00:00"/>
    <x v="11"/>
    <s v="Bookkeeping"/>
    <n v="0.83"/>
    <x v="25"/>
    <s v="No"/>
    <s v="Reading previous email re supplier bill dated months ago, checking the account"/>
    <x v="0"/>
    <s v="Thursday"/>
  </r>
  <r>
    <d v="2024-02-01T00:00:00"/>
    <x v="11"/>
    <s v="Bookkeeping"/>
    <n v="1.08"/>
    <x v="26"/>
    <s v="Yes"/>
    <s v="Bank recon"/>
    <x v="0"/>
    <s v="Thursday"/>
  </r>
  <r>
    <d v="2024-02-01T00:00:00"/>
    <x v="11"/>
    <s v="Bookkeeping"/>
    <n v="3"/>
    <x v="25"/>
    <s v="Yes"/>
    <s v="Emails, loading bills, bank recon, weekly report"/>
    <x v="0"/>
    <s v="Thursday"/>
  </r>
  <r>
    <d v="2024-02-01T00:00:00"/>
    <x v="11"/>
    <s v="General"/>
    <n v="0.5"/>
    <x v="12"/>
    <s v="No"/>
    <s v="Break"/>
    <x v="0"/>
    <s v="Thursday"/>
  </r>
  <r>
    <d v="2024-02-01T00:00:00"/>
    <x v="12"/>
    <s v="CFO Advisory"/>
    <n v="0.25"/>
    <x v="1"/>
    <s v="Yes"/>
    <s v="Review Jan'24 results to date + month-end instructions to the team"/>
    <x v="0"/>
    <s v="Thursday"/>
  </r>
  <r>
    <d v="2024-02-01T00:00:00"/>
    <x v="12"/>
    <s v="CFO001 - CFO Services"/>
    <n v="1.25"/>
    <x v="6"/>
    <s v="Yes"/>
    <s v="Respond to queries from Lynn + request from Eli Add instructions to the revenue recognition schedule Month-end instructions to the team"/>
    <x v="0"/>
    <s v="Thursday"/>
  </r>
  <r>
    <d v="2024-02-01T00:00:00"/>
    <x v="13"/>
    <s v="Company Tax Returns"/>
    <n v="0.25"/>
    <x v="27"/>
    <s v="Yes"/>
    <s v="lodgement of 2023 CTR, payment slip to James Livingston, other questions from James re lodgment abd payment  due date "/>
    <x v="0"/>
    <s v="Thursday"/>
  </r>
  <r>
    <d v="2024-02-01T00:00:00"/>
    <x v="14"/>
    <s v="Bookkeeping"/>
    <n v="0.32"/>
    <x v="28"/>
    <s v="Yes"/>
    <s v="inbox"/>
    <x v="0"/>
    <s v="Thursday"/>
  </r>
  <r>
    <d v="2024-02-01T00:00:00"/>
    <x v="14"/>
    <s v="Business Development"/>
    <n v="0.28000000000000003"/>
    <x v="12"/>
    <s v="Yes"/>
    <s v="review management reporting flowchart"/>
    <x v="0"/>
    <s v="Thursday"/>
  </r>
  <r>
    <d v="2024-02-01T00:00:00"/>
    <x v="14"/>
    <s v="General"/>
    <n v="0.22"/>
    <x v="12"/>
    <s v="No"/>
    <s v="check attendance and fare allow adjustment"/>
    <x v="0"/>
    <s v="Thursday"/>
  </r>
  <r>
    <d v="2024-02-01T00:00:00"/>
    <x v="14"/>
    <s v="General"/>
    <n v="0.38"/>
    <x v="12"/>
    <s v="No"/>
    <s v="check emails/teams"/>
    <x v="0"/>
    <s v="Thursday"/>
  </r>
  <r>
    <d v="2024-02-01T00:00:00"/>
    <x v="14"/>
    <s v="Learning &amp; Development"/>
    <n v="0.52"/>
    <x v="12"/>
    <s v="No"/>
    <s v="Management Reporting"/>
    <x v="0"/>
    <s v="Thursday"/>
  </r>
  <r>
    <d v="2024-02-01T00:00:00"/>
    <x v="14"/>
    <s v="Learning &amp; Development"/>
    <n v="0.55000000000000004"/>
    <x v="12"/>
    <s v="No"/>
    <s v="People Management - Introductory Course"/>
    <x v="0"/>
    <s v="Thursday"/>
  </r>
  <r>
    <d v="2024-02-01T00:00:00"/>
    <x v="14"/>
    <s v="Payroll Processing"/>
    <n v="0.5"/>
    <x v="16"/>
    <s v="Yes"/>
    <s v="new EA allow"/>
    <x v="0"/>
    <s v="Thursday"/>
  </r>
  <r>
    <d v="2024-02-01T00:00:00"/>
    <x v="14"/>
    <s v="Payroll Processing"/>
    <n v="1.08"/>
    <x v="16"/>
    <s v="Yes"/>
    <s v="review"/>
    <x v="0"/>
    <s v="Thursday"/>
  </r>
  <r>
    <d v="2024-02-01T00:00:00"/>
    <x v="14"/>
    <s v="Payroll Processing"/>
    <n v="4.1500000000000004"/>
    <x v="16"/>
    <s v="Yes"/>
    <s v="new EA"/>
    <x v="0"/>
    <s v="Thursday"/>
  </r>
  <r>
    <d v="2024-02-01T00:00:00"/>
    <x v="15"/>
    <s v="Bookkeeping"/>
    <n v="0.53"/>
    <x v="16"/>
    <s v="Yes"/>
    <s v="Received raw invoices."/>
    <x v="0"/>
    <s v="Thursday"/>
  </r>
  <r>
    <d v="2024-02-01T00:00:00"/>
    <x v="15"/>
    <s v="General"/>
    <n v="8.9700000000000006"/>
    <x v="12"/>
    <s v="No"/>
    <s v="- Inventory of Equipment - ASIC - Annual company reviews  - ATO call - Pinnacle Oporto Ulladulla - GST Registration - Update Carly's LinkedIn - PCF Replenishment "/>
    <x v="0"/>
    <s v="Thursday"/>
  </r>
  <r>
    <d v="2024-02-01T00:00:00"/>
    <x v="16"/>
    <s v="Bookkeeping"/>
    <n v="0.33"/>
    <x v="29"/>
    <s v="Yes"/>
    <s v="emails. checking of bank recon and invoices for month end"/>
    <x v="0"/>
    <s v="Thursday"/>
  </r>
  <r>
    <d v="2024-02-01T00:00:00"/>
    <x v="16"/>
    <s v="Bookkeeping"/>
    <n v="0.38"/>
    <x v="30"/>
    <s v="Yes"/>
    <s v="approve ap invoices"/>
    <x v="0"/>
    <s v="Thursday"/>
  </r>
  <r>
    <d v="2024-02-01T00:00:00"/>
    <x v="16"/>
    <s v="Bookkeeping"/>
    <n v="0.38"/>
    <x v="29"/>
    <s v="No"/>
    <s v="checking of invoices for the month of january."/>
    <x v="0"/>
    <s v="Thursday"/>
  </r>
  <r>
    <d v="2024-02-01T00:00:00"/>
    <x v="16"/>
    <s v="Bookkeeping"/>
    <n v="0.42"/>
    <x v="30"/>
    <s v="Yes"/>
    <s v="bank recon process invoices from inbox"/>
    <x v="0"/>
    <s v="Thursday"/>
  </r>
  <r>
    <d v="2024-02-01T00:00:00"/>
    <x v="16"/>
    <s v="Bookkeeping"/>
    <n v="0.47"/>
    <x v="31"/>
    <s v="Yes"/>
    <s v="bank recon"/>
    <x v="0"/>
    <s v="Thursday"/>
  </r>
  <r>
    <d v="2024-02-01T00:00:00"/>
    <x v="16"/>
    <s v="Bookkeeping"/>
    <n v="0.92"/>
    <x v="32"/>
    <s v="No"/>
    <s v="checking bs recons. review for December quarter"/>
    <x v="0"/>
    <s v="Thursday"/>
  </r>
  <r>
    <d v="2024-02-01T00:00:00"/>
    <x v="16"/>
    <s v="Bookkeeping"/>
    <n v="0.98"/>
    <x v="32"/>
    <s v="Yes"/>
    <s v="bank recon email.  process ap invoice from inbox"/>
    <x v="0"/>
    <s v="Thursday"/>
  </r>
  <r>
    <d v="2024-02-01T00:00:00"/>
    <x v="16"/>
    <s v="Bookkeeping"/>
    <n v="1.63"/>
    <x v="32"/>
    <s v="Yes"/>
    <s v="leave liability report"/>
    <x v="0"/>
    <s v="Thursday"/>
  </r>
  <r>
    <d v="2024-02-01T00:00:00"/>
    <x v="16"/>
    <s v="Bookkeeping - AP"/>
    <n v="0.75"/>
    <x v="33"/>
    <s v="Yes"/>
    <s v="approve pa invoices"/>
    <x v="0"/>
    <s v="Thursday"/>
  </r>
  <r>
    <d v="2024-02-01T00:00:00"/>
    <x v="16"/>
    <s v="Bookkeeping - AP"/>
    <n v="1.23"/>
    <x v="33"/>
    <s v="Yes"/>
    <s v="approve ap invoices  preparing for Batch payment"/>
    <x v="0"/>
    <s v="Thursday"/>
  </r>
  <r>
    <d v="2024-02-01T00:00:00"/>
    <x v="16"/>
    <s v="General"/>
    <n v="0.5"/>
    <x v="12"/>
    <s v="No"/>
    <s v="break"/>
    <x v="0"/>
    <s v="Thursday"/>
  </r>
  <r>
    <d v="2024-02-01T00:00:00"/>
    <x v="17"/>
    <s v="Bookkeeping"/>
    <n v="0.37"/>
    <x v="34"/>
    <s v="Yes"/>
    <s v="Recording of invoices, bank recs"/>
    <x v="0"/>
    <s v="Thursday"/>
  </r>
  <r>
    <d v="2024-02-01T00:00:00"/>
    <x v="17"/>
    <s v="Bookkeeping"/>
    <n v="0.38"/>
    <x v="34"/>
    <s v="Yes"/>
    <s v="Billing invoices"/>
    <x v="0"/>
    <s v="Thursday"/>
  </r>
  <r>
    <d v="2024-02-01T00:00:00"/>
    <x v="17"/>
    <s v="Bookkeeping"/>
    <n v="0.42"/>
    <x v="34"/>
    <s v="Yes"/>
    <s v="Checking accounts, email follow-ups"/>
    <x v="0"/>
    <s v="Thursday"/>
  </r>
  <r>
    <d v="2024-02-01T00:00:00"/>
    <x v="17"/>
    <s v="Bookkeeping"/>
    <n v="0.5"/>
    <x v="34"/>
    <s v="Yes"/>
    <s v="Recording invoices, bank recs"/>
    <x v="0"/>
    <s v="Thursday"/>
  </r>
  <r>
    <d v="2024-02-01T00:00:00"/>
    <x v="17"/>
    <s v="Bookkeeping"/>
    <n v="0.87"/>
    <x v="35"/>
    <s v="Yes"/>
    <s v="Recording invoices, Bank recs &amp; queries sent to client"/>
    <x v="0"/>
    <s v="Thursday"/>
  </r>
  <r>
    <d v="2024-02-01T00:00:00"/>
    <x v="17"/>
    <s v="Bookkeeping"/>
    <n v="1.25"/>
    <x v="34"/>
    <s v="Yes"/>
    <s v="Bank recs, recording of invoices"/>
    <x v="0"/>
    <s v="Thursday"/>
  </r>
  <r>
    <d v="2024-02-01T00:00:00"/>
    <x v="17"/>
    <s v="Payroll Processing"/>
    <n v="0.2"/>
    <x v="14"/>
    <s v="Yes"/>
    <s v="Checking emails for payroll"/>
    <x v="0"/>
    <s v="Thursday"/>
  </r>
  <r>
    <d v="2024-02-01T00:00:00"/>
    <x v="17"/>
    <s v="Payroll Processing"/>
    <n v="0.6"/>
    <x v="14"/>
    <s v="Yes"/>
    <s v="Checking inbox for payroll related requests"/>
    <x v="0"/>
    <s v="Thursday"/>
  </r>
  <r>
    <d v="2024-02-01T00:00:00"/>
    <x v="17"/>
    <s v="Payroll Processing"/>
    <n v="5.18"/>
    <x v="14"/>
    <s v="Yes"/>
    <s v="Payroll"/>
    <x v="0"/>
    <s v="Thursday"/>
  </r>
  <r>
    <d v="2024-02-01T00:00:00"/>
    <x v="18"/>
    <s v="Bookkeeping"/>
    <n v="0.43"/>
    <x v="26"/>
    <s v="Yes"/>
    <s v="bank rec review"/>
    <x v="0"/>
    <s v="Thursday"/>
  </r>
  <r>
    <d v="2024-02-01T00:00:00"/>
    <x v="18"/>
    <s v="Bookkeeping"/>
    <n v="0.56999999999999995"/>
    <x v="26"/>
    <s v="Yes"/>
    <s v="bank rec review transactions provide comments"/>
    <x v="0"/>
    <s v="Thursday"/>
  </r>
  <r>
    <d v="2024-02-01T00:00:00"/>
    <x v="18"/>
    <s v="Bookkeeping"/>
    <n v="0.85"/>
    <x v="26"/>
    <s v="Yes"/>
    <s v="process hubdoc"/>
    <x v="0"/>
    <s v="Thursday"/>
  </r>
  <r>
    <d v="2024-02-01T00:00:00"/>
    <x v="18"/>
    <s v="Bookkeeping"/>
    <n v="2.82"/>
    <x v="26"/>
    <s v="Yes"/>
    <m/>
    <x v="0"/>
    <s v="Thursday"/>
  </r>
  <r>
    <d v="2024-02-01T00:00:00"/>
    <x v="18"/>
    <s v="General"/>
    <n v="0.82"/>
    <x v="12"/>
    <s v="No"/>
    <s v="perforrmance pro finalsed all forms and move to Ralph"/>
    <x v="0"/>
    <s v="Thursday"/>
  </r>
  <r>
    <d v="2024-02-01T00:00:00"/>
    <x v="18"/>
    <s v="Management Reporting"/>
    <n v="0.12"/>
    <x v="36"/>
    <s v="Yes"/>
    <s v="assist Rac - questions/queries in holdsworth"/>
    <x v="0"/>
    <s v="Thursday"/>
  </r>
  <r>
    <d v="2024-02-01T00:00:00"/>
    <x v="18"/>
    <s v="Management Reporting"/>
    <n v="0.32"/>
    <x v="36"/>
    <s v="Yes"/>
    <s v="assist rac with queries"/>
    <x v="0"/>
    <s v="Thursday"/>
  </r>
  <r>
    <d v="2024-02-01T00:00:00"/>
    <x v="18"/>
    <s v="Management Reporting"/>
    <n v="0.7"/>
    <x v="36"/>
    <s v="No"/>
    <s v="assist rac with questions, parental leave, staff reimbursements"/>
    <x v="0"/>
    <s v="Thursday"/>
  </r>
  <r>
    <d v="2024-02-01T00:00:00"/>
    <x v="18"/>
    <s v="Meetings"/>
    <n v="0.93"/>
    <x v="12"/>
    <s v="No"/>
    <s v="rejie performance evaluation"/>
    <x v="0"/>
    <s v="Thursday"/>
  </r>
  <r>
    <d v="2024-02-01T00:00:00"/>
    <x v="19"/>
    <s v="Bookkeeping"/>
    <n v="8.0500000000000007"/>
    <x v="36"/>
    <s v="Yes"/>
    <m/>
    <x v="0"/>
    <s v="Thursday"/>
  </r>
  <r>
    <d v="2024-02-01T00:00:00"/>
    <x v="20"/>
    <s v="P&amp;C Advisory"/>
    <n v="1.18"/>
    <x v="37"/>
    <s v="Yes"/>
    <s v="Shortlisting Snr FA candidates Lever training video for Louie created  Progressing salary review project (setting up spreadsheet with formulas etc needed for analysis)"/>
    <x v="0"/>
    <s v="Thursday"/>
  </r>
  <r>
    <d v="2024-02-01T00:00:00"/>
    <x v="20"/>
    <s v="P&amp;C Advisory"/>
    <n v="2.0299999999999998"/>
    <x v="37"/>
    <s v="Yes"/>
    <s v="Daily team huddle with HR Admin Inbox queries Mtg with S&amp;C - Recruiters Shortlisting CV's - Finance"/>
    <x v="0"/>
    <s v="Thursday"/>
  </r>
  <r>
    <d v="2024-02-01T00:00:00"/>
    <x v="20"/>
    <s v="P&amp;C Advisory"/>
    <n v="5.48"/>
    <x v="38"/>
    <s v="Yes"/>
    <s v="Completing audit of contracts for transition to monthly pay cycle Drafted change mgmt plan for above &amp; first consultation email Inbox queries Weekly sync Head of HR, COO - 1 hr 10 mins Org change mtg, COO, Jason C 40mins"/>
    <x v="0"/>
    <s v="Thursday"/>
  </r>
  <r>
    <d v="2024-02-01T00:00:00"/>
    <x v="21"/>
    <s v="Bookkeeping"/>
    <n v="0.57999999999999996"/>
    <x v="39"/>
    <s v="Yes"/>
    <s v="bank recon, ap emails"/>
    <x v="0"/>
    <s v="Thursday"/>
  </r>
  <r>
    <d v="2024-02-01T00:00:00"/>
    <x v="21"/>
    <s v="Bookkeeping"/>
    <n v="0.6"/>
    <x v="40"/>
    <s v="Yes"/>
    <m/>
    <x v="0"/>
    <s v="Thursday"/>
  </r>
  <r>
    <d v="2024-02-01T00:00:00"/>
    <x v="21"/>
    <s v="Bookkeeping"/>
    <n v="1"/>
    <x v="41"/>
    <s v="Yes"/>
    <s v="AP bills from procore, hubdoc, email,"/>
    <x v="0"/>
    <s v="Thursday"/>
  </r>
  <r>
    <d v="2024-02-01T00:00:00"/>
    <x v="21"/>
    <s v="Bookkeeping"/>
    <n v="1.1000000000000001"/>
    <x v="41"/>
    <s v="Yes"/>
    <s v="Bills, Hubdoc, Email sort/ queries."/>
    <x v="0"/>
    <s v="Thursday"/>
  </r>
  <r>
    <d v="2024-02-01T00:00:00"/>
    <x v="21"/>
    <s v="Bookkeeping"/>
    <n v="1.1200000000000001"/>
    <x v="28"/>
    <s v="Yes"/>
    <s v="Revenue Reallocation for Livewire"/>
    <x v="0"/>
    <s v="Thursday"/>
  </r>
  <r>
    <d v="2024-02-01T00:00:00"/>
    <x v="21"/>
    <s v="Bookkeeping"/>
    <n v="1.47"/>
    <x v="28"/>
    <s v="Yes"/>
    <m/>
    <x v="0"/>
    <s v="Thursday"/>
  </r>
  <r>
    <d v="2024-02-01T00:00:00"/>
    <x v="21"/>
    <s v="Bookkeeping"/>
    <n v="2.13"/>
    <x v="36"/>
    <s v="Yes"/>
    <s v="AP Bills review"/>
    <x v="0"/>
    <s v="Thursday"/>
  </r>
  <r>
    <d v="2024-02-01T00:00:00"/>
    <x v="22"/>
    <s v="Automations"/>
    <n v="8"/>
    <x v="12"/>
    <s v="No"/>
    <s v="Fintech Equity Pty Ltd - Bank Reconciliation Automation"/>
    <x v="0"/>
    <s v="Thursday"/>
  </r>
  <r>
    <d v="2024-02-01T00:00:00"/>
    <x v="23"/>
    <s v="Automations"/>
    <n v="8"/>
    <x v="12"/>
    <s v="No"/>
    <m/>
    <x v="0"/>
    <s v="Thursday"/>
  </r>
  <r>
    <d v="2024-02-01T00:00:00"/>
    <x v="24"/>
    <s v="Automations"/>
    <n v="8"/>
    <x v="12"/>
    <s v="No"/>
    <s v="Run: LOC Dev: Email Trigger Automation"/>
    <x v="0"/>
    <s v="Thursday"/>
  </r>
  <r>
    <d v="2024-02-01T00:00:00"/>
    <x v="25"/>
    <s v="Bookkeeping"/>
    <n v="0.23"/>
    <x v="22"/>
    <s v="Yes"/>
    <s v="Reconciliation"/>
    <x v="0"/>
    <s v="Thursday"/>
  </r>
  <r>
    <d v="2024-02-01T00:00:00"/>
    <x v="25"/>
    <s v="Bookkeeping"/>
    <n v="0.28000000000000003"/>
    <x v="21"/>
    <s v="Yes"/>
    <s v="Check reconciliation and outstanding bills - reconcile saver account"/>
    <x v="0"/>
    <s v="Thursday"/>
  </r>
  <r>
    <d v="2024-02-01T00:00:00"/>
    <x v="25"/>
    <s v="Bookkeeping"/>
    <n v="0.33"/>
    <x v="42"/>
    <s v="Yes"/>
    <s v="Review Icare wages estimate Call with Icare to check premium estimate"/>
    <x v="0"/>
    <s v="Thursday"/>
  </r>
  <r>
    <d v="2024-02-01T00:00:00"/>
    <x v="25"/>
    <s v="Bookkeeping"/>
    <n v="0.42"/>
    <x v="26"/>
    <s v="Yes"/>
    <s v="Reconciliation of wages, identification of returned amounts, balance net wages"/>
    <x v="0"/>
    <s v="Thursday"/>
  </r>
  <r>
    <d v="2024-02-01T00:00:00"/>
    <x v="25"/>
    <s v="Bookkeeping"/>
    <n v="0.57999999999999996"/>
    <x v="24"/>
    <s v="Yes"/>
    <s v="REview invoicing and process, review loan accounts"/>
    <x v="0"/>
    <s v="Thursday"/>
  </r>
  <r>
    <d v="2024-02-01T00:00:00"/>
    <x v="25"/>
    <s v="Bookkeeping"/>
    <n v="0.62"/>
    <x v="26"/>
    <s v="Yes"/>
    <s v="Payroll journals and balance YTDs"/>
    <x v="0"/>
    <s v="Thursday"/>
  </r>
  <r>
    <d v="2024-02-01T00:00:00"/>
    <x v="25"/>
    <s v="Bookkeeping"/>
    <n v="0.63"/>
    <x v="43"/>
    <s v="Yes"/>
    <s v="Set up Alex P and pay commission, process notes for this Review emails Check super payment and follow up Matt on this"/>
    <x v="0"/>
    <s v="Thursday"/>
  </r>
  <r>
    <d v="2024-02-01T00:00:00"/>
    <x v="25"/>
    <s v="Business Development"/>
    <n v="0.18"/>
    <x v="12"/>
    <s v="No"/>
    <s v="Email with Nick - review OFC emails"/>
    <x v="0"/>
    <s v="Thursday"/>
  </r>
  <r>
    <d v="2024-02-01T00:00:00"/>
    <x v="25"/>
    <s v="Client Admin"/>
    <n v="0.03"/>
    <x v="12"/>
    <s v="No"/>
    <s v="Invoicing one focus"/>
    <x v="0"/>
    <s v="Thursday"/>
  </r>
  <r>
    <d v="2024-02-01T00:00:00"/>
    <x v="25"/>
    <s v="Client Admin"/>
    <n v="0.35"/>
    <x v="12"/>
    <s v="No"/>
    <s v="REview spectrum ionvoices, BAS etc."/>
    <x v="0"/>
    <s v="Thursday"/>
  </r>
  <r>
    <d v="2024-02-01T00:00:00"/>
    <x v="25"/>
    <s v="Client Manager"/>
    <n v="0.15"/>
    <x v="44"/>
    <s v="Yes"/>
    <s v="Linking to ATO"/>
    <x v="0"/>
    <s v="Thursday"/>
  </r>
  <r>
    <d v="2024-02-01T00:00:00"/>
    <x v="25"/>
    <s v="Client Meeting"/>
    <n v="0.33"/>
    <x v="42"/>
    <s v="Yes"/>
    <s v="Call with Icare re policy , decl of wages, updates to contacts etc."/>
    <x v="0"/>
    <s v="Thursday"/>
  </r>
  <r>
    <d v="2024-02-01T00:00:00"/>
    <x v="25"/>
    <s v="General"/>
    <n v="0.13"/>
    <x v="12"/>
    <s v="No"/>
    <s v="Email, Wyzed"/>
    <x v="0"/>
    <s v="Thursday"/>
  </r>
  <r>
    <d v="2024-02-01T00:00:00"/>
    <x v="25"/>
    <s v="General"/>
    <n v="0.25"/>
    <x v="12"/>
    <s v="No"/>
    <s v="TEams, SMS with Sylvie, Asana, email"/>
    <x v="0"/>
    <s v="Thursday"/>
  </r>
  <r>
    <d v="2024-02-01T00:00:00"/>
    <x v="25"/>
    <s v="General"/>
    <n v="0.53"/>
    <x v="12"/>
    <s v="No"/>
    <s v="Onboarding - review handover document and complete for Richbox - message to Mary and Ann on this.   Message Bern with comments on template"/>
    <x v="0"/>
    <s v="Thursday"/>
  </r>
  <r>
    <d v="2024-02-01T00:00:00"/>
    <x v="25"/>
    <s v="IAS/BAS Preparation &amp; Lodgement - Oct-Dec"/>
    <n v="0.48"/>
    <x v="45"/>
    <s v="Yes"/>
    <s v="Checklist for BAS STP reporting and lodgements "/>
    <x v="0"/>
    <s v="Thursday"/>
  </r>
  <r>
    <d v="2024-02-01T00:00:00"/>
    <x v="25"/>
    <s v="Out-of-Scope Services"/>
    <n v="0.22"/>
    <x v="23"/>
    <s v="Yes"/>
    <s v="Bank reconciliation check and email to Ef"/>
    <x v="0"/>
    <s v="Thursday"/>
  </r>
  <r>
    <d v="2024-02-01T00:00:00"/>
    <x v="25"/>
    <s v="Payroll Processing"/>
    <n v="0.17"/>
    <x v="21"/>
    <s v="Yes"/>
    <s v="Email to Eric / Sarah re wages rec payable / cash amounts"/>
    <x v="0"/>
    <s v="Thursday"/>
  </r>
  <r>
    <d v="2024-02-01T00:00:00"/>
    <x v="25"/>
    <s v="Payroll Processing"/>
    <n v="0.37"/>
    <x v="46"/>
    <s v="Yes"/>
    <s v="Set up termination payrun - phone / email Steve Z"/>
    <x v="0"/>
    <s v="Thursday"/>
  </r>
  <r>
    <d v="2024-02-01T00:00:00"/>
    <x v="25"/>
    <s v="Payroll Processing"/>
    <n v="0.37"/>
    <x v="37"/>
    <s v="Yes"/>
    <s v="Report of pay rates and oncosts"/>
    <x v="0"/>
    <s v="Thursday"/>
  </r>
  <r>
    <d v="2024-02-01T00:00:00"/>
    <x v="25"/>
    <s v="Payroll Processing"/>
    <n v="0.45"/>
    <x v="37"/>
    <s v="Yes"/>
    <s v="Review of costing reversals"/>
    <x v="0"/>
    <s v="Thursday"/>
  </r>
  <r>
    <d v="2024-02-01T00:00:00"/>
    <x v="25"/>
    <s v="Payroll Processing"/>
    <n v="0.5"/>
    <x v="37"/>
    <s v="Yes"/>
    <s v="REview costing reversals "/>
    <x v="0"/>
    <s v="Thursday"/>
  </r>
  <r>
    <d v="2024-02-01T00:00:00"/>
    <x v="25"/>
    <s v="Payroll Processing"/>
    <n v="1.07"/>
    <x v="37"/>
    <s v="Yes"/>
    <s v="Costing reversal review"/>
    <x v="0"/>
    <s v="Thursday"/>
  </r>
  <r>
    <d v="2024-02-01T00:00:00"/>
    <x v="25"/>
    <s v="Payroll Processing"/>
    <n v="2"/>
    <x v="37"/>
    <s v="Yes"/>
    <s v="REversals audit, emails Costing updates "/>
    <x v="0"/>
    <s v="Thursday"/>
  </r>
  <r>
    <d v="2024-02-01T00:00:00"/>
    <x v="26"/>
    <s v="Business Development"/>
    <n v="0.63"/>
    <x v="12"/>
    <s v="Yes"/>
    <s v="BAS exportation process and send an email to Accounting team for BAS guidelines as instructed by Shalini. "/>
    <x v="0"/>
    <s v="Thursday"/>
  </r>
  <r>
    <d v="2024-02-01T00:00:00"/>
    <x v="26"/>
    <s v="Client Meeting"/>
    <n v="0.08"/>
    <x v="12"/>
    <s v="No"/>
    <s v="Chat with Irish"/>
    <x v="0"/>
    <s v="Thursday"/>
  </r>
  <r>
    <d v="2024-02-01T00:00:00"/>
    <x v="26"/>
    <s v="Client Meeting"/>
    <n v="0.08"/>
    <x v="12"/>
    <s v="No"/>
    <s v="Chat with Mel XPM"/>
    <x v="0"/>
    <s v="Thursday"/>
  </r>
  <r>
    <d v="2024-02-01T00:00:00"/>
    <x v="26"/>
    <s v="Client Meeting"/>
    <n v="0.08"/>
    <x v="12"/>
    <s v="No"/>
    <s v="Chat with Shalini, BAS updates"/>
    <x v="0"/>
    <s v="Thursday"/>
  </r>
  <r>
    <d v="2024-02-01T00:00:00"/>
    <x v="26"/>
    <s v="Client Meeting"/>
    <n v="0.1"/>
    <x v="47"/>
    <s v="Yes"/>
    <s v="Attending to Logica's queries and checking of pending action in ATO portal."/>
    <x v="0"/>
    <s v="Thursday"/>
  </r>
  <r>
    <d v="2024-02-01T00:00:00"/>
    <x v="26"/>
    <s v="Client Meeting"/>
    <n v="0.12"/>
    <x v="14"/>
    <s v="Yes"/>
    <s v="Attending to Cess's queries"/>
    <x v="0"/>
    <s v="Thursday"/>
  </r>
  <r>
    <d v="2024-02-01T00:00:00"/>
    <x v="26"/>
    <s v="Client Meeting"/>
    <n v="0.18"/>
    <x v="12"/>
    <s v="No"/>
    <s v="Meeting with Shalini : BAS resolution"/>
    <x v="0"/>
    <s v="Thursday"/>
  </r>
  <r>
    <d v="2024-02-01T00:00:00"/>
    <x v="26"/>
    <s v="Client Meeting"/>
    <n v="0.22"/>
    <x v="14"/>
    <s v="Yes"/>
    <s v="Catch up with Cess regarding 6K adjustment"/>
    <x v="0"/>
    <s v="Thursday"/>
  </r>
  <r>
    <d v="2024-02-01T00:00:00"/>
    <x v="26"/>
    <s v="Client Meeting"/>
    <n v="0.37"/>
    <x v="12"/>
    <s v="No"/>
    <s v="Catch up with Nick via team and reading his message via ASANA. Searching the update in ATO website,"/>
    <x v="0"/>
    <s v="Thursday"/>
  </r>
  <r>
    <d v="2024-02-01T00:00:00"/>
    <x v="26"/>
    <s v="General"/>
    <n v="0.25"/>
    <x v="12"/>
    <s v="No"/>
    <s v="15 mins coffee breaks as paid per Labor Code of the Philippines, Article 85. ( Afternoon Break ) "/>
    <x v="0"/>
    <s v="Thursday"/>
  </r>
  <r>
    <d v="2024-02-01T00:00:00"/>
    <x v="26"/>
    <s v="General"/>
    <n v="0.25"/>
    <x v="12"/>
    <s v="No"/>
    <s v="15 mins coffee breaks as paid per Labor Code of the Philippines, Article 85. ( Morning Break )"/>
    <x v="0"/>
    <s v="Thursday"/>
  </r>
  <r>
    <d v="2024-02-01T00:00:00"/>
    <x v="26"/>
    <s v="HR/Recuitment"/>
    <n v="0.28000000000000003"/>
    <x v="12"/>
    <s v="No"/>
    <s v="Fill out of APE online and reading protocol of clinic"/>
    <x v="0"/>
    <s v="Thursday"/>
  </r>
  <r>
    <d v="2024-02-01T00:00:00"/>
    <x v="26"/>
    <s v="IAS/BAS Preparation &amp; Lodgement - Oct-Dec"/>
    <n v="0.08"/>
    <x v="48"/>
    <s v="No"/>
    <s v="BAS checklist"/>
    <x v="0"/>
    <s v="Thursday"/>
  </r>
  <r>
    <d v="2024-02-01T00:00:00"/>
    <x v="26"/>
    <s v="IAS/BAS Preparation &amp; Lodgement - Oct-Dec"/>
    <n v="0.18"/>
    <x v="8"/>
    <s v="No"/>
    <s v="Non Billable updating and fixing  XPM, Asana and BAS check list, ATO portal"/>
    <x v="0"/>
    <s v="Thursday"/>
  </r>
  <r>
    <d v="2024-02-01T00:00:00"/>
    <x v="26"/>
    <s v="IAS/BAS Preparation &amp; Lodgement - Oct-Dec"/>
    <n v="0.23"/>
    <x v="12"/>
    <s v="Yes"/>
    <s v="Responding to Shalini's queries. Sales recon update"/>
    <x v="0"/>
    <s v="Thursday"/>
  </r>
  <r>
    <d v="2024-02-01T00:00:00"/>
    <x v="26"/>
    <s v="IAS/BAS Preparation &amp; Lodgement - Oct-Dec"/>
    <n v="0.3"/>
    <x v="45"/>
    <s v="Yes"/>
    <s v="Bas cont"/>
    <x v="0"/>
    <s v="Thursday"/>
  </r>
  <r>
    <d v="2024-02-01T00:00:00"/>
    <x v="26"/>
    <s v="IAS/BAS Preparation &amp; Lodgement - Oct-Dec"/>
    <n v="0.32"/>
    <x v="45"/>
    <s v="Yes"/>
    <m/>
    <x v="0"/>
    <s v="Thursday"/>
  </r>
  <r>
    <d v="2024-02-01T00:00:00"/>
    <x v="26"/>
    <s v="IAS/BAS Preparation &amp; Lodgement - Oct-Dec"/>
    <n v="0.33"/>
    <x v="16"/>
    <s v="No"/>
    <s v="Responding to Queries and checking of Tax refund"/>
    <x v="0"/>
    <s v="Thursday"/>
  </r>
  <r>
    <d v="2024-02-01T00:00:00"/>
    <x v="26"/>
    <s v="IAS/BAS Preparation &amp; Lodgement - Oct-Dec"/>
    <n v="0.45"/>
    <x v="45"/>
    <s v="Yes"/>
    <s v="Dec. 2023 BAS, payroll setting, STP and email compore. Finding variance 144"/>
    <x v="0"/>
    <s v="Thursday"/>
  </r>
  <r>
    <d v="2024-02-01T00:00:00"/>
    <x v="26"/>
    <s v="IAS/BAS Preparation &amp; Lodgement - Oct-Dec"/>
    <n v="0.48"/>
    <x v="49"/>
    <s v="No"/>
    <s v="Nonbillable: Attending to Queries and checking of Xero file"/>
    <x v="0"/>
    <s v="Thursday"/>
  </r>
  <r>
    <d v="2024-02-01T00:00:00"/>
    <x v="26"/>
    <s v="IAS/BAS Preparation &amp; Lodgement - Oct-Dec"/>
    <n v="1.02"/>
    <x v="8"/>
    <s v="Yes"/>
    <s v="DEc. 2023 BAS"/>
    <x v="0"/>
    <s v="Thursday"/>
  </r>
  <r>
    <d v="2024-02-01T00:00:00"/>
    <x v="26"/>
    <s v="IAS/BAS Preparation &amp; Lodgement - Oct-Dec"/>
    <n v="1.35"/>
    <x v="16"/>
    <s v="Yes"/>
    <s v="DEC 2023 BAS"/>
    <x v="0"/>
    <s v="Thursday"/>
  </r>
  <r>
    <d v="2024-02-01T00:00:00"/>
    <x v="26"/>
    <s v="Tax Admin"/>
    <n v="0.15"/>
    <x v="12"/>
    <s v="No"/>
    <s v="Check XPM "/>
    <x v="0"/>
    <s v="Thursday"/>
  </r>
  <r>
    <d v="2024-02-01T00:00:00"/>
    <x v="26"/>
    <s v="Tax Admin"/>
    <n v="0.2"/>
    <x v="12"/>
    <s v="No"/>
    <s v="Signatory list"/>
    <x v="0"/>
    <s v="Thursday"/>
  </r>
  <r>
    <d v="2024-02-01T00:00:00"/>
    <x v="26"/>
    <s v="Unpaid Leave"/>
    <n v="0.33"/>
    <x v="12"/>
    <s v="No"/>
    <s v="Work late and it will deducted to my salary."/>
    <x v="0"/>
    <s v="Thursday"/>
  </r>
  <r>
    <d v="2024-02-01T00:00:00"/>
    <x v="27"/>
    <s v="P&amp;C Advisory"/>
    <n v="8"/>
    <x v="19"/>
    <s v="Yes"/>
    <s v="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
    <x v="0"/>
    <s v="Thursday"/>
  </r>
  <r>
    <d v="2024-02-01T00:00:00"/>
    <x v="28"/>
    <s v="Sick Leave"/>
    <n v="8"/>
    <x v="12"/>
    <s v="No"/>
    <m/>
    <x v="0"/>
    <s v="Thursday"/>
  </r>
  <r>
    <d v="2024-02-01T00:00:00"/>
    <x v="29"/>
    <s v="Bookkeeping"/>
    <n v="0.5"/>
    <x v="49"/>
    <s v="Yes"/>
    <s v="Tax Call with James Livingstone re tax plan "/>
    <x v="0"/>
    <s v="Thursday"/>
  </r>
  <r>
    <d v="2024-02-01T00:00:00"/>
    <x v="29"/>
    <s v="Bookkeeping"/>
    <n v="1.1499999999999999"/>
    <x v="50"/>
    <s v="Yes"/>
    <s v="FY24 - Dec tax payable rec"/>
    <x v="0"/>
    <s v="Thursday"/>
  </r>
  <r>
    <d v="2024-02-01T00:00:00"/>
    <x v="30"/>
    <s v="Debt Collection"/>
    <n v="1.5"/>
    <x v="16"/>
    <s v="Yes"/>
    <m/>
    <x v="0"/>
    <s v="Thursday"/>
  </r>
  <r>
    <d v="2024-02-01T00:00:00"/>
    <x v="30"/>
    <s v="Debt Collection"/>
    <n v="2.67"/>
    <x v="36"/>
    <s v="Yes"/>
    <m/>
    <x v="0"/>
    <s v="Thursday"/>
  </r>
  <r>
    <d v="2024-02-01T00:00:00"/>
    <x v="30"/>
    <s v="Debt Collection"/>
    <n v="3"/>
    <x v="12"/>
    <s v="Yes"/>
    <m/>
    <x v="0"/>
    <s v="Thursday"/>
  </r>
  <r>
    <d v="2024-02-01T00:00:00"/>
    <x v="30"/>
    <s v="General"/>
    <n v="0.83"/>
    <x v="12"/>
    <s v="No"/>
    <s v="Asana task clean up and folder clean up"/>
    <x v="0"/>
    <s v="Thursday"/>
  </r>
  <r>
    <d v="2024-02-01T00:00:00"/>
    <x v="31"/>
    <s v="Adhoc Support &amp; Advice"/>
    <n v="1.65"/>
    <x v="16"/>
    <s v="Yes"/>
    <s v="final revision dashboard before phase 2 automation"/>
    <x v="0"/>
    <s v="Thursday"/>
  </r>
  <r>
    <d v="2024-02-01T00:00:00"/>
    <x v="31"/>
    <s v="Adhoc Support &amp; Advice"/>
    <n v="1.73"/>
    <x v="16"/>
    <s v="Yes"/>
    <s v="dashboard finalization - phase 2 automation"/>
    <x v="0"/>
    <s v="Thursday"/>
  </r>
  <r>
    <d v="2024-02-01T00:00:00"/>
    <x v="31"/>
    <s v="General"/>
    <n v="0.57999999999999996"/>
    <x v="12"/>
    <s v="No"/>
    <s v="follow up MIZ BIR update / Bambi refund / quotation for RO / TP and reimbursements"/>
    <x v="0"/>
    <s v="Thursday"/>
  </r>
  <r>
    <d v="2024-02-01T00:00:00"/>
    <x v="31"/>
    <s v="General"/>
    <n v="1.03"/>
    <x v="12"/>
    <s v="No"/>
    <s v="emails / reimbursements / replying to sprout about 13th month setup"/>
    <x v="0"/>
    <s v="Thursday"/>
  </r>
  <r>
    <d v="2024-02-01T00:00:00"/>
    <x v="31"/>
    <s v="General"/>
    <n v="1.72"/>
    <x v="12"/>
    <s v="No"/>
    <s v="performance review Rejie, Gen, Mel"/>
    <x v="0"/>
    <s v="Thursday"/>
  </r>
  <r>
    <d v="2024-02-01T00:00:00"/>
    <x v="31"/>
    <s v="Management Reporting"/>
    <n v="1.67"/>
    <x v="12"/>
    <s v="No"/>
    <s v="month-end"/>
    <x v="0"/>
    <s v="Thursday"/>
  </r>
  <r>
    <d v="2024-02-01T00:00:00"/>
    <x v="32"/>
    <s v="Bookkeeping"/>
    <n v="1.73"/>
    <x v="51"/>
    <s v="Yes"/>
    <s v="Double Checking with Ms. Rose the Work day 1 task (39:23 seconds) Bills raise to xero Reversed payment and amend bills Approving sales to A@X Replying Emails Postscript "/>
    <x v="0"/>
    <s v="Thursday"/>
  </r>
  <r>
    <d v="2024-02-01T00:00:00"/>
    <x v="32"/>
    <s v="Bookkeeping"/>
    <n v="5.77"/>
    <x v="51"/>
    <s v="Yes"/>
    <s v="Email Management Bills Raise to Xero Bank Reconciliation BM and LOC Inc. Prepared Month end task -LOC Long Service Leave Accrual -LOC Payroll Adjustments -LOC Payroll Employee Summary Updated the Employee Headcount file Updated the Payroll Tax Workings FY24 Posted Manual Journals"/>
    <x v="0"/>
    <s v="Thursday"/>
  </r>
  <r>
    <d v="2024-02-01T00:00:00"/>
    <x v="32"/>
    <s v="General"/>
    <n v="0.5"/>
    <x v="12"/>
    <s v="No"/>
    <s v="Break"/>
    <x v="0"/>
    <s v="Thursday"/>
  </r>
  <r>
    <d v="2024-02-01T00:00:00"/>
    <x v="33"/>
    <s v="IT"/>
    <n v="9"/>
    <x v="12"/>
    <s v="No"/>
    <s v="IT Support"/>
    <x v="0"/>
    <s v="Thursday"/>
  </r>
  <r>
    <d v="2024-02-01T00:00:00"/>
    <x v="34"/>
    <s v="Bookkeeping"/>
    <n v="0.37"/>
    <x v="52"/>
    <s v="Yes"/>
    <s v="Email Management Bills Processing Bank Recon   BS Recon Email Management Bills Processing Bank Recon "/>
    <x v="0"/>
    <s v="Thursday"/>
  </r>
  <r>
    <d v="2024-02-01T00:00:00"/>
    <x v="34"/>
    <s v="Bookkeeping"/>
    <n v="0.63"/>
    <x v="43"/>
    <s v="Yes"/>
    <s v="Email Management Bills Processing"/>
    <x v="0"/>
    <s v="Thursday"/>
  </r>
  <r>
    <d v="2024-02-01T00:00:00"/>
    <x v="34"/>
    <s v="Bookkeeping"/>
    <n v="0.63"/>
    <x v="6"/>
    <s v="Yes"/>
    <s v="checking of a certain increase in Electricity charges  reconciliation "/>
    <x v="0"/>
    <s v="Thursday"/>
  </r>
  <r>
    <d v="2024-02-01T00:00:00"/>
    <x v="34"/>
    <s v="Bookkeeping"/>
    <n v="0.65"/>
    <x v="52"/>
    <s v="Yes"/>
    <m/>
    <x v="0"/>
    <s v="Thursday"/>
  </r>
  <r>
    <d v="2024-02-01T00:00:00"/>
    <x v="34"/>
    <s v="Bookkeeping"/>
    <n v="4.47"/>
    <x v="15"/>
    <s v="Yes"/>
    <s v="Email Management Bills Processing Batch Payment Processing"/>
    <x v="0"/>
    <s v="Thursday"/>
  </r>
  <r>
    <d v="2024-02-01T00:00:00"/>
    <x v="34"/>
    <s v="General"/>
    <n v="0.7"/>
    <x v="12"/>
    <s v="No"/>
    <m/>
    <x v="0"/>
    <s v="Thursday"/>
  </r>
  <r>
    <d v="2024-02-01T00:00:00"/>
    <x v="34"/>
    <s v="General"/>
    <n v="0.7"/>
    <x v="12"/>
    <s v="No"/>
    <s v="Donor - Reviewing Jovel's handover re: month end processing  Email Management  Asana Task clean up "/>
    <x v="0"/>
    <s v="Thursday"/>
  </r>
  <r>
    <d v="2024-02-01T00:00:00"/>
    <x v="35"/>
    <s v="Accounts"/>
    <n v="0.15"/>
    <x v="12"/>
    <s v="No"/>
    <s v="Additional email responses for the billing"/>
    <x v="0"/>
    <s v="Thursday"/>
  </r>
  <r>
    <d v="2024-02-01T00:00:00"/>
    <x v="35"/>
    <s v="Accounts"/>
    <n v="0.45"/>
    <x v="12"/>
    <s v="No"/>
    <s v="Timesheet review for Marsill as per Shalini's request."/>
    <x v="0"/>
    <s v="Thursday"/>
  </r>
  <r>
    <d v="2024-02-01T00:00:00"/>
    <x v="35"/>
    <s v="Accounts"/>
    <n v="0.67"/>
    <x v="12"/>
    <s v="No"/>
    <s v="Checking of Alliance Si tagging and renaming. Investigate and coordinate to BIT and Ms Con. With email advise after checking."/>
    <x v="0"/>
    <s v="Thursday"/>
  </r>
  <r>
    <d v="2024-02-01T00:00:00"/>
    <x v="35"/>
    <s v="Accounts"/>
    <n v="0.9"/>
    <x v="12"/>
    <s v="No"/>
    <s v="Further invoices to be check/coordination with Shalini"/>
    <x v="0"/>
    <s v="Thursday"/>
  </r>
  <r>
    <d v="2024-02-01T00:00:00"/>
    <x v="35"/>
    <s v="Accounts"/>
    <n v="1.08"/>
    <x v="12"/>
    <s v="No"/>
    <s v="Compliance invoicing update and coordination with Sylvie re: Capspace"/>
    <x v="0"/>
    <s v="Thursday"/>
  </r>
  <r>
    <d v="2024-02-01T00:00:00"/>
    <x v="35"/>
    <s v="Accounts"/>
    <n v="1.17"/>
    <x v="12"/>
    <s v="No"/>
    <s v="Various email response/checking of bank recs/"/>
    <x v="0"/>
    <s v="Thursday"/>
  </r>
  <r>
    <d v="2024-02-01T00:00:00"/>
    <x v="35"/>
    <s v="Accounts"/>
    <n v="1.4"/>
    <x v="53"/>
    <s v="No"/>
    <s v="Process bills for PH Branch"/>
    <x v="0"/>
    <s v="Thursday"/>
  </r>
  <r>
    <d v="2024-02-01T00:00:00"/>
    <x v="35"/>
    <s v="Bookkeeping"/>
    <n v="2.27"/>
    <x v="12"/>
    <s v="No"/>
    <s v="Timesheet and invoice preparation for the month end invoices. "/>
    <x v="0"/>
    <s v="Thursday"/>
  </r>
  <r>
    <d v="2024-02-01T00:00:00"/>
    <x v="36"/>
    <s v="Web"/>
    <n v="10"/>
    <x v="12"/>
    <s v="Yes"/>
    <s v="✅ fixed the admin notification for the Payroll Questionnaire ✅ uninstalled Google SiteKit for managing the Tags  🟨 Bing Business to publish Dexterous Group on Feb 3 "/>
    <x v="0"/>
    <s v="Thursday"/>
  </r>
  <r>
    <d v="2024-02-01T00:00:00"/>
    <x v="37"/>
    <s v="Sick Leave"/>
    <n v="4"/>
    <x v="12"/>
    <s v="No"/>
    <m/>
    <x v="0"/>
    <s v="Thursday"/>
  </r>
  <r>
    <d v="2024-02-01T00:00:00"/>
    <x v="38"/>
    <s v="Client Manager"/>
    <n v="2.85"/>
    <x v="2"/>
    <s v="No"/>
    <s v="Asana emails and teams Fathom"/>
    <x v="0"/>
    <s v="Thursday"/>
  </r>
  <r>
    <d v="2024-02-01T00:00:00"/>
    <x v="38"/>
    <s v="Client Meeting"/>
    <n v="1"/>
    <x v="54"/>
    <s v="Yes"/>
    <s v="Meeting with Scott on pay rise"/>
    <x v="0"/>
    <s v="Thursday"/>
  </r>
  <r>
    <d v="2024-02-01T00:00:00"/>
    <x v="38"/>
    <s v="Client Meeting"/>
    <n v="1.42"/>
    <x v="2"/>
    <s v="Yes"/>
    <s v="Meeting with Stuart on P&amp;L compared to AgriChain"/>
    <x v="0"/>
    <s v="Thursday"/>
  </r>
  <r>
    <d v="2024-02-01T00:00:00"/>
    <x v="38"/>
    <s v="General"/>
    <n v="0.73"/>
    <x v="12"/>
    <s v="No"/>
    <s v="emails, teams, Asana"/>
    <x v="0"/>
    <s v="Thursday"/>
  </r>
  <r>
    <d v="2024-02-01T00:00:00"/>
    <x v="39"/>
    <s v="Bookkeeping"/>
    <n v="0.3"/>
    <x v="14"/>
    <s v="Yes"/>
    <s v="emails"/>
    <x v="0"/>
    <s v="Thursday"/>
  </r>
  <r>
    <d v="2024-02-01T00:00:00"/>
    <x v="39"/>
    <s v="Bookkeeping"/>
    <n v="0.33"/>
    <x v="55"/>
    <s v="Yes"/>
    <s v="AP"/>
    <x v="0"/>
    <s v="Thursday"/>
  </r>
  <r>
    <d v="2024-02-01T00:00:00"/>
    <x v="39"/>
    <s v="Bookkeeping"/>
    <n v="0.56999999999999995"/>
    <x v="14"/>
    <s v="Yes"/>
    <s v="Adhoc - provide officeworks receipts within 12mos. to send to client"/>
    <x v="0"/>
    <s v="Thursday"/>
  </r>
  <r>
    <d v="2024-02-01T00:00:00"/>
    <x v="39"/>
    <s v="Bookkeeping"/>
    <n v="0.97"/>
    <x v="14"/>
    <s v="Yes"/>
    <s v="Sept recode to asset and run dep'n, mj to adjust bank fees"/>
    <x v="0"/>
    <s v="Thursday"/>
  </r>
  <r>
    <d v="2024-02-01T00:00:00"/>
    <x v="39"/>
    <s v="Bookkeeping"/>
    <n v="1.95"/>
    <x v="14"/>
    <s v="Yes"/>
    <m/>
    <x v="0"/>
    <s v="Thursday"/>
  </r>
  <r>
    <d v="2024-02-01T00:00:00"/>
    <x v="39"/>
    <s v="Bookkeeping"/>
    <n v="2.3199999999999998"/>
    <x v="14"/>
    <s v="Yes"/>
    <s v="BR"/>
    <x v="0"/>
    <s v="Thursday"/>
  </r>
  <r>
    <d v="2024-02-01T00:00:00"/>
    <x v="39"/>
    <s v="General"/>
    <n v="0.23"/>
    <x v="12"/>
    <s v="No"/>
    <s v="emails/teams"/>
    <x v="0"/>
    <s v="Thursday"/>
  </r>
  <r>
    <d v="2024-02-01T00:00:00"/>
    <x v="39"/>
    <s v="General"/>
    <n v="0.55000000000000004"/>
    <x v="12"/>
    <s v="No"/>
    <s v="with Mark, srac email"/>
    <x v="0"/>
    <s v="Thursday"/>
  </r>
  <r>
    <d v="2024-02-01T00:00:00"/>
    <x v="40"/>
    <s v="Bookkeeping"/>
    <n v="0.4"/>
    <x v="50"/>
    <s v="Yes"/>
    <s v="Bank recs - BAM &amp; Aviation"/>
    <x v="0"/>
    <s v="Thursday"/>
  </r>
  <r>
    <d v="2024-02-01T00:00:00"/>
    <x v="40"/>
    <s v="Bookkeeping"/>
    <n v="0.93"/>
    <x v="50"/>
    <s v="Yes"/>
    <s v="Catch up with Sylvie and Sarah"/>
    <x v="0"/>
    <s v="Thursday"/>
  </r>
  <r>
    <d v="2024-02-01T00:00:00"/>
    <x v="40"/>
    <s v="Bookkeeping"/>
    <n v="6.48"/>
    <x v="36"/>
    <s v="Yes"/>
    <s v="AP rviewed Adhocs tasks - from Rob "/>
    <x v="0"/>
    <s v="Thursday"/>
  </r>
  <r>
    <d v="2024-02-01T00:00:00"/>
    <x v="40"/>
    <s v="General"/>
    <n v="0.2"/>
    <x v="12"/>
    <s v="No"/>
    <s v="Dex emails"/>
    <x v="0"/>
    <s v="Thursday"/>
  </r>
  <r>
    <d v="2024-02-01T00:00:00"/>
    <x v="40"/>
    <s v="Management Reporting"/>
    <n v="0.52"/>
    <x v="36"/>
    <s v="Yes"/>
    <s v="Month end tasks"/>
    <x v="0"/>
    <s v="Thursday"/>
  </r>
  <r>
    <d v="2024-02-01T00:00:00"/>
    <x v="41"/>
    <s v="General"/>
    <n v="0.25"/>
    <x v="12"/>
    <s v="No"/>
    <s v="General admin tasks - emails, file clean-up, asana review, timesheets"/>
    <x v="0"/>
    <s v="Thursday"/>
  </r>
  <r>
    <d v="2024-02-01T00:00:00"/>
    <x v="41"/>
    <s v="General"/>
    <n v="3.68"/>
    <x v="12"/>
    <s v="No"/>
    <s v="Creating GROW coaching template  Updating billable report Reviewing and approving payroll allowance adjustments"/>
    <x v="0"/>
    <s v="Thursday"/>
  </r>
  <r>
    <d v="2024-02-01T00:00:00"/>
    <x v="41"/>
    <s v="General"/>
    <n v="4.13"/>
    <x v="12"/>
    <s v="No"/>
    <s v="Compiling billable prod + dollar + consolidate report for Nick  Calls with Jordan for report consolidation"/>
    <x v="0"/>
    <s v="Thursday"/>
  </r>
  <r>
    <d v="2024-02-01T00:00:00"/>
    <x v="41"/>
    <s v="Meetings"/>
    <n v="0.15"/>
    <x v="12"/>
    <s v="No"/>
    <s v="Call with Nica re: performance eval/PRO"/>
    <x v="0"/>
    <s v="Thursday"/>
  </r>
  <r>
    <d v="2024-02-01T00:00:00"/>
    <x v="41"/>
    <s v="Meetings"/>
    <n v="0.53"/>
    <x v="12"/>
    <s v="No"/>
    <s v="Monthly 1:1 coaching - Rejie"/>
    <x v="0"/>
    <s v="Thursday"/>
  </r>
  <r>
    <d v="2024-02-01T00:00:00"/>
    <x v="42"/>
    <s v="Bookkeeping"/>
    <n v="1.73"/>
    <x v="12"/>
    <s v="No"/>
    <m/>
    <x v="0"/>
    <s v="Thursday"/>
  </r>
  <r>
    <d v="2024-02-01T00:00:00"/>
    <x v="42"/>
    <s v="Bookkeeping"/>
    <n v="6.22"/>
    <x v="16"/>
    <s v="Yes"/>
    <m/>
    <x v="0"/>
    <s v="Thursday"/>
  </r>
  <r>
    <d v="2024-02-01T00:00:00"/>
    <x v="42"/>
    <s v="Meetings"/>
    <n v="0.5"/>
    <x v="12"/>
    <s v="No"/>
    <s v="Monthly 1:1 catch up with TL RJ"/>
    <x v="0"/>
    <s v="Thursday"/>
  </r>
  <r>
    <d v="2024-02-01T00:00:00"/>
    <x v="43"/>
    <s v="Bookkeeping"/>
    <n v="1.05"/>
    <x v="51"/>
    <s v="Yes"/>
    <s v="Review month end postings, call with Maa re Jan24 payroll tax workings variance and fix with her"/>
    <x v="0"/>
    <s v="Thursday"/>
  </r>
  <r>
    <d v="2024-02-01T00:00:00"/>
    <x v="43"/>
    <s v="General"/>
    <n v="7.0000000000000007E-2"/>
    <x v="12"/>
    <s v="No"/>
    <s v="Call with Ralph re Chamies'clients"/>
    <x v="0"/>
    <s v="Thursday"/>
  </r>
  <r>
    <d v="2024-02-01T00:00:00"/>
    <x v="43"/>
    <s v="General"/>
    <n v="0.12"/>
    <x v="12"/>
    <s v="No"/>
    <s v="Teams messages with Shalini re informing Charmie's clients re her resignation and handover"/>
    <x v="0"/>
    <s v="Thursday"/>
  </r>
  <r>
    <d v="2024-02-01T00:00:00"/>
    <x v="43"/>
    <s v="Payroll Processing"/>
    <n v="0.32"/>
    <x v="18"/>
    <s v="Yes"/>
    <s v="Payroll review "/>
    <x v="0"/>
    <s v="Thursday"/>
  </r>
  <r>
    <d v="2024-02-01T00:00:00"/>
    <x v="43"/>
    <s v="Payroll Processing"/>
    <n v="0.68"/>
    <x v="16"/>
    <s v="Yes"/>
    <s v="Queries from James, respond to him, remove all on call bonus, finalise and load payment for approval"/>
    <x v="0"/>
    <s v="Thursday"/>
  </r>
  <r>
    <d v="2024-02-01T00:00:00"/>
    <x v="43"/>
    <s v="Payroll Processing"/>
    <n v="0.77"/>
    <x v="16"/>
    <s v="Yes"/>
    <s v="Payroll processing and peer review"/>
    <x v="0"/>
    <s v="Thursday"/>
  </r>
  <r>
    <d v="2024-02-01T00:00:00"/>
    <x v="43"/>
    <s v="Payroll Processing"/>
    <n v="2.27"/>
    <x v="16"/>
    <s v="Yes"/>
    <s v="Jan. 31 - 5:55PM to 8:11PM   Checking new EA rates excel file, note discrepancies for confirmation, process NSW - MM because we might not finish on time tomorrow"/>
    <x v="0"/>
    <s v="Thursday"/>
  </r>
  <r>
    <d v="2024-02-01T00:00:00"/>
    <x v="43"/>
    <s v="Payroll Processing"/>
    <n v="2.98"/>
    <x v="16"/>
    <s v="Yes"/>
    <s v="Payroll processing"/>
    <x v="0"/>
    <s v="Thursday"/>
  </r>
  <r>
    <d v="2024-02-01T00:00:00"/>
    <x v="44"/>
    <s v="ASIC Compliance"/>
    <n v="0.42"/>
    <x v="10"/>
    <s v="Yes"/>
    <s v="Check rules around conversion of shares to different classes"/>
    <x v="0"/>
    <s v="Thursday"/>
  </r>
  <r>
    <d v="2024-02-01T00:00:00"/>
    <x v="44"/>
    <s v="Company Tax Returns"/>
    <n v="0.17"/>
    <x v="56"/>
    <s v="Yes"/>
    <s v="Respond to email from James Luo regarding due date for tax 2023 tax return (lodgement, payment and FTL penalty dates). Advised that we will require additional information for ITR preparation to be outlined separately."/>
    <x v="0"/>
    <s v="Thursday"/>
  </r>
  <r>
    <d v="2024-02-01T00:00:00"/>
    <x v="44"/>
    <s v="Tax Admin"/>
    <n v="0.25"/>
    <x v="12"/>
    <s v="No"/>
    <s v="Review ATO docs (5) issued on portal and forward to Shalini"/>
    <x v="0"/>
    <s v="Thursday"/>
  </r>
  <r>
    <d v="2024-02-01T00:00:00"/>
    <x v="45"/>
    <s v="Bookkeeping"/>
    <n v="0.23"/>
    <x v="26"/>
    <s v="Yes"/>
    <s v="Post payroll journals"/>
    <x v="0"/>
    <s v="Thursday"/>
  </r>
  <r>
    <d v="2024-02-01T00:00:00"/>
    <x v="45"/>
    <s v="Bookkeeping"/>
    <n v="0.25"/>
    <x v="57"/>
    <s v="Yes"/>
    <s v="Call Amex"/>
    <x v="0"/>
    <s v="Thursday"/>
  </r>
  <r>
    <d v="2024-02-01T00:00:00"/>
    <x v="45"/>
    <s v="Bookkeeping"/>
    <n v="0.25"/>
    <x v="23"/>
    <s v="Yes"/>
    <s v="Post payroll journals"/>
    <x v="0"/>
    <s v="Thursday"/>
  </r>
  <r>
    <d v="2024-02-01T00:00:00"/>
    <x v="45"/>
    <s v="Bookkeeping"/>
    <n v="0.43"/>
    <x v="50"/>
    <s v="Yes"/>
    <s v="Bank rec"/>
    <x v="0"/>
    <s v="Thursday"/>
  </r>
  <r>
    <d v="2024-02-01T00:00:00"/>
    <x v="45"/>
    <s v="Bookkeeping"/>
    <n v="0.43"/>
    <x v="57"/>
    <s v="Yes"/>
    <s v="AP run Bank rec"/>
    <x v="0"/>
    <s v="Thursday"/>
  </r>
  <r>
    <d v="2024-02-01T00:00:00"/>
    <x v="45"/>
    <s v="Bookkeeping"/>
    <n v="0.55000000000000004"/>
    <x v="58"/>
    <s v="Yes"/>
    <s v="Accounts review"/>
    <x v="0"/>
    <s v="Thursday"/>
  </r>
  <r>
    <d v="2024-02-01T00:00:00"/>
    <x v="45"/>
    <s v="Bookkeeping"/>
    <n v="0.82"/>
    <x v="57"/>
    <s v="Yes"/>
    <m/>
    <x v="0"/>
    <s v="Thursday"/>
  </r>
  <r>
    <d v="2024-02-01T00:00:00"/>
    <x v="45"/>
    <s v="Bookkeeping"/>
    <n v="1.2"/>
    <x v="50"/>
    <s v="Yes"/>
    <s v="AR and AP"/>
    <x v="0"/>
    <s v="Thursday"/>
  </r>
  <r>
    <d v="2024-02-01T00:00:00"/>
    <x v="45"/>
    <s v="Bookkeeping"/>
    <n v="1.97"/>
    <x v="50"/>
    <s v="Yes"/>
    <s v="Create process documents Review BASS BS rec"/>
    <x v="0"/>
    <s v="Thursday"/>
  </r>
  <r>
    <d v="2024-02-01T00:00:00"/>
    <x v="45"/>
    <s v="Client Meeting"/>
    <n v="0.92"/>
    <x v="50"/>
    <s v="Yes"/>
    <s v="Catch up with Sylvie and Rachele"/>
    <x v="0"/>
    <s v="Thursday"/>
  </r>
  <r>
    <d v="2024-02-01T00:00:00"/>
    <x v="45"/>
    <s v="General"/>
    <n v="0.5"/>
    <x v="12"/>
    <s v="No"/>
    <s v="Paid break"/>
    <x v="0"/>
    <s v="Thursday"/>
  </r>
  <r>
    <d v="2024-02-01T00:00:00"/>
    <x v="45"/>
    <s v="Meetings"/>
    <n v="0.5"/>
    <x v="12"/>
    <s v="No"/>
    <s v="Jimwelle's performance evaluation"/>
    <x v="0"/>
    <s v="Thursday"/>
  </r>
  <r>
    <d v="2024-02-01T00:00:00"/>
    <x v="46"/>
    <s v="Client Manager"/>
    <n v="0.25"/>
    <x v="29"/>
    <s v="No"/>
    <s v="Follow up with Gerardo re Jan accounts in prep for monthly meeting"/>
    <x v="0"/>
    <s v="Thursday"/>
  </r>
  <r>
    <d v="2024-02-01T00:00:00"/>
    <x v="46"/>
    <s v="Client Manager"/>
    <n v="0.25"/>
    <x v="14"/>
    <s v="Yes"/>
    <s v="Review GL for Computer Expenses and email cess to capitalise. Update on Safer Kids grant total as at 31.10.2023, Xero to match with grant acquittal "/>
    <x v="0"/>
    <s v="Thursday"/>
  </r>
  <r>
    <d v="2024-02-01T00:00:00"/>
    <x v="46"/>
    <s v="Client Manager"/>
    <n v="0.33"/>
    <x v="59"/>
    <s v="Yes"/>
    <s v="Review credit card list, email Zoe and ask for Bendigo bank manager introduction"/>
    <x v="0"/>
    <s v="Thursday"/>
  </r>
  <r>
    <d v="2024-02-01T00:00:00"/>
    <x v="46"/>
    <s v="Client Manager"/>
    <n v="0.5"/>
    <x v="14"/>
    <s v="Yes"/>
    <s v="Upload payroll and email Kathy/Shalisa. Review accounts in details and advise team of further changes"/>
    <x v="0"/>
    <s v="Thursday"/>
  </r>
  <r>
    <d v="2024-02-01T00:00:00"/>
    <x v="46"/>
    <s v="General"/>
    <n v="0.75"/>
    <x v="12"/>
    <s v="No"/>
    <s v="Review fixed fee analysis for Alder Food AP work, add comments. Send analysis to Sharry Prepare email and send same to be sent to Rob/Tom for approval"/>
    <x v="0"/>
    <s v="Thursday"/>
  </r>
  <r>
    <d v="2024-02-01T00:00:00"/>
    <x v="46"/>
    <s v="General"/>
    <n v="2"/>
    <x v="12"/>
    <s v="No"/>
    <s v="Monthly invoicing, onboarding tasks, finalise standard fees template and send to Jordan to save on SharePoint, ATO correspondence with Kate/Sam/Emily, spam email for SRAC, liaise with Mark"/>
    <x v="0"/>
    <s v="Thursday"/>
  </r>
  <r>
    <d v="2024-02-01T00:00:00"/>
    <x v="46"/>
    <s v="General"/>
    <n v="2.5"/>
    <x v="12"/>
    <s v="No"/>
    <s v="Review revenue tracker re sale of tax clients, monthly invoicing, Pinnacle Group - liaise with Kae/Gen re GST registration etc, debtor chasing with Angela, BAS/IAS workflow, follow up with the team etc"/>
    <x v="0"/>
    <s v="Thursday"/>
  </r>
  <r>
    <d v="2024-02-01T00:00:00"/>
    <x v="46"/>
    <s v="IAS/BAS Preparation &amp; Lodgement - Dec"/>
    <n v="0.17"/>
    <x v="60"/>
    <s v="Yes"/>
    <s v="Dec 2023 IAS review and lodgement"/>
    <x v="0"/>
    <s v="Thursday"/>
  </r>
  <r>
    <d v="2024-02-01T00:00:00"/>
    <x v="46"/>
    <s v="IAS/BAS Preparation &amp; Lodgement - Oct-Dec"/>
    <n v="0.33"/>
    <x v="8"/>
    <s v="Yes"/>
    <s v="Dec 2023 quarter BAS review and lodgement"/>
    <x v="0"/>
    <s v="Thursday"/>
  </r>
  <r>
    <d v="2024-02-01T00:00:00"/>
    <x v="46"/>
    <s v="IAS/BAS Preparation &amp; Lodgement - Oct-Dec"/>
    <n v="0.33"/>
    <x v="14"/>
    <s v="Yes"/>
    <s v="Dec 2023 quarter BAS review. Lodge same"/>
    <x v="0"/>
    <s v="Thursday"/>
  </r>
  <r>
    <d v="2024-02-01T00:00:00"/>
    <x v="46"/>
    <s v="Meetings"/>
    <n v="0.25"/>
    <x v="12"/>
    <s v="No"/>
    <s v="Quick catchup with LM re BAS workflow "/>
    <x v="0"/>
    <s v="Thursday"/>
  </r>
  <r>
    <d v="2024-02-01T00:00:00"/>
    <x v="47"/>
    <s v="Bookkeeping"/>
    <n v="1.5"/>
    <x v="50"/>
    <s v="Yes"/>
    <s v="Rec Tax accounts, check portal, pmt ITR bills, liaise with Sam"/>
    <x v="0"/>
    <s v="Thursday"/>
  </r>
  <r>
    <d v="2024-02-01T00:00:00"/>
    <x v="47"/>
    <s v="Bookkeeping"/>
    <n v="2.5"/>
    <x v="50"/>
    <s v="Yes"/>
    <s v="BLM / BELCR"/>
    <x v="0"/>
    <s v="Thursday"/>
  </r>
  <r>
    <d v="2024-02-01T00:00:00"/>
    <x v="47"/>
    <s v="Client Manager"/>
    <n v="0.5"/>
    <x v="50"/>
    <s v="Yes"/>
    <s v="liaise with Sarah, Rachele and Logika "/>
    <x v="0"/>
    <s v="Thursday"/>
  </r>
  <r>
    <d v="2024-02-01T00:00:00"/>
    <x v="47"/>
    <s v="Client Manager"/>
    <n v="0.7"/>
    <x v="50"/>
    <s v="Yes"/>
    <s v="emails"/>
    <x v="0"/>
    <s v="Thursday"/>
  </r>
  <r>
    <d v="2024-02-01T00:00:00"/>
    <x v="47"/>
    <s v="Client Manager"/>
    <n v="0.9"/>
    <x v="50"/>
    <s v="Yes"/>
    <m/>
    <x v="0"/>
    <s v="Thursday"/>
  </r>
  <r>
    <d v="2024-02-01T00:00:00"/>
    <x v="47"/>
    <s v="General"/>
    <n v="0.5"/>
    <x v="12"/>
    <s v="No"/>
    <s v="emails, teams, asana"/>
    <x v="0"/>
    <s v="Thursday"/>
  </r>
  <r>
    <d v="2024-02-01T00:00:00"/>
    <x v="47"/>
    <s v="Management Reporting"/>
    <n v="3"/>
    <x v="50"/>
    <s v="Yes"/>
    <s v="Update Fathom P&amp;L layout, update budget, correct actuals, run reports"/>
    <x v="0"/>
    <s v="Thursday"/>
  </r>
  <r>
    <d v="2024-02-01T00:00:00"/>
    <x v="47"/>
    <s v="Out-of-Scope Services"/>
    <n v="0.1"/>
    <x v="61"/>
    <s v="Yes"/>
    <s v="email Josh and Andrew"/>
    <x v="0"/>
    <s v="Thursday"/>
  </r>
  <r>
    <d v="2024-02-01T00:00:00"/>
    <x v="48"/>
    <s v="General"/>
    <n v="2"/>
    <x v="12"/>
    <s v="No"/>
    <e v="#NAME?"/>
    <x v="0"/>
    <s v="Thursday"/>
  </r>
  <r>
    <d v="2024-02-01T00:00:00"/>
    <x v="48"/>
    <s v="General"/>
    <n v="2"/>
    <x v="12"/>
    <s v="No"/>
    <s v="- process registration of training participants (Empowering New Leaders) - update Performance Pro (Ms. Gen - issue on assigned competencies)"/>
    <x v="0"/>
    <s v="Thursday"/>
  </r>
  <r>
    <d v="2024-02-01T00:00:00"/>
    <x v="48"/>
    <s v="General"/>
    <n v="4"/>
    <x v="12"/>
    <s v="No"/>
    <e v="#NAME?"/>
    <x v="0"/>
    <s v="Thursday"/>
  </r>
  <r>
    <d v="2024-02-02T00:00:00"/>
    <x v="0"/>
    <s v="Bookkeeping"/>
    <n v="0.05"/>
    <x v="4"/>
    <s v="Yes"/>
    <s v="Email"/>
    <x v="0"/>
    <s v="Friday"/>
  </r>
  <r>
    <d v="2024-02-02T00:00:00"/>
    <x v="0"/>
    <s v="Bookkeeping"/>
    <n v="0.05"/>
    <x v="2"/>
    <s v="Yes"/>
    <s v="Add new account"/>
    <x v="0"/>
    <s v="Friday"/>
  </r>
  <r>
    <d v="2024-02-02T00:00:00"/>
    <x v="0"/>
    <s v="Bookkeeping"/>
    <n v="0.05"/>
    <x v="6"/>
    <s v="Yes"/>
    <s v="Email/Inbox Management"/>
    <x v="0"/>
    <s v="Friday"/>
  </r>
  <r>
    <d v="2024-02-02T00:00:00"/>
    <x v="0"/>
    <s v="Bookkeeping"/>
    <n v="7.0000000000000007E-2"/>
    <x v="0"/>
    <s v="Yes"/>
    <s v="Emails"/>
    <x v="0"/>
    <s v="Friday"/>
  </r>
  <r>
    <d v="2024-02-02T00:00:00"/>
    <x v="0"/>
    <s v="Bookkeeping"/>
    <n v="0.13"/>
    <x v="62"/>
    <s v="Yes"/>
    <s v="Emails"/>
    <x v="0"/>
    <s v="Friday"/>
  </r>
  <r>
    <d v="2024-02-02T00:00:00"/>
    <x v="0"/>
    <s v="Bookkeeping"/>
    <n v="0.15"/>
    <x v="2"/>
    <s v="Yes"/>
    <s v="Email/Inbox Management and Review CoA"/>
    <x v="0"/>
    <s v="Friday"/>
  </r>
  <r>
    <d v="2024-02-02T00:00:00"/>
    <x v="0"/>
    <s v="Bookkeeping"/>
    <n v="0.15"/>
    <x v="1"/>
    <s v="Yes"/>
    <s v="Bank Reconciliation"/>
    <x v="0"/>
    <s v="Friday"/>
  </r>
  <r>
    <d v="2024-02-02T00:00:00"/>
    <x v="0"/>
    <s v="Bookkeeping"/>
    <n v="0.18"/>
    <x v="4"/>
    <s v="Yes"/>
    <s v="AP and Manual Journal"/>
    <x v="0"/>
    <s v="Friday"/>
  </r>
  <r>
    <d v="2024-02-02T00:00:00"/>
    <x v="0"/>
    <s v="Bookkeeping"/>
    <n v="0.25"/>
    <x v="62"/>
    <s v="Yes"/>
    <s v="Accounts Payable"/>
    <x v="0"/>
    <s v="Friday"/>
  </r>
  <r>
    <d v="2024-02-02T00:00:00"/>
    <x v="0"/>
    <s v="Bookkeeping"/>
    <n v="0.33"/>
    <x v="4"/>
    <s v="Yes"/>
    <s v="Bank Reconciliation"/>
    <x v="0"/>
    <s v="Friday"/>
  </r>
  <r>
    <d v="2024-02-02T00:00:00"/>
    <x v="0"/>
    <s v="Bookkeeping"/>
    <n v="0.33"/>
    <x v="2"/>
    <s v="Yes"/>
    <s v="Budget report"/>
    <x v="0"/>
    <s v="Friday"/>
  </r>
  <r>
    <d v="2024-02-02T00:00:00"/>
    <x v="0"/>
    <s v="Bookkeeping"/>
    <n v="0.4"/>
    <x v="3"/>
    <s v="Yes"/>
    <s v="Clear AP inbox and Submit bills for approval in Xero"/>
    <x v="0"/>
    <s v="Friday"/>
  </r>
  <r>
    <d v="2024-02-02T00:00:00"/>
    <x v="0"/>
    <s v="Bookkeeping"/>
    <n v="0.5"/>
    <x v="11"/>
    <s v="Yes"/>
    <s v="Bank Reconciliation"/>
    <x v="0"/>
    <s v="Friday"/>
  </r>
  <r>
    <d v="2024-02-02T00:00:00"/>
    <x v="0"/>
    <s v="Bookkeeping"/>
    <n v="0.87"/>
    <x v="6"/>
    <s v="Yes"/>
    <s v="Bank Reconciliation"/>
    <x v="0"/>
    <s v="Friday"/>
  </r>
  <r>
    <d v="2024-02-02T00:00:00"/>
    <x v="0"/>
    <s v="General"/>
    <n v="0.25"/>
    <x v="12"/>
    <s v="No"/>
    <s v="Afternoon Break"/>
    <x v="0"/>
    <s v="Friday"/>
  </r>
  <r>
    <d v="2024-02-02T00:00:00"/>
    <x v="0"/>
    <s v="General"/>
    <n v="0.25"/>
    <x v="12"/>
    <s v="No"/>
    <s v="Morning Break"/>
    <x v="0"/>
    <s v="Friday"/>
  </r>
  <r>
    <d v="2024-02-02T00:00:00"/>
    <x v="0"/>
    <s v="Management Reporting"/>
    <n v="1.52"/>
    <x v="2"/>
    <s v="Yes"/>
    <s v="Budget Report"/>
    <x v="0"/>
    <s v="Friday"/>
  </r>
  <r>
    <d v="2024-02-02T00:00:00"/>
    <x v="0"/>
    <s v="Meetings"/>
    <n v="0.83"/>
    <x v="12"/>
    <s v="No"/>
    <s v="Team Huddle"/>
    <x v="0"/>
    <s v="Friday"/>
  </r>
  <r>
    <d v="2024-02-02T00:00:00"/>
    <x v="0"/>
    <s v="Meetings"/>
    <n v="0.97"/>
    <x v="12"/>
    <s v="No"/>
    <s v="Team Meeting"/>
    <x v="0"/>
    <s v="Friday"/>
  </r>
  <r>
    <d v="2024-02-02T00:00:00"/>
    <x v="0"/>
    <s v="Payroll Processing"/>
    <n v="0.13"/>
    <x v="8"/>
    <s v="Yes"/>
    <m/>
    <x v="0"/>
    <s v="Friday"/>
  </r>
  <r>
    <d v="2024-02-02T00:00:00"/>
    <x v="0"/>
    <s v="Payroll Processing"/>
    <n v="0.53"/>
    <x v="13"/>
    <s v="Yes"/>
    <s v="Payroll Tax"/>
    <x v="0"/>
    <s v="Friday"/>
  </r>
  <r>
    <d v="2024-02-02T00:00:00"/>
    <x v="49"/>
    <s v="P&amp;C Advisory - Nordfab"/>
    <n v="0.33"/>
    <x v="63"/>
    <s v="Yes"/>
    <s v="Call with GM Correspondence re. recruitment"/>
    <x v="0"/>
    <s v="Friday"/>
  </r>
  <r>
    <d v="2024-02-02T00:00:00"/>
    <x v="1"/>
    <s v="Bookkeeping"/>
    <n v="1.17"/>
    <x v="64"/>
    <s v="Yes"/>
    <s v="reconcile CPDF/CDLOT2/CIPL loans, check emails and review/understand data"/>
    <x v="0"/>
    <s v="Friday"/>
  </r>
  <r>
    <d v="2024-02-02T00:00:00"/>
    <x v="1"/>
    <s v="General"/>
    <n v="0.12"/>
    <x v="12"/>
    <s v="No"/>
    <s v="chats"/>
    <x v="0"/>
    <s v="Friday"/>
  </r>
  <r>
    <d v="2024-02-02T00:00:00"/>
    <x v="1"/>
    <s v="General"/>
    <n v="0.23"/>
    <x v="12"/>
    <s v="No"/>
    <s v="check transpo allowance and coordinate with directs"/>
    <x v="0"/>
    <s v="Friday"/>
  </r>
  <r>
    <d v="2024-02-02T00:00:00"/>
    <x v="1"/>
    <s v="General"/>
    <n v="0.28000000000000003"/>
    <x v="12"/>
    <s v="No"/>
    <s v="chats, emails, capacity"/>
    <x v="0"/>
    <s v="Friday"/>
  </r>
  <r>
    <d v="2024-02-02T00:00:00"/>
    <x v="1"/>
    <s v="General"/>
    <n v="0.32"/>
    <x v="12"/>
    <s v="No"/>
    <s v="performance evaluation"/>
    <x v="0"/>
    <s v="Friday"/>
  </r>
  <r>
    <d v="2024-02-02T00:00:00"/>
    <x v="1"/>
    <s v="General"/>
    <n v="0.33"/>
    <x v="12"/>
    <s v="No"/>
    <s v="emails, chats/coordinate client deliverables"/>
    <x v="0"/>
    <s v="Friday"/>
  </r>
  <r>
    <d v="2024-02-02T00:00:00"/>
    <x v="1"/>
    <s v="General"/>
    <n v="0.35"/>
    <x v="12"/>
    <s v="No"/>
    <s v="coordinate client transfers, review capacity, EOM nomination"/>
    <x v="0"/>
    <s v="Friday"/>
  </r>
  <r>
    <d v="2024-02-02T00:00:00"/>
    <x v="1"/>
    <s v="General"/>
    <n v="0.48"/>
    <x v="12"/>
    <s v="No"/>
    <s v="performance eval, check handover sched and raise concerns"/>
    <x v="0"/>
    <s v="Friday"/>
  </r>
  <r>
    <d v="2024-02-02T00:00:00"/>
    <x v="1"/>
    <s v="General"/>
    <n v="0.53"/>
    <x v="12"/>
    <s v="No"/>
    <s v="SA interview"/>
    <x v="0"/>
    <s v="Friday"/>
  </r>
  <r>
    <d v="2024-02-02T00:00:00"/>
    <x v="1"/>
    <s v="General"/>
    <n v="1.22"/>
    <x v="12"/>
    <s v="No"/>
    <s v="Emails, chats, Asana, perf eval, break"/>
    <x v="0"/>
    <s v="Friday"/>
  </r>
  <r>
    <d v="2024-02-02T00:00:00"/>
    <x v="1"/>
    <s v="Meetings"/>
    <n v="0.15"/>
    <x v="12"/>
    <s v="No"/>
    <s v="call with Kate re Richbox "/>
    <x v="0"/>
    <s v="Friday"/>
  </r>
  <r>
    <d v="2024-02-02T00:00:00"/>
    <x v="1"/>
    <s v="Meetings"/>
    <n v="0.22"/>
    <x v="12"/>
    <s v="No"/>
    <s v="performance evaluation"/>
    <x v="0"/>
    <s v="Friday"/>
  </r>
  <r>
    <d v="2024-02-02T00:00:00"/>
    <x v="1"/>
    <s v="Meetings"/>
    <n v="0.55000000000000004"/>
    <x v="12"/>
    <s v="No"/>
    <s v="Resource catchup with Carly"/>
    <x v="0"/>
    <s v="Friday"/>
  </r>
  <r>
    <d v="2024-02-02T00:00:00"/>
    <x v="1"/>
    <s v="Meetings"/>
    <n v="0.67"/>
    <x v="12"/>
    <s v="No"/>
    <s v="Performance eval discussion with Charm"/>
    <x v="0"/>
    <s v="Friday"/>
  </r>
  <r>
    <d v="2024-02-02T00:00:00"/>
    <x v="1"/>
    <s v="Meetings"/>
    <n v="1.08"/>
    <x v="12"/>
    <s v="No"/>
    <s v="team huddle"/>
    <x v="0"/>
    <s v="Friday"/>
  </r>
  <r>
    <d v="2024-02-02T00:00:00"/>
    <x v="1"/>
    <s v="Payroll Processing"/>
    <n v="0.32"/>
    <x v="15"/>
    <s v="Yes"/>
    <m/>
    <x v="0"/>
    <s v="Friday"/>
  </r>
  <r>
    <d v="2024-02-02T00:00:00"/>
    <x v="2"/>
    <s v="Sick Leave"/>
    <n v="8"/>
    <x v="12"/>
    <s v="No"/>
    <s v="Sick Leave"/>
    <x v="0"/>
    <s v="Friday"/>
  </r>
  <r>
    <d v="2024-02-02T00:00:00"/>
    <x v="3"/>
    <s v="Business Development"/>
    <n v="8"/>
    <x v="12"/>
    <s v="No"/>
    <s v="continuation of all flows  multiple meetings for finalization of flows"/>
    <x v="0"/>
    <s v="Friday"/>
  </r>
  <r>
    <d v="2024-02-02T00:00:00"/>
    <x v="4"/>
    <s v="Business Development"/>
    <n v="9"/>
    <x v="12"/>
    <s v="No"/>
    <m/>
    <x v="0"/>
    <s v="Friday"/>
  </r>
  <r>
    <d v="2024-02-02T00:00:00"/>
    <x v="5"/>
    <s v="Bookkeeping"/>
    <n v="0.5"/>
    <x v="16"/>
    <s v="Yes"/>
    <s v="Processing of ad hoc payment "/>
    <x v="0"/>
    <s v="Friday"/>
  </r>
  <r>
    <d v="2024-02-02T00:00:00"/>
    <x v="5"/>
    <s v="Bookkeeping"/>
    <n v="0.75"/>
    <x v="16"/>
    <s v="Yes"/>
    <s v="Leave reports and balances "/>
    <x v="0"/>
    <s v="Friday"/>
  </r>
  <r>
    <d v="2024-02-02T00:00:00"/>
    <x v="5"/>
    <s v="Bookkeeping"/>
    <n v="1.75"/>
    <x v="16"/>
    <s v="Yes"/>
    <s v="Email Management "/>
    <x v="0"/>
    <s v="Friday"/>
  </r>
  <r>
    <d v="2024-02-02T00:00:00"/>
    <x v="5"/>
    <s v="Bookkeeping"/>
    <n v="4.2699999999999996"/>
    <x v="16"/>
    <s v="Yes"/>
    <s v="Creating Pending Lists of Invoices for the Month of January"/>
    <x v="0"/>
    <s v="Friday"/>
  </r>
  <r>
    <d v="2024-02-02T00:00:00"/>
    <x v="5"/>
    <s v="Meetings"/>
    <n v="1"/>
    <x v="12"/>
    <s v="No"/>
    <s v="Performance Evaluation Discussion with Ms, Ann "/>
    <x v="0"/>
    <s v="Friday"/>
  </r>
  <r>
    <d v="2024-02-02T00:00:00"/>
    <x v="6"/>
    <s v="Bookkeeping"/>
    <n v="1"/>
    <x v="17"/>
    <s v="Yes"/>
    <s v="Booked INvoices"/>
    <x v="0"/>
    <s v="Friday"/>
  </r>
  <r>
    <d v="2024-02-02T00:00:00"/>
    <x v="6"/>
    <s v="Bookkeeping"/>
    <n v="6.58"/>
    <x v="19"/>
    <s v="Yes"/>
    <s v="Booked Invoices Bank Reconciliation"/>
    <x v="0"/>
    <s v="Friday"/>
  </r>
  <r>
    <d v="2024-02-02T00:00:00"/>
    <x v="6"/>
    <s v="General"/>
    <n v="0.42"/>
    <x v="12"/>
    <s v="No"/>
    <s v="Sprout Checking XPM Asana Checking"/>
    <x v="0"/>
    <s v="Friday"/>
  </r>
  <r>
    <d v="2024-02-02T00:00:00"/>
    <x v="7"/>
    <s v="Automations"/>
    <n v="10.78"/>
    <x v="12"/>
    <s v="No"/>
    <m/>
    <x v="0"/>
    <s v="Friday"/>
  </r>
  <r>
    <d v="2024-02-02T00:00:00"/>
    <x v="10"/>
    <s v="Automations"/>
    <n v="9.0500000000000007"/>
    <x v="12"/>
    <s v="No"/>
    <s v="Connected Culture Automation Development and Testing. Payroll Journal Reports Generation. Lack Of Colors Report Generation."/>
    <x v="0"/>
    <s v="Friday"/>
  </r>
  <r>
    <d v="2024-02-02T00:00:00"/>
    <x v="11"/>
    <s v="Bookkeeping"/>
    <n v="0.17"/>
    <x v="22"/>
    <s v="No"/>
    <s v="checking account, reading invoicing process"/>
    <x v="0"/>
    <s v="Friday"/>
  </r>
  <r>
    <d v="2024-02-02T00:00:00"/>
    <x v="11"/>
    <s v="Bookkeeping"/>
    <n v="0.33"/>
    <x v="42"/>
    <s v="No"/>
    <s v="Viewing month end file, checking account"/>
    <x v="0"/>
    <s v="Friday"/>
  </r>
  <r>
    <d v="2024-02-02T00:00:00"/>
    <x v="11"/>
    <s v="Bookkeeping"/>
    <n v="0.57999999999999996"/>
    <x v="22"/>
    <s v="Yes"/>
    <s v="Loading bills"/>
    <x v="0"/>
    <s v="Friday"/>
  </r>
  <r>
    <d v="2024-02-02T00:00:00"/>
    <x v="11"/>
    <s v="Bookkeeping"/>
    <n v="1.08"/>
    <x v="42"/>
    <s v="Yes"/>
    <s v="Checking emails, loading bills, bank recon, month end tasks "/>
    <x v="0"/>
    <s v="Friday"/>
  </r>
  <r>
    <d v="2024-02-02T00:00:00"/>
    <x v="11"/>
    <s v="Bookkeeping"/>
    <n v="1.33"/>
    <x v="25"/>
    <s v="Yes"/>
    <s v="Weekly report, AP payment"/>
    <x v="0"/>
    <s v="Friday"/>
  </r>
  <r>
    <d v="2024-02-02T00:00:00"/>
    <x v="11"/>
    <s v="General"/>
    <n v="0.5"/>
    <x v="12"/>
    <s v="No"/>
    <s v="break"/>
    <x v="0"/>
    <s v="Friday"/>
  </r>
  <r>
    <d v="2024-02-02T00:00:00"/>
    <x v="11"/>
    <s v="Learning &amp; Development"/>
    <n v="2.83"/>
    <x v="12"/>
    <s v="No"/>
    <s v="Wyzed courses"/>
    <x v="0"/>
    <s v="Friday"/>
  </r>
  <r>
    <d v="2024-02-02T00:00:00"/>
    <x v="11"/>
    <s v="Meetings"/>
    <n v="1.17"/>
    <x v="12"/>
    <s v="No"/>
    <s v="Team huddle"/>
    <x v="0"/>
    <s v="Friday"/>
  </r>
  <r>
    <d v="2024-02-02T00:00:00"/>
    <x v="14"/>
    <s v="Bookkeeping"/>
    <n v="0.13"/>
    <x v="28"/>
    <s v="Yes"/>
    <s v="emails"/>
    <x v="0"/>
    <s v="Friday"/>
  </r>
  <r>
    <d v="2024-02-02T00:00:00"/>
    <x v="14"/>
    <s v="Bookkeeping"/>
    <n v="0.18"/>
    <x v="30"/>
    <s v="No"/>
    <s v="call w/ Ge re: volume of tasks"/>
    <x v="0"/>
    <s v="Friday"/>
  </r>
  <r>
    <d v="2024-02-02T00:00:00"/>
    <x v="14"/>
    <s v="Bookkeeping"/>
    <n v="0.47"/>
    <x v="34"/>
    <s v="Yes"/>
    <s v="queries"/>
    <x v="0"/>
    <s v="Friday"/>
  </r>
  <r>
    <d v="2024-02-02T00:00:00"/>
    <x v="14"/>
    <s v="Bookkeeping"/>
    <n v="0.82"/>
    <x v="30"/>
    <s v="No"/>
    <s v="call w/ Ge, scope analysis, teams"/>
    <x v="0"/>
    <s v="Friday"/>
  </r>
  <r>
    <d v="2024-02-02T00:00:00"/>
    <x v="14"/>
    <s v="Bookkeeping"/>
    <n v="1.02"/>
    <x v="30"/>
    <s v="No"/>
    <s v="scope analysis"/>
    <x v="0"/>
    <s v="Friday"/>
  </r>
  <r>
    <d v="2024-02-02T00:00:00"/>
    <x v="14"/>
    <s v="Business Development"/>
    <n v="0.23"/>
    <x v="12"/>
    <s v="Yes"/>
    <s v="mgmt reporting flowchart"/>
    <x v="0"/>
    <s v="Friday"/>
  </r>
  <r>
    <d v="2024-02-02T00:00:00"/>
    <x v="14"/>
    <s v="General"/>
    <n v="0.22"/>
    <x v="12"/>
    <s v="No"/>
    <s v="teams queries"/>
    <x v="0"/>
    <s v="Friday"/>
  </r>
  <r>
    <d v="2024-02-02T00:00:00"/>
    <x v="14"/>
    <s v="General"/>
    <n v="0.42"/>
    <x v="12"/>
    <s v="No"/>
    <s v="EOM, emails, reminders"/>
    <x v="0"/>
    <s v="Friday"/>
  </r>
  <r>
    <d v="2024-02-02T00:00:00"/>
    <x v="14"/>
    <s v="General"/>
    <n v="0.65"/>
    <x v="12"/>
    <s v="No"/>
    <s v="emails/teams/queries"/>
    <x v="0"/>
    <s v="Friday"/>
  </r>
  <r>
    <d v="2024-02-02T00:00:00"/>
    <x v="14"/>
    <s v="Learning &amp; Development"/>
    <n v="0.6"/>
    <x v="12"/>
    <s v="No"/>
    <s v="business writing and email etiquette to team GAX"/>
    <x v="0"/>
    <s v="Friday"/>
  </r>
  <r>
    <d v="2024-02-02T00:00:00"/>
    <x v="14"/>
    <s v="Management Reporting"/>
    <n v="0.53"/>
    <x v="42"/>
    <s v="Yes"/>
    <s v="BS rec query"/>
    <x v="0"/>
    <s v="Friday"/>
  </r>
  <r>
    <d v="2024-02-02T00:00:00"/>
    <x v="14"/>
    <s v="Management Reporting"/>
    <n v="0.7"/>
    <x v="28"/>
    <s v="Yes"/>
    <s v="rev re-alloc review"/>
    <x v="0"/>
    <s v="Friday"/>
  </r>
  <r>
    <d v="2024-02-02T00:00:00"/>
    <x v="14"/>
    <s v="Meetings"/>
    <n v="0.87"/>
    <x v="12"/>
    <s v="No"/>
    <s v="team GAX huddle"/>
    <x v="0"/>
    <s v="Friday"/>
  </r>
  <r>
    <d v="2024-02-02T00:00:00"/>
    <x v="14"/>
    <s v="Meetings"/>
    <n v="1.17"/>
    <x v="12"/>
    <s v="No"/>
    <s v="team Ann huddle"/>
    <x v="0"/>
    <s v="Friday"/>
  </r>
  <r>
    <d v="2024-02-02T00:00:00"/>
    <x v="15"/>
    <s v="General"/>
    <n v="9.48"/>
    <x v="12"/>
    <s v="No"/>
    <s v="- ATO Communication History - Emails to clients. - ASIC annual company reviews due date - Cleaned up files - (Moved to OneDrive, Filing). - February posters"/>
    <x v="0"/>
    <s v="Friday"/>
  </r>
  <r>
    <d v="2024-02-02T00:00:00"/>
    <x v="16"/>
    <s v="Bookkeeping"/>
    <n v="1.25"/>
    <x v="32"/>
    <s v="Yes"/>
    <s v="bank recon emails. checking of bs recon"/>
    <x v="0"/>
    <s v="Friday"/>
  </r>
  <r>
    <d v="2024-02-02T00:00:00"/>
    <x v="16"/>
    <s v="Bookkeeping"/>
    <n v="1.47"/>
    <x v="32"/>
    <s v="No"/>
    <s v="reviewing recorded hand over for month end tasks"/>
    <x v="0"/>
    <s v="Friday"/>
  </r>
  <r>
    <d v="2024-02-02T00:00:00"/>
    <x v="16"/>
    <s v="Bookkeeping - AP"/>
    <n v="1.35"/>
    <x v="33"/>
    <s v="Yes"/>
    <s v="export aba files"/>
    <x v="0"/>
    <s v="Friday"/>
  </r>
  <r>
    <d v="2024-02-02T00:00:00"/>
    <x v="16"/>
    <s v="Bookkeeping - AP"/>
    <n v="1.5"/>
    <x v="33"/>
    <s v="Yes"/>
    <s v="ap batch report"/>
    <x v="0"/>
    <s v="Friday"/>
  </r>
  <r>
    <d v="2024-02-02T00:00:00"/>
    <x v="16"/>
    <s v="General"/>
    <n v="0.25"/>
    <x v="53"/>
    <s v="No"/>
    <s v="break"/>
    <x v="0"/>
    <s v="Friday"/>
  </r>
  <r>
    <d v="2024-02-02T00:00:00"/>
    <x v="16"/>
    <s v="General"/>
    <n v="0.25"/>
    <x v="12"/>
    <s v="No"/>
    <s v="break"/>
    <x v="0"/>
    <s v="Friday"/>
  </r>
  <r>
    <d v="2024-02-02T00:00:00"/>
    <x v="16"/>
    <s v="Meetings"/>
    <n v="0.82"/>
    <x v="12"/>
    <s v="No"/>
    <s v="team meeting with Xavi"/>
    <x v="0"/>
    <s v="Friday"/>
  </r>
  <r>
    <d v="2024-02-02T00:00:00"/>
    <x v="16"/>
    <s v="Meetings"/>
    <n v="1.1200000000000001"/>
    <x v="12"/>
    <s v="No"/>
    <s v="team huddle"/>
    <x v="0"/>
    <s v="Friday"/>
  </r>
  <r>
    <d v="2024-02-02T00:00:00"/>
    <x v="17"/>
    <s v="Bookkeeping"/>
    <n v="0.1"/>
    <x v="35"/>
    <s v="Yes"/>
    <s v="Checking and sending emails"/>
    <x v="0"/>
    <s v="Friday"/>
  </r>
  <r>
    <d v="2024-02-02T00:00:00"/>
    <x v="17"/>
    <s v="Bookkeeping"/>
    <n v="0.48"/>
    <x v="34"/>
    <s v="Yes"/>
    <s v="Checking accounts"/>
    <x v="0"/>
    <s v="Friday"/>
  </r>
  <r>
    <d v="2024-02-02T00:00:00"/>
    <x v="17"/>
    <s v="Bookkeeping"/>
    <n v="1.07"/>
    <x v="35"/>
    <s v="Yes"/>
    <s v="Sales invoices"/>
    <x v="0"/>
    <s v="Friday"/>
  </r>
  <r>
    <d v="2024-02-02T00:00:00"/>
    <x v="17"/>
    <s v="Bookkeeping"/>
    <n v="4.43"/>
    <x v="34"/>
    <s v="Yes"/>
    <s v="Bank recs, recording of invoices"/>
    <x v="0"/>
    <s v="Friday"/>
  </r>
  <r>
    <d v="2024-02-02T00:00:00"/>
    <x v="17"/>
    <s v="Meetings"/>
    <n v="0.53"/>
    <x v="12"/>
    <s v="No"/>
    <s v="Interview - Senior Accountant"/>
    <x v="0"/>
    <s v="Friday"/>
  </r>
  <r>
    <d v="2024-02-02T00:00:00"/>
    <x v="17"/>
    <s v="Meetings"/>
    <n v="1.08"/>
    <x v="12"/>
    <s v="No"/>
    <s v="Team Huddle"/>
    <x v="0"/>
    <s v="Friday"/>
  </r>
  <r>
    <d v="2024-02-02T00:00:00"/>
    <x v="17"/>
    <s v="Payroll Processing"/>
    <n v="0.43"/>
    <x v="14"/>
    <s v="Yes"/>
    <s v="Checking leave balances"/>
    <x v="0"/>
    <s v="Friday"/>
  </r>
  <r>
    <d v="2024-02-02T00:00:00"/>
    <x v="18"/>
    <s v="Bookkeeping"/>
    <n v="0.5"/>
    <x v="65"/>
    <s v="Yes"/>
    <s v="BAS review"/>
    <x v="0"/>
    <s v="Friday"/>
  </r>
  <r>
    <d v="2024-02-02T00:00:00"/>
    <x v="18"/>
    <s v="Bookkeeping"/>
    <n v="1.1000000000000001"/>
    <x v="42"/>
    <s v="Yes"/>
    <s v="Balance Sheet Rec"/>
    <x v="0"/>
    <s v="Friday"/>
  </r>
  <r>
    <d v="2024-02-02T00:00:00"/>
    <x v="18"/>
    <s v="Bookkeeping"/>
    <n v="1.1499999999999999"/>
    <x v="65"/>
    <s v="Yes"/>
    <s v="recode transactions"/>
    <x v="0"/>
    <s v="Friday"/>
  </r>
  <r>
    <d v="2024-02-02T00:00:00"/>
    <x v="18"/>
    <s v="Bookkeeping"/>
    <n v="2.7"/>
    <x v="42"/>
    <s v="Yes"/>
    <s v="Reviewing accounts - Balance Sheet Rec as at 30 June 2023 in prep for EOFY checklist"/>
    <x v="0"/>
    <s v="Friday"/>
  </r>
  <r>
    <d v="2024-02-02T00:00:00"/>
    <x v="18"/>
    <s v="General"/>
    <n v="0.25"/>
    <x v="12"/>
    <s v="No"/>
    <s v="continue conversation with Z and Rac"/>
    <x v="0"/>
    <s v="Friday"/>
  </r>
  <r>
    <d v="2024-02-02T00:00:00"/>
    <x v="18"/>
    <s v="General"/>
    <n v="0.3"/>
    <x v="12"/>
    <s v="No"/>
    <s v="paid break"/>
    <x v="0"/>
    <s v="Friday"/>
  </r>
  <r>
    <d v="2024-02-02T00:00:00"/>
    <x v="18"/>
    <s v="General"/>
    <n v="0.37"/>
    <x v="12"/>
    <s v="No"/>
    <s v="emails, asana, chat with Rac and kate"/>
    <x v="0"/>
    <s v="Friday"/>
  </r>
  <r>
    <d v="2024-02-02T00:00:00"/>
    <x v="18"/>
    <s v="General"/>
    <n v="0.37"/>
    <x v="12"/>
    <s v="No"/>
    <s v="emails, chat with Shalini"/>
    <x v="0"/>
    <s v="Friday"/>
  </r>
  <r>
    <d v="2024-02-02T00:00:00"/>
    <x v="18"/>
    <s v="General"/>
    <n v="0.62"/>
    <x v="12"/>
    <s v="No"/>
    <s v="chat with Z about April's PIP, answer Rachele's queries on holdsworth"/>
    <x v="0"/>
    <s v="Friday"/>
  </r>
  <r>
    <d v="2024-02-02T00:00:00"/>
    <x v="18"/>
    <s v="Management Reporting"/>
    <n v="0.45"/>
    <x v="28"/>
    <s v="Yes"/>
    <s v="update financial report"/>
    <x v="0"/>
    <s v="Friday"/>
  </r>
  <r>
    <d v="2024-02-02T00:00:00"/>
    <x v="18"/>
    <s v="Payroll Processing"/>
    <n v="0.48"/>
    <x v="36"/>
    <s v="No"/>
    <s v="final pay queries from Rac"/>
    <x v="0"/>
    <s v="Friday"/>
  </r>
  <r>
    <d v="2024-02-02T00:00:00"/>
    <x v="19"/>
    <s v="Bookkeeping"/>
    <n v="0.25"/>
    <x v="3"/>
    <s v="Yes"/>
    <s v="Payroll Tax"/>
    <x v="0"/>
    <s v="Friday"/>
  </r>
  <r>
    <d v="2024-02-02T00:00:00"/>
    <x v="19"/>
    <s v="Bookkeeping"/>
    <n v="6.62"/>
    <x v="36"/>
    <s v="Yes"/>
    <m/>
    <x v="0"/>
    <s v="Friday"/>
  </r>
  <r>
    <d v="2024-02-02T00:00:00"/>
    <x v="19"/>
    <s v="Meetings"/>
    <n v="0.97"/>
    <x v="12"/>
    <s v="No"/>
    <s v="Team RJ huddle"/>
    <x v="0"/>
    <s v="Friday"/>
  </r>
  <r>
    <d v="2024-02-02T00:00:00"/>
    <x v="21"/>
    <s v="Annual Leave"/>
    <n v="4"/>
    <x v="12"/>
    <s v="No"/>
    <s v="Halfday Leave - 2nd half"/>
    <x v="0"/>
    <s v="Friday"/>
  </r>
  <r>
    <d v="2024-02-02T00:00:00"/>
    <x v="21"/>
    <s v="Bookkeeping"/>
    <n v="0.33"/>
    <x v="66"/>
    <s v="Yes"/>
    <m/>
    <x v="0"/>
    <s v="Friday"/>
  </r>
  <r>
    <d v="2024-02-02T00:00:00"/>
    <x v="21"/>
    <s v="Bookkeeping"/>
    <n v="0.47"/>
    <x v="39"/>
    <s v="Yes"/>
    <s v="Client queries, bank recon AP bills"/>
    <x v="0"/>
    <s v="Friday"/>
  </r>
  <r>
    <d v="2024-02-02T00:00:00"/>
    <x v="21"/>
    <s v="Bookkeeping"/>
    <n v="0.5"/>
    <x v="66"/>
    <s v="Yes"/>
    <s v="Send BS &amp; P&amp;L, open items, bank recon."/>
    <x v="0"/>
    <s v="Friday"/>
  </r>
  <r>
    <d v="2024-02-02T00:00:00"/>
    <x v="21"/>
    <s v="Bookkeeping"/>
    <n v="0.93"/>
    <x v="41"/>
    <s v="Yes"/>
    <s v="hubdoc cleanup, ap emails, employment hero sync and update of employee expense claims"/>
    <x v="0"/>
    <s v="Friday"/>
  </r>
  <r>
    <d v="2024-02-02T00:00:00"/>
    <x v="21"/>
    <s v="Bookkeeping"/>
    <n v="0.97"/>
    <x v="40"/>
    <s v="Yes"/>
    <s v="Month end BS recon"/>
    <x v="0"/>
    <s v="Friday"/>
  </r>
  <r>
    <d v="2024-02-02T00:00:00"/>
    <x v="21"/>
    <s v="Bookkeeping"/>
    <n v="1.17"/>
    <x v="28"/>
    <s v="Yes"/>
    <s v="Dext Prepare, AP Emails, bank recon"/>
    <x v="0"/>
    <s v="Friday"/>
  </r>
  <r>
    <d v="2024-02-02T00:00:00"/>
    <x v="21"/>
    <s v="Bookkeeping"/>
    <n v="1.18"/>
    <x v="28"/>
    <s v="Yes"/>
    <m/>
    <x v="0"/>
    <s v="Friday"/>
  </r>
  <r>
    <d v="2024-02-02T00:00:00"/>
    <x v="22"/>
    <s v="Automations"/>
    <n v="8"/>
    <x v="12"/>
    <s v="No"/>
    <s v="Fintech Equity Pty Ltd - Bank Reconciliation Automation"/>
    <x v="0"/>
    <s v="Friday"/>
  </r>
  <r>
    <d v="2024-02-02T00:00:00"/>
    <x v="23"/>
    <s v="Automations"/>
    <n v="8"/>
    <x v="12"/>
    <s v="No"/>
    <m/>
    <x v="0"/>
    <s v="Friday"/>
  </r>
  <r>
    <d v="2024-02-02T00:00:00"/>
    <x v="24"/>
    <s v="Automations"/>
    <n v="4"/>
    <x v="12"/>
    <s v="No"/>
    <s v="Run: LOC Run: Holdsworth Automation Run: Skylife Trial Balance and CashRaw "/>
    <x v="0"/>
    <s v="Friday"/>
  </r>
  <r>
    <d v="2024-02-02T00:00:00"/>
    <x v="25"/>
    <s v="Bookkeeping"/>
    <n v="7.0000000000000007E-2"/>
    <x v="42"/>
    <s v="Yes"/>
    <s v="Check Google email link and reply to Lucia - unable to access"/>
    <x v="0"/>
    <s v="Friday"/>
  </r>
  <r>
    <d v="2024-02-02T00:00:00"/>
    <x v="25"/>
    <s v="Bookkeeping"/>
    <n v="0.17"/>
    <x v="67"/>
    <s v="Yes"/>
    <s v="Check bank and contact Tyson again"/>
    <x v="0"/>
    <s v="Friday"/>
  </r>
  <r>
    <d v="2024-02-02T00:00:00"/>
    <x v="25"/>
    <s v="Bookkeeping"/>
    <n v="0.33"/>
    <x v="24"/>
    <s v="Yes"/>
    <s v="Invoicing"/>
    <x v="0"/>
    <s v="Friday"/>
  </r>
  <r>
    <d v="2024-02-02T00:00:00"/>
    <x v="25"/>
    <s v="Bookkeeping"/>
    <n v="0.45"/>
    <x v="24"/>
    <s v="Yes"/>
    <s v="Various superannuation issues / setup / logements"/>
    <x v="0"/>
    <s v="Friday"/>
  </r>
  <r>
    <d v="2024-02-02T00:00:00"/>
    <x v="25"/>
    <s v="Business Development"/>
    <n v="0.2"/>
    <x v="12"/>
    <s v="Yes"/>
    <s v=" Asana task, VM to Nick at Freedom boating, messages to Nick, return call with client"/>
    <x v="0"/>
    <s v="Friday"/>
  </r>
  <r>
    <d v="2024-02-02T00:00:00"/>
    <x v="25"/>
    <s v="Client Admin"/>
    <n v="0.25"/>
    <x v="12"/>
    <s v="No"/>
    <s v="Richbox conversation with Ann re fixed fee and allocations / review requried for Mary Ann"/>
    <x v="0"/>
    <s v="Friday"/>
  </r>
  <r>
    <d v="2024-02-02T00:00:00"/>
    <x v="25"/>
    <s v="Client Admin"/>
    <n v="0.25"/>
    <x v="12"/>
    <s v="No"/>
    <s v="Task management and delegations - IAM systems, RSVP, organising file access etc."/>
    <x v="0"/>
    <s v="Friday"/>
  </r>
  <r>
    <d v="2024-02-02T00:00:00"/>
    <x v="25"/>
    <s v="Client Manager"/>
    <n v="0.22"/>
    <x v="15"/>
    <s v="Yes"/>
    <s v="Email to Nicole re bonus / profit share scheme"/>
    <x v="0"/>
    <s v="Friday"/>
  </r>
  <r>
    <d v="2024-02-02T00:00:00"/>
    <x v="25"/>
    <s v="Client Manager"/>
    <n v="0.27"/>
    <x v="32"/>
    <s v="Yes"/>
    <s v="Chat to Ge re NZD paypal, call and leave VM for Emma, follow up with email"/>
    <x v="0"/>
    <s v="Friday"/>
  </r>
  <r>
    <d v="2024-02-02T00:00:00"/>
    <x v="25"/>
    <s v="General"/>
    <n v="0.08"/>
    <x v="12"/>
    <s v="No"/>
    <s v="Email and Asana"/>
    <x v="0"/>
    <s v="Friday"/>
  </r>
  <r>
    <d v="2024-02-02T00:00:00"/>
    <x v="25"/>
    <s v="General"/>
    <n v="0.08"/>
    <x v="12"/>
    <s v="No"/>
    <s v="Emails"/>
    <x v="0"/>
    <s v="Friday"/>
  </r>
  <r>
    <d v="2024-02-02T00:00:00"/>
    <x v="25"/>
    <s v="General"/>
    <n v="0.12"/>
    <x v="12"/>
    <s v="No"/>
    <s v="Emails and response to Angela re chasing invoices."/>
    <x v="0"/>
    <s v="Friday"/>
  </r>
  <r>
    <d v="2024-02-02T00:00:00"/>
    <x v="25"/>
    <s v="General"/>
    <n v="0.2"/>
    <x v="12"/>
    <s v="No"/>
    <s v="TEams message to Nick"/>
    <x v="0"/>
    <s v="Friday"/>
  </r>
  <r>
    <d v="2024-02-02T00:00:00"/>
    <x v="25"/>
    <s v="General"/>
    <n v="0.32"/>
    <x v="12"/>
    <s v="No"/>
    <s v="EOM, Teams messages, asana tasks"/>
    <x v="0"/>
    <s v="Friday"/>
  </r>
  <r>
    <d v="2024-02-02T00:00:00"/>
    <x v="25"/>
    <s v="General"/>
    <n v="0.5"/>
    <x v="12"/>
    <s v="No"/>
    <s v="Teams messages and calendar - rearrange BX meetings"/>
    <x v="0"/>
    <s v="Friday"/>
  </r>
  <r>
    <d v="2024-02-02T00:00:00"/>
    <x v="25"/>
    <s v="IAS/BAS Preparation &amp; Lodgement - Oct-Dec"/>
    <n v="0.05"/>
    <x v="65"/>
    <s v="Yes"/>
    <s v="Access to file for Nica"/>
    <x v="0"/>
    <s v="Friday"/>
  </r>
  <r>
    <d v="2024-02-02T00:00:00"/>
    <x v="25"/>
    <s v="Out-of-Scope Services"/>
    <n v="0.05"/>
    <x v="44"/>
    <s v="Yes"/>
    <s v="Check bank - still no funds "/>
    <x v="0"/>
    <s v="Friday"/>
  </r>
  <r>
    <d v="2024-02-02T00:00:00"/>
    <x v="25"/>
    <s v="Out-of-Scope Services"/>
    <n v="0.18"/>
    <x v="44"/>
    <s v="Yes"/>
    <s v="Load payments to bank, create spreadsheet"/>
    <x v="0"/>
    <s v="Friday"/>
  </r>
  <r>
    <d v="2024-02-02T00:00:00"/>
    <x v="25"/>
    <s v="Out-of-Scope Services"/>
    <n v="0.43"/>
    <x v="44"/>
    <s v="Yes"/>
    <s v="Add to ATO portal Tax registrations PAYG and GST - update Xero settings Set up STP reporting, file payruns, message Tyson email team re compliance tasks"/>
    <x v="0"/>
    <s v="Friday"/>
  </r>
  <r>
    <d v="2024-02-02T00:00:00"/>
    <x v="25"/>
    <s v="Payroll Processing"/>
    <n v="0.13"/>
    <x v="37"/>
    <s v="Yes"/>
    <s v="Payslip information re Nick Taylor - inbox"/>
    <x v="0"/>
    <s v="Friday"/>
  </r>
  <r>
    <d v="2024-02-02T00:00:00"/>
    <x v="25"/>
    <s v="Payroll Processing"/>
    <n v="0.42"/>
    <x v="22"/>
    <s v="Yes"/>
    <s v="Superannuation processing - update employee details and submit batch, email client, report issues"/>
    <x v="0"/>
    <s v="Friday"/>
  </r>
  <r>
    <d v="2024-02-02T00:00:00"/>
    <x v="25"/>
    <s v="Payroll Processing"/>
    <n v="0.5"/>
    <x v="46"/>
    <s v="Yes"/>
    <s v="Call with Steven, update termination payruns to two separate runs, do reports, email client with info. Setup Feb payroll exceptions sheet to ensure Diana is not paid again "/>
    <x v="0"/>
    <s v="Friday"/>
  </r>
  <r>
    <d v="2024-02-02T00:00:00"/>
    <x v="25"/>
    <s v="Payroll Processing"/>
    <n v="0.57999999999999996"/>
    <x v="37"/>
    <s v="Yes"/>
    <s v="REview query from Mahendra re PAYG ROL amount adn respond to email Follow up Andrew re costing discussion"/>
    <x v="0"/>
    <s v="Friday"/>
  </r>
  <r>
    <d v="2024-02-02T00:00:00"/>
    <x v="26"/>
    <s v="Client Meeting"/>
    <n v="0.13"/>
    <x v="12"/>
    <s v="No"/>
    <s v=" BAS updates"/>
    <x v="0"/>
    <s v="Friday"/>
  </r>
  <r>
    <d v="2024-02-02T00:00:00"/>
    <x v="26"/>
    <s v="Company Tax Returns"/>
    <n v="0.25"/>
    <x v="56"/>
    <s v="Yes"/>
    <s v="Providing reports to Sam"/>
    <x v="0"/>
    <s v="Friday"/>
  </r>
  <r>
    <d v="2024-02-02T00:00:00"/>
    <x v="26"/>
    <s v="Company Tax Returns"/>
    <n v="0.3"/>
    <x v="56"/>
    <s v="Yes"/>
    <s v="Attending to queries and response to email"/>
    <x v="0"/>
    <s v="Friday"/>
  </r>
  <r>
    <d v="2024-02-02T00:00:00"/>
    <x v="26"/>
    <s v="General"/>
    <n v="0.25"/>
    <x v="12"/>
    <s v="No"/>
    <s v="15 mins coffee breaks as paid per Labor Code of the Philippines, Article 85. ( afternoon Break )"/>
    <x v="0"/>
    <s v="Friday"/>
  </r>
  <r>
    <d v="2024-02-02T00:00:00"/>
    <x v="26"/>
    <s v="General"/>
    <n v="0.25"/>
    <x v="12"/>
    <s v="No"/>
    <s v="15 mins coffee breaks as paid per Labor Code of the Philippines, Article 85. ( Morning Break )"/>
    <x v="0"/>
    <s v="Friday"/>
  </r>
  <r>
    <d v="2024-02-02T00:00:00"/>
    <x v="26"/>
    <s v="General"/>
    <n v="0.28000000000000003"/>
    <x v="12"/>
    <s v="No"/>
    <s v="Morning emails"/>
    <x v="0"/>
    <s v="Friday"/>
  </r>
  <r>
    <d v="2024-02-02T00:00:00"/>
    <x v="26"/>
    <s v="General"/>
    <n v="0.33"/>
    <x v="12"/>
    <s v="No"/>
    <s v="Assisting Bern regarding ASANA flow and helping her for BAS quarterly project"/>
    <x v="0"/>
    <s v="Friday"/>
  </r>
  <r>
    <d v="2024-02-02T00:00:00"/>
    <x v="26"/>
    <s v="HR/Recuitment"/>
    <n v="3.73"/>
    <x v="12"/>
    <s v="No"/>
    <s v="Annual Physical Check up - required by Dexterous. Informed Shalini and HR staff. "/>
    <x v="0"/>
    <s v="Friday"/>
  </r>
  <r>
    <d v="2024-02-02T00:00:00"/>
    <x v="26"/>
    <s v="IAS/BAS Preparation &amp; Lodgement - Jul-Sep"/>
    <n v="1.2"/>
    <x v="68"/>
    <s v="Yes"/>
    <s v="Sep. 2023 BAS"/>
    <x v="0"/>
    <s v="Friday"/>
  </r>
  <r>
    <d v="2024-02-02T00:00:00"/>
    <x v="26"/>
    <s v="IAS/BAS Preparation &amp; Lodgement - Oct-Dec"/>
    <n v="1.2"/>
    <x v="35"/>
    <s v="Yes"/>
    <s v="Dec. 2023 BAS"/>
    <x v="0"/>
    <s v="Friday"/>
  </r>
  <r>
    <d v="2024-02-02T00:00:00"/>
    <x v="26"/>
    <s v="Meetings"/>
    <n v="0.08"/>
    <x v="12"/>
    <s v="No"/>
    <s v="Attending to Irish's query."/>
    <x v="0"/>
    <s v="Friday"/>
  </r>
  <r>
    <d v="2024-02-02T00:00:00"/>
    <x v="28"/>
    <s v="Bookkeeping"/>
    <n v="1.25"/>
    <x v="55"/>
    <s v="Yes"/>
    <s v="Bank Recs review"/>
    <x v="0"/>
    <s v="Friday"/>
  </r>
  <r>
    <d v="2024-02-02T00:00:00"/>
    <x v="28"/>
    <s v="Bookkeeping"/>
    <n v="3.88"/>
    <x v="16"/>
    <s v="Yes"/>
    <m/>
    <x v="0"/>
    <s v="Friday"/>
  </r>
  <r>
    <d v="2024-02-02T00:00:00"/>
    <x v="28"/>
    <s v="Meetings"/>
    <n v="1.08"/>
    <x v="12"/>
    <s v="No"/>
    <s v="Team Huddle"/>
    <x v="0"/>
    <s v="Friday"/>
  </r>
  <r>
    <d v="2024-02-02T00:00:00"/>
    <x v="28"/>
    <s v="Payroll Processing"/>
    <n v="2.4"/>
    <x v="32"/>
    <s v="Yes"/>
    <s v="Call with ATO "/>
    <x v="0"/>
    <s v="Friday"/>
  </r>
  <r>
    <d v="2024-02-02T00:00:00"/>
    <x v="29"/>
    <s v="Bookkeeping"/>
    <n v="0.25"/>
    <x v="49"/>
    <s v="Yes"/>
    <s v="Tax email to James &amp; Daniel"/>
    <x v="0"/>
    <s v="Friday"/>
  </r>
  <r>
    <d v="2024-02-02T00:00:00"/>
    <x v="30"/>
    <s v="Debt Collection"/>
    <n v="2"/>
    <x v="16"/>
    <s v="Yes"/>
    <m/>
    <x v="0"/>
    <s v="Friday"/>
  </r>
  <r>
    <d v="2024-02-02T00:00:00"/>
    <x v="30"/>
    <s v="Debt Collection"/>
    <n v="4"/>
    <x v="12"/>
    <s v="Yes"/>
    <m/>
    <x v="0"/>
    <s v="Friday"/>
  </r>
  <r>
    <d v="2024-02-02T00:00:00"/>
    <x v="30"/>
    <s v="General"/>
    <n v="0.63"/>
    <x v="12"/>
    <s v="No"/>
    <s v="Email clean up"/>
    <x v="0"/>
    <s v="Friday"/>
  </r>
  <r>
    <d v="2024-02-02T00:00:00"/>
    <x v="30"/>
    <s v="Meetings"/>
    <n v="0.25"/>
    <x v="12"/>
    <s v="No"/>
    <s v="Meeting with Ann"/>
    <x v="0"/>
    <s v="Friday"/>
  </r>
  <r>
    <d v="2024-02-02T00:00:00"/>
    <x v="30"/>
    <s v="Meetings"/>
    <n v="1.1200000000000001"/>
    <x v="12"/>
    <s v="No"/>
    <s v="Huddle"/>
    <x v="0"/>
    <s v="Friday"/>
  </r>
  <r>
    <d v="2024-02-02T00:00:00"/>
    <x v="31"/>
    <s v="Adhoc Support &amp; Advice"/>
    <n v="0.35"/>
    <x v="16"/>
    <s v="Yes"/>
    <s v="call with jordan stage 2 automation dashboard"/>
    <x v="0"/>
    <s v="Friday"/>
  </r>
  <r>
    <d v="2024-02-02T00:00:00"/>
    <x v="31"/>
    <s v="General"/>
    <n v="0.95"/>
    <x v="12"/>
    <s v="No"/>
    <s v="perf eval Rejie, Gen, Mel"/>
    <x v="0"/>
    <s v="Friday"/>
  </r>
  <r>
    <d v="2024-02-02T00:00:00"/>
    <x v="31"/>
    <s v="General"/>
    <n v="0.98"/>
    <x v="12"/>
    <s v="No"/>
    <s v="catch up Mel"/>
    <x v="0"/>
    <s v="Friday"/>
  </r>
  <r>
    <d v="2024-02-02T00:00:00"/>
    <x v="31"/>
    <s v="Management Reporting"/>
    <n v="0.85"/>
    <x v="16"/>
    <s v="Yes"/>
    <s v="month-end / meeting with James and Rose"/>
    <x v="0"/>
    <s v="Friday"/>
  </r>
  <r>
    <d v="2024-02-02T00:00:00"/>
    <x v="31"/>
    <s v="Management Reporting"/>
    <n v="2.57"/>
    <x v="16"/>
    <s v="Yes"/>
    <s v="CF / emails / account reconciliation"/>
    <x v="0"/>
    <s v="Friday"/>
  </r>
  <r>
    <d v="2024-02-02T00:00:00"/>
    <x v="31"/>
    <s v="Management Reporting"/>
    <n v="3.65"/>
    <x v="12"/>
    <s v="No"/>
    <s v="Branch month-end"/>
    <x v="0"/>
    <s v="Friday"/>
  </r>
  <r>
    <d v="2024-02-02T00:00:00"/>
    <x v="32"/>
    <s v="Bookkeeping"/>
    <n v="1.72"/>
    <x v="51"/>
    <s v="Yes"/>
    <s v="Calculate Affiliate Program Emily Traves Calculate Affiliate Program The Salty Blonde Calculate Affiliate Program Dede Raad bills Raise to Xero Import Paypal Currencies"/>
    <x v="0"/>
    <s v="Friday"/>
  </r>
  <r>
    <d v="2024-02-02T00:00:00"/>
    <x v="32"/>
    <s v="Bookkeeping"/>
    <n v="5.13"/>
    <x v="51"/>
    <s v="Yes"/>
    <s v="Email Management  Bills raise to xero approving sales to a2x Bank reconciliation to BM LOC Catch up with MS. Rose 52 mins Import CBA 7334 "/>
    <x v="0"/>
    <s v="Friday"/>
  </r>
  <r>
    <d v="2024-02-02T00:00:00"/>
    <x v="32"/>
    <s v="General"/>
    <n v="0.22"/>
    <x v="12"/>
    <s v="No"/>
    <s v="Break"/>
    <x v="0"/>
    <s v="Friday"/>
  </r>
  <r>
    <d v="2024-02-02T00:00:00"/>
    <x v="32"/>
    <s v="Meetings"/>
    <n v="0.93"/>
    <x v="12"/>
    <s v="No"/>
    <s v="Team Huddle"/>
    <x v="0"/>
    <s v="Friday"/>
  </r>
  <r>
    <d v="2024-02-02T00:00:00"/>
    <x v="33"/>
    <s v="IT"/>
    <n v="9"/>
    <x v="12"/>
    <s v="No"/>
    <s v="IT &amp; Security"/>
    <x v="0"/>
    <s v="Friday"/>
  </r>
  <r>
    <d v="2024-02-02T00:00:00"/>
    <x v="34"/>
    <s v="Bookkeeping"/>
    <n v="0.56999999999999995"/>
    <x v="43"/>
    <s v="Yes"/>
    <s v="Email Management Bills Processing from Hubdoc to Xero"/>
    <x v="0"/>
    <s v="Friday"/>
  </r>
  <r>
    <d v="2024-02-02T00:00:00"/>
    <x v="34"/>
    <s v="Bookkeeping"/>
    <n v="1.48"/>
    <x v="6"/>
    <s v="Yes"/>
    <s v="Balance Sheet Recon (ongoing)"/>
    <x v="0"/>
    <s v="Friday"/>
  </r>
  <r>
    <d v="2024-02-02T00:00:00"/>
    <x v="34"/>
    <s v="Bookkeeping"/>
    <n v="3.32"/>
    <x v="15"/>
    <s v="Yes"/>
    <s v="Email Management Invoice processing  Bills Processing Processing of urgent payment "/>
    <x v="0"/>
    <s v="Friday"/>
  </r>
  <r>
    <d v="2024-02-02T00:00:00"/>
    <x v="34"/>
    <s v="General"/>
    <n v="1.6"/>
    <x v="12"/>
    <s v="No"/>
    <s v="Email Management Asana Clean Up "/>
    <x v="0"/>
    <s v="Friday"/>
  </r>
  <r>
    <d v="2024-02-02T00:00:00"/>
    <x v="34"/>
    <s v="Meetings"/>
    <n v="1.08"/>
    <x v="12"/>
    <s v="No"/>
    <s v="Team Ann Huddle Meeting "/>
    <x v="0"/>
    <s v="Friday"/>
  </r>
  <r>
    <d v="2024-02-02T00:00:00"/>
    <x v="35"/>
    <s v="Accounts"/>
    <n v="0.18"/>
    <x v="53"/>
    <s v="No"/>
    <s v="Manual journal for Jovelita's Final pay"/>
    <x v="0"/>
    <s v="Friday"/>
  </r>
  <r>
    <d v="2024-02-02T00:00:00"/>
    <x v="35"/>
    <s v="Accounts"/>
    <n v="0.23"/>
    <x v="12"/>
    <s v="No"/>
    <s v="Month end schedule updates"/>
    <x v="0"/>
    <s v="Friday"/>
  </r>
  <r>
    <d v="2024-02-02T00:00:00"/>
    <x v="35"/>
    <s v="Accounts"/>
    <n v="0.3"/>
    <x v="69"/>
    <s v="No"/>
    <s v="Process bank recs"/>
    <x v="0"/>
    <s v="Friday"/>
  </r>
  <r>
    <d v="2024-02-02T00:00:00"/>
    <x v="35"/>
    <s v="Accounts"/>
    <n v="0.5"/>
    <x v="53"/>
    <s v="No"/>
    <s v="Bank recs update for all accounts"/>
    <x v="0"/>
    <s v="Friday"/>
  </r>
  <r>
    <d v="2024-02-02T00:00:00"/>
    <x v="35"/>
    <s v="Accounts"/>
    <n v="0.56999999999999995"/>
    <x v="53"/>
    <s v="No"/>
    <s v="Process payments for Ms Tess and request to Nick"/>
    <x v="0"/>
    <s v="Friday"/>
  </r>
  <r>
    <d v="2024-02-02T00:00:00"/>
    <x v="35"/>
    <s v="Accounts"/>
    <n v="1.43"/>
    <x v="12"/>
    <s v="No"/>
    <s v="Other adhoc tasks and billing invoices/payables to settle"/>
    <x v="0"/>
    <s v="Friday"/>
  </r>
  <r>
    <d v="2024-02-02T00:00:00"/>
    <x v="35"/>
    <s v="Accounts"/>
    <n v="3.53"/>
    <x v="12"/>
    <s v="No"/>
    <s v="Various email responses/Catch up emails/Process billings/coordinates"/>
    <x v="0"/>
    <s v="Friday"/>
  </r>
  <r>
    <d v="2024-02-02T00:00:00"/>
    <x v="35"/>
    <s v="Meetings"/>
    <n v="1.78"/>
    <x v="53"/>
    <s v="No"/>
    <s v="1 on 1 with Ms Con"/>
    <x v="0"/>
    <s v="Friday"/>
  </r>
  <r>
    <d v="2024-02-02T00:00:00"/>
    <x v="35"/>
    <s v="Payroll Processing"/>
    <n v="0.97"/>
    <x v="53"/>
    <s v="No"/>
    <s v="Payroll dispute checking/coordination"/>
    <x v="0"/>
    <s v="Friday"/>
  </r>
  <r>
    <d v="2024-02-02T00:00:00"/>
    <x v="35"/>
    <s v="Payroll Processing"/>
    <n v="1.22"/>
    <x v="53"/>
    <s v="No"/>
    <s v="Final pay re-computation and other working papers for Jovelita Dadulla"/>
    <x v="0"/>
    <s v="Friday"/>
  </r>
  <r>
    <d v="2024-02-02T00:00:00"/>
    <x v="36"/>
    <s v="Web"/>
    <n v="10"/>
    <x v="12"/>
    <s v="Yes"/>
    <s v="✅ fixed the admin notification for the Payroll Questionnaire ✅ uninstalled Google SiteKit for managing the Tags ✅ submitted the design for coding and to be updated the copy  🟨 Bing Business to publish Dexterous Group on Feb 3 "/>
    <x v="0"/>
    <s v="Friday"/>
  </r>
  <r>
    <d v="2024-02-02T00:00:00"/>
    <x v="38"/>
    <s v="Client Manager"/>
    <n v="0.18"/>
    <x v="2"/>
    <s v="No"/>
    <s v="emails, teams, Asana"/>
    <x v="0"/>
    <s v="Friday"/>
  </r>
  <r>
    <d v="2024-02-02T00:00:00"/>
    <x v="38"/>
    <s v="Client Manager"/>
    <n v="0.5"/>
    <x v="2"/>
    <s v="No"/>
    <s v="TasmanAgri Xero research (tons)"/>
    <x v="0"/>
    <s v="Friday"/>
  </r>
  <r>
    <d v="2024-02-02T00:00:00"/>
    <x v="38"/>
    <s v="Client Manager"/>
    <n v="1.8"/>
    <x v="2"/>
    <s v="No"/>
    <s v="Fathom"/>
    <x v="0"/>
    <s v="Friday"/>
  </r>
  <r>
    <d v="2024-02-02T00:00:00"/>
    <x v="38"/>
    <s v="General"/>
    <n v="3.52"/>
    <x v="12"/>
    <s v="No"/>
    <s v="emails, teams, Asana"/>
    <x v="0"/>
    <s v="Friday"/>
  </r>
  <r>
    <d v="2024-02-02T00:00:00"/>
    <x v="39"/>
    <s v="Bookkeeping"/>
    <n v="0.35"/>
    <x v="14"/>
    <s v="Yes"/>
    <s v="BS recs"/>
    <x v="0"/>
    <s v="Friday"/>
  </r>
  <r>
    <d v="2024-02-02T00:00:00"/>
    <x v="39"/>
    <s v="Bookkeeping"/>
    <n v="0.93"/>
    <x v="55"/>
    <s v="Yes"/>
    <s v="emails &amp; review all Aged payables in old accounts"/>
    <x v="0"/>
    <s v="Friday"/>
  </r>
  <r>
    <d v="2024-02-02T00:00:00"/>
    <x v="39"/>
    <s v="Bookkeeping"/>
    <n v="0.98"/>
    <x v="14"/>
    <s v="Yes"/>
    <s v="Dec 2023 BS Recs"/>
    <x v="0"/>
    <s v="Friday"/>
  </r>
  <r>
    <d v="2024-02-02T00:00:00"/>
    <x v="39"/>
    <s v="Bookkeeping"/>
    <n v="1.1000000000000001"/>
    <x v="55"/>
    <s v="Yes"/>
    <s v="emails, awaiting approval update"/>
    <x v="0"/>
    <s v="Friday"/>
  </r>
  <r>
    <d v="2024-02-02T00:00:00"/>
    <x v="39"/>
    <s v="Bookkeeping"/>
    <n v="2.27"/>
    <x v="14"/>
    <s v="Yes"/>
    <m/>
    <x v="0"/>
    <s v="Friday"/>
  </r>
  <r>
    <d v="2024-02-02T00:00:00"/>
    <x v="39"/>
    <s v="General"/>
    <n v="0.18"/>
    <x v="12"/>
    <s v="No"/>
    <s v="asana"/>
    <x v="0"/>
    <s v="Friday"/>
  </r>
  <r>
    <d v="2024-02-02T00:00:00"/>
    <x v="39"/>
    <s v="General"/>
    <n v="0.18"/>
    <x v="12"/>
    <s v="No"/>
    <s v="email"/>
    <x v="0"/>
    <s v="Friday"/>
  </r>
  <r>
    <d v="2024-02-02T00:00:00"/>
    <x v="39"/>
    <s v="Meetings"/>
    <n v="1.1000000000000001"/>
    <x v="12"/>
    <s v="No"/>
    <s v="Team ANN"/>
    <x v="0"/>
    <s v="Friday"/>
  </r>
  <r>
    <d v="2024-02-02T00:00:00"/>
    <x v="40"/>
    <s v="Bookkeeping"/>
    <n v="0.38"/>
    <x v="3"/>
    <s v="Yes"/>
    <s v="Reviewed payroll tax "/>
    <x v="0"/>
    <s v="Friday"/>
  </r>
  <r>
    <d v="2024-02-02T00:00:00"/>
    <x v="40"/>
    <s v="General"/>
    <n v="0.28000000000000003"/>
    <x v="12"/>
    <s v="No"/>
    <s v="Dex emails"/>
    <x v="0"/>
    <s v="Friday"/>
  </r>
  <r>
    <d v="2024-02-02T00:00:00"/>
    <x v="40"/>
    <s v="Management Reporting"/>
    <n v="6.95"/>
    <x v="36"/>
    <s v="Yes"/>
    <m/>
    <x v="0"/>
    <s v="Friday"/>
  </r>
  <r>
    <d v="2024-02-02T00:00:00"/>
    <x v="40"/>
    <s v="Meetings"/>
    <n v="0.37"/>
    <x v="12"/>
    <s v="No"/>
    <s v="One on one with Ralph"/>
    <x v="0"/>
    <s v="Friday"/>
  </r>
  <r>
    <d v="2024-02-02T00:00:00"/>
    <x v="40"/>
    <s v="Meetings"/>
    <n v="1"/>
    <x v="12"/>
    <s v="No"/>
    <s v="Huddle"/>
    <x v="0"/>
    <s v="Friday"/>
  </r>
  <r>
    <d v="2024-02-02T00:00:00"/>
    <x v="41"/>
    <s v="General"/>
    <n v="1.33"/>
    <x v="12"/>
    <s v="No"/>
    <s v="Review of SA and IA applications"/>
    <x v="0"/>
    <s v="Friday"/>
  </r>
  <r>
    <d v="2024-02-02T00:00:00"/>
    <x v="41"/>
    <s v="General"/>
    <n v="1.48"/>
    <x v="12"/>
    <s v="No"/>
    <s v="Update on profitability worksheet Team huddle Asana cleanup "/>
    <x v="0"/>
    <s v="Friday"/>
  </r>
  <r>
    <d v="2024-02-02T00:00:00"/>
    <x v="41"/>
    <s v="General"/>
    <n v="2.38"/>
    <x v="12"/>
    <s v="No"/>
    <s v="Capacity update considering confirmed and potential attrition  Client profitability report continued "/>
    <x v="0"/>
    <s v="Friday"/>
  </r>
  <r>
    <d v="2024-02-02T00:00:00"/>
    <x v="41"/>
    <s v="General"/>
    <n v="2.73"/>
    <x v="12"/>
    <s v="No"/>
    <m/>
    <x v="0"/>
    <s v="Friday"/>
  </r>
  <r>
    <d v="2024-02-02T00:00:00"/>
    <x v="41"/>
    <s v="Meetings"/>
    <n v="0.4"/>
    <x v="12"/>
    <s v="No"/>
    <s v="1:1 Grow coaching - Rachele"/>
    <x v="0"/>
    <s v="Friday"/>
  </r>
  <r>
    <d v="2024-02-02T00:00:00"/>
    <x v="41"/>
    <s v="Meetings"/>
    <n v="0.48"/>
    <x v="12"/>
    <s v="No"/>
    <s v="Resource meeting with Carly and Anne"/>
    <x v="0"/>
    <s v="Friday"/>
  </r>
  <r>
    <d v="2024-02-02T00:00:00"/>
    <x v="41"/>
    <s v="Meetings"/>
    <n v="0.52"/>
    <x v="12"/>
    <s v="No"/>
    <s v="SA interview"/>
    <x v="0"/>
    <s v="Friday"/>
  </r>
  <r>
    <d v="2024-02-02T00:00:00"/>
    <x v="42"/>
    <s v="Bookkeeping"/>
    <n v="2.73"/>
    <x v="16"/>
    <s v="Yes"/>
    <s v="Top 10 Suppliers trend report"/>
    <x v="0"/>
    <s v="Friday"/>
  </r>
  <r>
    <d v="2024-02-02T00:00:00"/>
    <x v="42"/>
    <s v="Bookkeeping"/>
    <n v="4.3499999999999996"/>
    <x v="16"/>
    <s v="Yes"/>
    <m/>
    <x v="0"/>
    <s v="Friday"/>
  </r>
  <r>
    <d v="2024-02-02T00:00:00"/>
    <x v="42"/>
    <s v="Client Meeting"/>
    <n v="0.63"/>
    <x v="16"/>
    <s v="Yes"/>
    <s v="Meeting with Daniela (Admin Team)"/>
    <x v="0"/>
    <s v="Friday"/>
  </r>
  <r>
    <d v="2024-02-02T00:00:00"/>
    <x v="42"/>
    <s v="Meetings"/>
    <n v="1.03"/>
    <x v="12"/>
    <s v="No"/>
    <s v="Weekly Huddle"/>
    <x v="0"/>
    <s v="Friday"/>
  </r>
  <r>
    <d v="2024-02-02T00:00:00"/>
    <x v="43"/>
    <s v="Bookkeeping"/>
    <n v="0.22"/>
    <x v="18"/>
    <s v="Yes"/>
    <s v="Call with Charmie re Website costings"/>
    <x v="0"/>
    <s v="Friday"/>
  </r>
  <r>
    <d v="2024-02-02T00:00:00"/>
    <x v="43"/>
    <s v="Bookkeeping"/>
    <n v="0.52"/>
    <x v="51"/>
    <s v="Yes"/>
    <s v="Call with Maan to fix ASIC bill"/>
    <x v="0"/>
    <s v="Friday"/>
  </r>
  <r>
    <d v="2024-02-02T00:00:00"/>
    <x v="43"/>
    <s v="Bookkeeping"/>
    <n v="0.88"/>
    <x v="51"/>
    <s v="Yes"/>
    <s v="Weekly catch up with Maan, answer her queries, month end tasks list, etc"/>
    <x v="0"/>
    <s v="Friday"/>
  </r>
  <r>
    <d v="2024-02-02T00:00:00"/>
    <x v="43"/>
    <s v="General"/>
    <n v="0.25"/>
    <x v="12"/>
    <s v="No"/>
    <s v="Emails, teams messages, Asana, etc"/>
    <x v="0"/>
    <s v="Friday"/>
  </r>
  <r>
    <d v="2024-02-02T00:00:00"/>
    <x v="43"/>
    <s v="General"/>
    <n v="0.42"/>
    <x v="12"/>
    <s v="No"/>
    <s v="Email Moody re Charmie's resignation, capacity file update for Ralph"/>
    <x v="0"/>
    <s v="Friday"/>
  </r>
  <r>
    <d v="2024-02-02T00:00:00"/>
    <x v="43"/>
    <s v="General"/>
    <n v="0.5"/>
    <x v="12"/>
    <s v="No"/>
    <s v="break"/>
    <x v="0"/>
    <s v="Friday"/>
  </r>
  <r>
    <d v="2024-02-02T00:00:00"/>
    <x v="43"/>
    <s v="General"/>
    <n v="0.67"/>
    <x v="12"/>
    <s v="No"/>
    <s v="Emails, updating Asana, teams messages"/>
    <x v="0"/>
    <s v="Friday"/>
  </r>
  <r>
    <d v="2024-02-02T00:00:00"/>
    <x v="43"/>
    <s v="IAS/BAS Preparation &amp; Lodgement - Oct-Dec"/>
    <n v="0.47"/>
    <x v="18"/>
    <s v="Yes"/>
    <s v="GST review, BAS checklist"/>
    <x v="0"/>
    <s v="Friday"/>
  </r>
  <r>
    <d v="2024-02-02T00:00:00"/>
    <x v="43"/>
    <s v="Meetings"/>
    <n v="1.33"/>
    <x v="12"/>
    <s v="No"/>
    <s v="Quick call with Ralph Team huddle"/>
    <x v="0"/>
    <s v="Friday"/>
  </r>
  <r>
    <d v="2024-02-02T00:00:00"/>
    <x v="43"/>
    <s v="Payroll Processing"/>
    <n v="0.23"/>
    <x v="16"/>
    <s v="Yes"/>
    <s v="Super processing"/>
    <x v="0"/>
    <s v="Friday"/>
  </r>
  <r>
    <d v="2024-02-02T00:00:00"/>
    <x v="43"/>
    <s v="Payroll Processing"/>
    <n v="0.4"/>
    <x v="16"/>
    <s v="Yes"/>
    <s v="Action payroll emails and queries"/>
    <x v="0"/>
    <s v="Friday"/>
  </r>
  <r>
    <d v="2024-02-02T00:00:00"/>
    <x v="43"/>
    <s v="Payroll Processing"/>
    <n v="0.85"/>
    <x v="37"/>
    <s v="Yes"/>
    <s v="Clean up payroll inbox, payroll journals, update live file with payroll updates"/>
    <x v="0"/>
    <s v="Friday"/>
  </r>
  <r>
    <d v="2024-02-02T00:00:00"/>
    <x v="43"/>
    <s v="Payroll Processing"/>
    <n v="1.3"/>
    <x v="16"/>
    <s v="Yes"/>
    <s v="Call with James re novated lease, respond to employees(individually) who have question on PH rate pay to explain the pay breakdown"/>
    <x v="0"/>
    <s v="Friday"/>
  </r>
  <r>
    <d v="2024-02-02T00:00:00"/>
    <x v="44"/>
    <s v="ASIC Compliance"/>
    <n v="0.42"/>
    <x v="10"/>
    <s v="Yes"/>
    <s v="Prepare ASIC form 211 and foreward to Phil for signing and for him to forward original form to ASIC"/>
    <x v="0"/>
    <s v="Friday"/>
  </r>
  <r>
    <d v="2024-02-02T00:00:00"/>
    <x v="44"/>
    <s v="Company Tax Returns"/>
    <n v="0.25"/>
    <x v="56"/>
    <s v="Yes"/>
    <s v="Prepare list of information required to prepare Dec 23 tax return and email to LM with proposed quote to consider"/>
    <x v="0"/>
    <s v="Friday"/>
  </r>
  <r>
    <d v="2024-02-02T00:00:00"/>
    <x v="44"/>
    <s v="FBT Return"/>
    <n v="0.08"/>
    <x v="50"/>
    <s v="Yes"/>
    <s v="Consider FBT issues and message Nick to discuss Check prior year lodgements"/>
    <x v="0"/>
    <s v="Friday"/>
  </r>
  <r>
    <d v="2024-02-02T00:00:00"/>
    <x v="45"/>
    <s v="Bookkeeping"/>
    <n v="1.1200000000000001"/>
    <x v="57"/>
    <s v="Yes"/>
    <s v="Inbox mgmt Bank rec AP Update cashflow file"/>
    <x v="0"/>
    <s v="Friday"/>
  </r>
  <r>
    <d v="2024-02-02T00:00:00"/>
    <x v="45"/>
    <s v="Bookkeeping"/>
    <n v="1.55"/>
    <x v="50"/>
    <s v="Yes"/>
    <s v="Inbox mgmt Bank rec Import bank transactions Month-end accounts review"/>
    <x v="0"/>
    <s v="Friday"/>
  </r>
  <r>
    <d v="2024-02-02T00:00:00"/>
    <x v="45"/>
    <s v="General"/>
    <n v="0.5"/>
    <x v="12"/>
    <s v="No"/>
    <s v="Paid break"/>
    <x v="0"/>
    <s v="Friday"/>
  </r>
  <r>
    <d v="2024-02-02T00:00:00"/>
    <x v="45"/>
    <s v="Meetings"/>
    <n v="0.92"/>
    <x v="12"/>
    <s v="No"/>
    <s v="Team RJ huddle"/>
    <x v="0"/>
    <s v="Friday"/>
  </r>
  <r>
    <d v="2024-02-02T00:00:00"/>
    <x v="45"/>
    <s v="Payroll Processing"/>
    <n v="0.17"/>
    <x v="70"/>
    <s v="Yes"/>
    <s v="Gross wage and AL rec"/>
    <x v="0"/>
    <s v="Friday"/>
  </r>
  <r>
    <d v="2024-02-02T00:00:00"/>
    <x v="45"/>
    <s v="Payroll Processing"/>
    <n v="0.4"/>
    <x v="70"/>
    <s v="Yes"/>
    <s v="Send out payslips"/>
    <x v="0"/>
    <s v="Friday"/>
  </r>
  <r>
    <d v="2024-02-02T00:00:00"/>
    <x v="45"/>
    <s v="Payroll Processing"/>
    <n v="0.55000000000000004"/>
    <x v="70"/>
    <s v="Yes"/>
    <s v="STP reconciliation and filing Process employee termination in TL"/>
    <x v="0"/>
    <s v="Friday"/>
  </r>
  <r>
    <d v="2024-02-02T00:00:00"/>
    <x v="45"/>
    <s v="Payroll Processing"/>
    <n v="1.32"/>
    <x v="70"/>
    <s v="Yes"/>
    <s v="Payroll tax"/>
    <x v="0"/>
    <s v="Friday"/>
  </r>
  <r>
    <d v="2024-02-02T00:00:00"/>
    <x v="45"/>
    <s v="Payroll Processing"/>
    <n v="1.38"/>
    <x v="71"/>
    <s v="Yes"/>
    <s v="Payroll tax"/>
    <x v="0"/>
    <s v="Friday"/>
  </r>
  <r>
    <d v="2024-02-02T00:00:00"/>
    <x v="45"/>
    <s v="Payroll Processing - Senior"/>
    <n v="0.17"/>
    <x v="41"/>
    <s v="Yes"/>
    <s v="Payroll tax review"/>
    <x v="0"/>
    <s v="Friday"/>
  </r>
  <r>
    <d v="2024-02-02T00:00:00"/>
    <x v="46"/>
    <s v="Client Manager"/>
    <n v="0.33"/>
    <x v="59"/>
    <s v="Yes"/>
    <s v="Attend to emails from Zoe re insurance, credit card etc"/>
    <x v="0"/>
    <s v="Friday"/>
  </r>
  <r>
    <d v="2024-02-02T00:00:00"/>
    <x v="46"/>
    <s v="Client Manager"/>
    <n v="0.5"/>
    <x v="28"/>
    <s v="Yes"/>
    <s v="Work with Nica to finalise Annual reports for FY 2023. Send to Nick for signing"/>
    <x v="0"/>
    <s v="Friday"/>
  </r>
  <r>
    <d v="2024-02-02T00:00:00"/>
    <x v="46"/>
    <s v="Client Manager"/>
    <n v="0.5"/>
    <x v="29"/>
    <s v="Yes"/>
    <s v="Review Jan 2024 accounts in preparation for monthly meeting. Liaise with Gerado re unreconciled transactions. Liaise with Mark re Zoom meeting. Send invite to Kerry"/>
    <x v="0"/>
    <s v="Friday"/>
  </r>
  <r>
    <d v="2024-02-02T00:00:00"/>
    <x v="46"/>
    <s v="Client Manager"/>
    <n v="0.5"/>
    <x v="14"/>
    <s v="Yes"/>
    <s v="Follow up with Kathy/Shalisa re Oct and Dec grant allocation confirmation. Attend to email from Kathy re rent paid, send invoices etc for legal action"/>
    <x v="0"/>
    <s v="Friday"/>
  </r>
  <r>
    <d v="2024-02-02T00:00:00"/>
    <x v="46"/>
    <s v="General"/>
    <n v="4"/>
    <x v="12"/>
    <s v="No"/>
    <s v="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
    <x v="0"/>
    <s v="Friday"/>
  </r>
  <r>
    <d v="2024-02-02T00:00:00"/>
    <x v="46"/>
    <s v="IAS/BAS Preparation &amp; Lodgement - Dec"/>
    <n v="0.33"/>
    <x v="16"/>
    <s v="Yes"/>
    <s v="Dec 2023 BAS review and lodgement"/>
    <x v="0"/>
    <s v="Friday"/>
  </r>
  <r>
    <d v="2024-02-02T00:00:00"/>
    <x v="46"/>
    <s v="IAS/BAS Preparation &amp; Lodgement - Jul-Sep"/>
    <n v="0.33"/>
    <x v="68"/>
    <s v="Yes"/>
    <s v="Sep 2023 quarter BAS review and lodgement"/>
    <x v="0"/>
    <s v="Friday"/>
  </r>
  <r>
    <d v="2024-02-02T00:00:00"/>
    <x v="46"/>
    <s v="IAS/BAS Preparation &amp; Lodgement - Oct-Dec"/>
    <n v="0.33"/>
    <x v="14"/>
    <s v="Yes"/>
    <s v="Dec 2023 quarter BAS review and lodgement"/>
    <x v="0"/>
    <s v="Friday"/>
  </r>
  <r>
    <d v="2024-02-02T00:00:00"/>
    <x v="46"/>
    <s v="IAS/BAS Preparation &amp; Lodgement - Oct-Dec"/>
    <n v="0.33"/>
    <x v="45"/>
    <s v="Yes"/>
    <s v="Dec 2023 quarter BAS review and lodgement"/>
    <x v="0"/>
    <s v="Friday"/>
  </r>
  <r>
    <d v="2024-02-02T00:00:00"/>
    <x v="46"/>
    <s v="IAS/BAS Preparation &amp; Lodgement - Oct-Dec"/>
    <n v="0.5"/>
    <x v="35"/>
    <s v="Yes"/>
    <s v="Dec 2023 quarter BAS review. Confirm with Emily re PAYGI for Dec quarter. Email Gen to call ATO re same and update BAS. "/>
    <x v="0"/>
    <s v="Friday"/>
  </r>
  <r>
    <d v="2024-02-02T00:00:00"/>
    <x v="50"/>
    <s v="Bookkeeping"/>
    <n v="0.25"/>
    <x v="30"/>
    <s v="Yes"/>
    <s v="Fee check and email"/>
    <x v="0"/>
    <s v="Friday"/>
  </r>
  <r>
    <d v="2024-02-02T00:00:00"/>
    <x v="47"/>
    <s v="Bookkeeping"/>
    <n v="0.4"/>
    <x v="64"/>
    <s v="Yes"/>
    <s v="Download payroll reports- liaise Aileen re AL prov"/>
    <x v="0"/>
    <s v="Friday"/>
  </r>
  <r>
    <d v="2024-02-02T00:00:00"/>
    <x v="47"/>
    <s v="Bookkeeping"/>
    <n v="0.4"/>
    <x v="39"/>
    <s v="Yes"/>
    <s v="Income Tax return - Review EOFY wrap up FY 2023"/>
    <x v="0"/>
    <s v="Friday"/>
  </r>
  <r>
    <d v="2024-02-02T00:00:00"/>
    <x v="47"/>
    <s v="Bookkeeping"/>
    <n v="0.5"/>
    <x v="50"/>
    <s v="Yes"/>
    <s v="AP - payment, new payee, transfer inv emails"/>
    <x v="0"/>
    <s v="Friday"/>
  </r>
  <r>
    <d v="2024-02-02T00:00:00"/>
    <x v="47"/>
    <s v="Bookkeeping"/>
    <n v="0.5"/>
    <x v="50"/>
    <s v="Yes"/>
    <s v="APRA lodgement"/>
    <x v="0"/>
    <s v="Friday"/>
  </r>
  <r>
    <d v="2024-02-02T00:00:00"/>
    <x v="47"/>
    <s v="Bookkeeping"/>
    <n v="0.6"/>
    <x v="50"/>
    <s v="Yes"/>
    <s v="Icare actual wages BAM and BELCR"/>
    <x v="0"/>
    <s v="Friday"/>
  </r>
  <r>
    <d v="2024-02-02T00:00:00"/>
    <x v="47"/>
    <s v="Bookkeeping"/>
    <n v="0.6"/>
    <x v="50"/>
    <s v="Yes"/>
    <s v="Off site costs"/>
    <x v="0"/>
    <s v="Friday"/>
  </r>
  <r>
    <d v="2024-02-02T00:00:00"/>
    <x v="47"/>
    <s v="Client Manager"/>
    <n v="0.2"/>
    <x v="64"/>
    <s v="Yes"/>
    <s v="Email Tim re fixed fees"/>
    <x v="0"/>
    <s v="Friday"/>
  </r>
  <r>
    <d v="2024-02-02T00:00:00"/>
    <x v="47"/>
    <s v="Client Manager"/>
    <n v="0.6"/>
    <x v="50"/>
    <s v="Yes"/>
    <s v="emails, AP, LTI"/>
    <x v="0"/>
    <s v="Friday"/>
  </r>
  <r>
    <d v="2024-02-02T00:00:00"/>
    <x v="47"/>
    <s v="General"/>
    <n v="1.2"/>
    <x v="12"/>
    <s v="No"/>
    <s v="Timesheet, Asana, emails "/>
    <x v="0"/>
    <s v="Friday"/>
  </r>
  <r>
    <d v="2024-02-02T00:00:00"/>
    <x v="48"/>
    <s v="General"/>
    <n v="4"/>
    <x v="12"/>
    <s v="No"/>
    <e v="#NAME?"/>
    <x v="0"/>
    <s v="Friday"/>
  </r>
  <r>
    <d v="2024-02-02T00:00:00"/>
    <x v="48"/>
    <s v="General"/>
    <n v="4"/>
    <x v="12"/>
    <s v="No"/>
    <s v="- email EOM nomination - check and email Global Team sched for Feb 9 PH - update Sprout on changes in Team RJ's direct report"/>
    <x v="0"/>
    <s v="Friday"/>
  </r>
  <r>
    <d v="2024-02-03T00:00:00"/>
    <x v="20"/>
    <s v="P&amp;C Advisory"/>
    <n v="0.35"/>
    <x v="37"/>
    <s v="Yes"/>
    <s v="Inbox queries, EOW tidy up of admin tasks"/>
    <x v="0"/>
    <s v="Saturday"/>
  </r>
  <r>
    <d v="2024-02-03T00:00:00"/>
    <x v="20"/>
    <s v="P&amp;C Advisory"/>
    <n v="0.45"/>
    <x v="38"/>
    <s v="Yes"/>
    <s v="Completed the audit of contracts in prep for the transition to monthly pay cycle"/>
    <x v="0"/>
    <s v="Saturday"/>
  </r>
  <r>
    <d v="2024-02-05T00:00:00"/>
    <x v="0"/>
    <s v="Bookkeeping"/>
    <n v="0.05"/>
    <x v="3"/>
    <s v="Yes"/>
    <s v="Update supplier details"/>
    <x v="1"/>
    <s v="Monday"/>
  </r>
  <r>
    <d v="2024-02-05T00:00:00"/>
    <x v="0"/>
    <s v="Bookkeeping"/>
    <n v="7.0000000000000007E-2"/>
    <x v="2"/>
    <s v="Yes"/>
    <s v="Email"/>
    <x v="1"/>
    <s v="Monday"/>
  </r>
  <r>
    <d v="2024-02-05T00:00:00"/>
    <x v="0"/>
    <s v="Bookkeeping"/>
    <n v="7.0000000000000007E-2"/>
    <x v="2"/>
    <s v="Yes"/>
    <s v="Review"/>
    <x v="1"/>
    <s v="Monday"/>
  </r>
  <r>
    <d v="2024-02-05T00:00:00"/>
    <x v="0"/>
    <s v="Bookkeeping"/>
    <n v="0.1"/>
    <x v="4"/>
    <s v="Yes"/>
    <s v="Bank Reconciliation"/>
    <x v="1"/>
    <s v="Monday"/>
  </r>
  <r>
    <d v="2024-02-05T00:00:00"/>
    <x v="0"/>
    <s v="Bookkeeping"/>
    <n v="0.18"/>
    <x v="2"/>
    <s v="Yes"/>
    <s v="Add new account in Xero"/>
    <x v="1"/>
    <s v="Monday"/>
  </r>
  <r>
    <d v="2024-02-05T00:00:00"/>
    <x v="0"/>
    <s v="Bookkeeping"/>
    <n v="0.2"/>
    <x v="6"/>
    <s v="Yes"/>
    <s v="Emails"/>
    <x v="1"/>
    <s v="Monday"/>
  </r>
  <r>
    <d v="2024-02-05T00:00:00"/>
    <x v="0"/>
    <s v="Bookkeeping"/>
    <n v="0.3"/>
    <x v="19"/>
    <s v="No"/>
    <s v="Email and Set up Sage login"/>
    <x v="1"/>
    <s v="Monday"/>
  </r>
  <r>
    <d v="2024-02-05T00:00:00"/>
    <x v="0"/>
    <s v="Bookkeeping"/>
    <n v="0.33"/>
    <x v="6"/>
    <s v="Yes"/>
    <s v="AP and Email/Inbox Management"/>
    <x v="1"/>
    <s v="Monday"/>
  </r>
  <r>
    <d v="2024-02-05T00:00:00"/>
    <x v="0"/>
    <s v="Bookkeeping"/>
    <n v="0.35"/>
    <x v="2"/>
    <s v="Yes"/>
    <s v="Create a Repeating Journal, Prepare a Prepayments Schedule, and  Re-code expenses to Prepayments, and Review Insurance Expenses"/>
    <x v="1"/>
    <s v="Monday"/>
  </r>
  <r>
    <d v="2024-02-05T00:00:00"/>
    <x v="0"/>
    <s v="Bookkeeping"/>
    <n v="0.42"/>
    <x v="1"/>
    <s v="Yes"/>
    <s v="Bank Reconciliation"/>
    <x v="1"/>
    <s v="Monday"/>
  </r>
  <r>
    <d v="2024-02-05T00:00:00"/>
    <x v="0"/>
    <s v="Bookkeeping"/>
    <n v="0.67"/>
    <x v="62"/>
    <s v="Yes"/>
    <s v="Accounts Payable"/>
    <x v="1"/>
    <s v="Monday"/>
  </r>
  <r>
    <d v="2024-02-05T00:00:00"/>
    <x v="0"/>
    <s v="Bookkeeping"/>
    <n v="0.73"/>
    <x v="3"/>
    <s v="Yes"/>
    <s v="Clear AP inbox and Submit bills for approval in Xero"/>
    <x v="1"/>
    <s v="Monday"/>
  </r>
  <r>
    <d v="2024-02-05T00:00:00"/>
    <x v="0"/>
    <s v="Bookkeeping"/>
    <n v="0.88"/>
    <x v="2"/>
    <s v="Yes"/>
    <s v="Add new account, Create a Repeating Journal, Prepare a Prepayments Schedule, Re-code expenses to Prepayments, and Review Insurance Expenses"/>
    <x v="1"/>
    <s v="Monday"/>
  </r>
  <r>
    <d v="2024-02-05T00:00:00"/>
    <x v="0"/>
    <s v="Bookkeeping"/>
    <n v="1"/>
    <x v="6"/>
    <s v="Yes"/>
    <s v="Bank Reconciliation"/>
    <x v="1"/>
    <s v="Monday"/>
  </r>
  <r>
    <d v="2024-02-05T00:00:00"/>
    <x v="0"/>
    <s v="General"/>
    <n v="0.15"/>
    <x v="12"/>
    <s v="No"/>
    <s v="Submit EOM nomination"/>
    <x v="1"/>
    <s v="Monday"/>
  </r>
  <r>
    <d v="2024-02-05T00:00:00"/>
    <x v="0"/>
    <s v="General"/>
    <n v="0.25"/>
    <x v="12"/>
    <s v="No"/>
    <s v="Afternoon Break"/>
    <x v="1"/>
    <s v="Monday"/>
  </r>
  <r>
    <d v="2024-02-05T00:00:00"/>
    <x v="0"/>
    <s v="General"/>
    <n v="0.25"/>
    <x v="12"/>
    <s v="No"/>
    <s v="Morning Break"/>
    <x v="1"/>
    <s v="Monday"/>
  </r>
  <r>
    <d v="2024-02-05T00:00:00"/>
    <x v="0"/>
    <s v="Management Reporting"/>
    <n v="1.05"/>
    <x v="2"/>
    <s v="Yes"/>
    <s v="Budget Report"/>
    <x v="1"/>
    <s v="Monday"/>
  </r>
  <r>
    <d v="2024-02-05T00:00:00"/>
    <x v="0"/>
    <s v="Payroll Processing"/>
    <n v="7.0000000000000007E-2"/>
    <x v="10"/>
    <s v="Yes"/>
    <s v="Review"/>
    <x v="1"/>
    <s v="Monday"/>
  </r>
  <r>
    <d v="2024-02-05T00:00:00"/>
    <x v="0"/>
    <s v="Payroll Processing"/>
    <n v="0.13"/>
    <x v="13"/>
    <s v="Yes"/>
    <s v="Payroll Tax"/>
    <x v="1"/>
    <s v="Monday"/>
  </r>
  <r>
    <d v="2024-02-05T00:00:00"/>
    <x v="0"/>
    <s v="Payroll Processing"/>
    <n v="0.3"/>
    <x v="11"/>
    <s v="Yes"/>
    <m/>
    <x v="1"/>
    <s v="Monday"/>
  </r>
  <r>
    <d v="2024-02-05T00:00:00"/>
    <x v="0"/>
    <s v="Payroll Processing"/>
    <n v="0.45"/>
    <x v="64"/>
    <s v="Yes"/>
    <s v="AL Provision"/>
    <x v="1"/>
    <s v="Monday"/>
  </r>
  <r>
    <d v="2024-02-05T00:00:00"/>
    <x v="49"/>
    <s v="P&amp;C Advisory - Nederman Mikropul"/>
    <n v="1"/>
    <x v="63"/>
    <s v="Yes"/>
    <s v="Call with Finance Manager Draft script for performance/attendance concerns"/>
    <x v="1"/>
    <s v="Monday"/>
  </r>
  <r>
    <d v="2024-02-05T00:00:00"/>
    <x v="49"/>
    <s v="P&amp;C Advisory - Nordfab"/>
    <n v="0.17"/>
    <x v="63"/>
    <s v="Yes"/>
    <s v="Recruitment"/>
    <x v="1"/>
    <s v="Monday"/>
  </r>
  <r>
    <d v="2024-02-05T00:00:00"/>
    <x v="1"/>
    <s v="Bookkeeping"/>
    <n v="0.43"/>
    <x v="64"/>
    <s v="Yes"/>
    <s v="Compound interest journal"/>
    <x v="1"/>
    <s v="Monday"/>
  </r>
  <r>
    <d v="2024-02-05T00:00:00"/>
    <x v="1"/>
    <s v="Bookkeeping"/>
    <n v="1.07"/>
    <x v="15"/>
    <s v="Yes"/>
    <m/>
    <x v="1"/>
    <s v="Monday"/>
  </r>
  <r>
    <d v="2024-02-05T00:00:00"/>
    <x v="1"/>
    <s v="Bookkeeping"/>
    <n v="1.47"/>
    <x v="64"/>
    <s v="Yes"/>
    <s v="loans rec, monthly interest journal"/>
    <x v="1"/>
    <s v="Monday"/>
  </r>
  <r>
    <d v="2024-02-05T00:00:00"/>
    <x v="1"/>
    <s v="General"/>
    <n v="0.15"/>
    <x v="12"/>
    <s v="No"/>
    <s v="attend to concerns"/>
    <x v="1"/>
    <s v="Monday"/>
  </r>
  <r>
    <d v="2024-02-05T00:00:00"/>
    <x v="1"/>
    <s v="General"/>
    <n v="0.22"/>
    <x v="12"/>
    <s v="No"/>
    <s v="check in re handover, etc"/>
    <x v="1"/>
    <s v="Monday"/>
  </r>
  <r>
    <d v="2024-02-05T00:00:00"/>
    <x v="1"/>
    <s v="General"/>
    <n v="1.03"/>
    <x v="12"/>
    <s v="No"/>
    <s v="break, office space enhancement survey"/>
    <x v="1"/>
    <s v="Monday"/>
  </r>
  <r>
    <d v="2024-02-05T00:00:00"/>
    <x v="1"/>
    <s v="General"/>
    <n v="1.03"/>
    <x v="12"/>
    <s v="No"/>
    <s v="chats, attend to concerns, coordinate tasks, review capacity, emails, etc"/>
    <x v="1"/>
    <s v="Monday"/>
  </r>
  <r>
    <d v="2024-02-05T00:00:00"/>
    <x v="1"/>
    <s v="General"/>
    <n v="1.05"/>
    <x v="12"/>
    <s v="No"/>
    <m/>
    <x v="1"/>
    <s v="Monday"/>
  </r>
  <r>
    <d v="2024-02-05T00:00:00"/>
    <x v="1"/>
    <s v="General"/>
    <n v="1.32"/>
    <x v="12"/>
    <s v="No"/>
    <s v="chats, emails, Sprout, timesheets, Asana, etc"/>
    <x v="1"/>
    <s v="Monday"/>
  </r>
  <r>
    <d v="2024-02-05T00:00:00"/>
    <x v="1"/>
    <s v="Meetings"/>
    <n v="0.27"/>
    <x v="12"/>
    <s v="No"/>
    <s v="Call with Ralph"/>
    <x v="1"/>
    <s v="Monday"/>
  </r>
  <r>
    <d v="2024-02-05T00:00:00"/>
    <x v="2"/>
    <s v="Bookkeeping"/>
    <n v="1.75"/>
    <x v="72"/>
    <s v="Yes"/>
    <s v="Recon and entering bills AP Report Set up payment in payment logic"/>
    <x v="1"/>
    <s v="Monday"/>
  </r>
  <r>
    <d v="2024-02-05T00:00:00"/>
    <x v="2"/>
    <s v="Bookkeeping"/>
    <n v="1.83"/>
    <x v="73"/>
    <s v="Yes"/>
    <s v="Entering spreadsheet and bank transactions"/>
    <x v="1"/>
    <s v="Monday"/>
  </r>
  <r>
    <d v="2024-02-05T00:00:00"/>
    <x v="2"/>
    <s v="Bookkeeping"/>
    <n v="2.0699999999999998"/>
    <x v="74"/>
    <s v="Yes"/>
    <s v="Entering spreadsheet and bank transactions Payroll Tax"/>
    <x v="1"/>
    <s v="Monday"/>
  </r>
  <r>
    <d v="2024-02-05T00:00:00"/>
    <x v="2"/>
    <s v="Bookkeeping"/>
    <n v="2.0699999999999998"/>
    <x v="75"/>
    <s v="Yes"/>
    <s v="Entering spreadsheet and bank transactions"/>
    <x v="1"/>
    <s v="Monday"/>
  </r>
  <r>
    <d v="2024-02-05T00:00:00"/>
    <x v="2"/>
    <s v="General"/>
    <n v="0.32"/>
    <x v="12"/>
    <s v="No"/>
    <s v="checking admin/ASANA task"/>
    <x v="1"/>
    <s v="Monday"/>
  </r>
  <r>
    <d v="2024-02-05T00:00:00"/>
    <x v="3"/>
    <s v="Business Development"/>
    <n v="8"/>
    <x v="12"/>
    <s v="No"/>
    <s v="meetings and finalizing multiple flows"/>
    <x v="1"/>
    <s v="Monday"/>
  </r>
  <r>
    <d v="2024-02-05T00:00:00"/>
    <x v="4"/>
    <s v="Business Development"/>
    <n v="11"/>
    <x v="12"/>
    <s v="No"/>
    <m/>
    <x v="1"/>
    <s v="Monday"/>
  </r>
  <r>
    <d v="2024-02-05T00:00:00"/>
    <x v="5"/>
    <s v="Bookkeeping"/>
    <n v="1.38"/>
    <x v="16"/>
    <s v="Yes"/>
    <s v="Processing of Reimbursement "/>
    <x v="1"/>
    <s v="Monday"/>
  </r>
  <r>
    <d v="2024-02-05T00:00:00"/>
    <x v="5"/>
    <s v="Bookkeeping"/>
    <n v="1.6"/>
    <x v="16"/>
    <s v="Yes"/>
    <s v="Create and Review EFT invoices lists for payment this week "/>
    <x v="1"/>
    <s v="Monday"/>
  </r>
  <r>
    <d v="2024-02-05T00:00:00"/>
    <x v="5"/>
    <s v="Bookkeeping"/>
    <n v="2.2200000000000002"/>
    <x v="16"/>
    <s v="Yes"/>
    <s v="Email Management "/>
    <x v="1"/>
    <s v="Monday"/>
  </r>
  <r>
    <d v="2024-02-05T00:00:00"/>
    <x v="5"/>
    <s v="Bookkeeping"/>
    <n v="3.18"/>
    <x v="16"/>
    <s v="Yes"/>
    <s v="Monitoring of January pending invoices lists"/>
    <x v="1"/>
    <s v="Monday"/>
  </r>
  <r>
    <d v="2024-02-05T00:00:00"/>
    <x v="6"/>
    <s v="Bookkeeping"/>
    <n v="0.75"/>
    <x v="18"/>
    <s v="Yes"/>
    <s v="Booked Invoices IAS Preparation Bank Rec"/>
    <x v="1"/>
    <s v="Monday"/>
  </r>
  <r>
    <d v="2024-02-05T00:00:00"/>
    <x v="6"/>
    <s v="Bookkeeping"/>
    <n v="1.75"/>
    <x v="17"/>
    <s v="Yes"/>
    <s v="A/P Processing Payroll Processing "/>
    <x v="1"/>
    <s v="Monday"/>
  </r>
  <r>
    <d v="2024-02-05T00:00:00"/>
    <x v="6"/>
    <s v="Bookkeeping"/>
    <n v="1.95"/>
    <x v="19"/>
    <s v="Yes"/>
    <s v="MKP Handover w/ Neeti"/>
    <x v="1"/>
    <s v="Monday"/>
  </r>
  <r>
    <d v="2024-02-05T00:00:00"/>
    <x v="6"/>
    <s v="Bookkeeping"/>
    <n v="5.58"/>
    <x v="19"/>
    <s v="Yes"/>
    <s v="Booked Invoices Expense Claims Bank Recs"/>
    <x v="1"/>
    <s v="Monday"/>
  </r>
  <r>
    <d v="2024-02-05T00:00:00"/>
    <x v="6"/>
    <s v="General"/>
    <n v="0.42"/>
    <x v="12"/>
    <s v="No"/>
    <s v="Asana Checking Sprout Checking XPM"/>
    <x v="1"/>
    <s v="Monday"/>
  </r>
  <r>
    <d v="2024-02-05T00:00:00"/>
    <x v="7"/>
    <s v="Automations"/>
    <n v="10.28"/>
    <x v="12"/>
    <s v="No"/>
    <m/>
    <x v="1"/>
    <s v="Monday"/>
  </r>
  <r>
    <d v="2024-02-05T00:00:00"/>
    <x v="9"/>
    <s v="Automations"/>
    <n v="4"/>
    <x v="12"/>
    <s v="No"/>
    <s v="Run four Alliance automations + AP automation; Run Marsill Automation; "/>
    <x v="1"/>
    <s v="Monday"/>
  </r>
  <r>
    <d v="2024-02-05T00:00:00"/>
    <x v="10"/>
    <s v="Automations"/>
    <n v="9.25"/>
    <x v="12"/>
    <s v="No"/>
    <s v="Connected Culture Automation Testing and Demo"/>
    <x v="1"/>
    <s v="Monday"/>
  </r>
  <r>
    <d v="2024-02-05T00:00:00"/>
    <x v="11"/>
    <s v="Bookkeeping"/>
    <n v="0.33"/>
    <x v="42"/>
    <s v="No"/>
    <s v="Checking the client account"/>
    <x v="1"/>
    <s v="Monday"/>
  </r>
  <r>
    <d v="2024-02-05T00:00:00"/>
    <x v="11"/>
    <s v="Bookkeeping"/>
    <n v="0.57999999999999996"/>
    <x v="22"/>
    <s v="No"/>
    <s v="Checking all entities"/>
    <x v="1"/>
    <s v="Monday"/>
  </r>
  <r>
    <d v="2024-02-05T00:00:00"/>
    <x v="11"/>
    <s v="Bookkeeping"/>
    <n v="1.58"/>
    <x v="25"/>
    <s v="Yes"/>
    <s v="Checking emails, loading bills"/>
    <x v="1"/>
    <s v="Monday"/>
  </r>
  <r>
    <d v="2024-02-05T00:00:00"/>
    <x v="11"/>
    <s v="Bookkeeping"/>
    <n v="1.58"/>
    <x v="42"/>
    <s v="Yes"/>
    <s v="checking emails, loading bills, bank recon"/>
    <x v="1"/>
    <s v="Monday"/>
  </r>
  <r>
    <d v="2024-02-05T00:00:00"/>
    <x v="11"/>
    <s v="Bookkeeping"/>
    <n v="2.75"/>
    <x v="22"/>
    <s v="Yes"/>
    <s v="adding bills, bank recon"/>
    <x v="1"/>
    <s v="Monday"/>
  </r>
  <r>
    <d v="2024-02-05T00:00:00"/>
    <x v="11"/>
    <s v="General"/>
    <n v="0.5"/>
    <x v="12"/>
    <s v="No"/>
    <s v="break"/>
    <x v="1"/>
    <s v="Monday"/>
  </r>
  <r>
    <d v="2024-02-05T00:00:00"/>
    <x v="11"/>
    <s v="Out-of-Scope Services"/>
    <n v="0.17"/>
    <x v="76"/>
    <s v="Yes"/>
    <s v="Adding journals"/>
    <x v="1"/>
    <s v="Monday"/>
  </r>
  <r>
    <d v="2024-02-05T00:00:00"/>
    <x v="11"/>
    <s v="Out-of-Scope Services"/>
    <n v="0.25"/>
    <x v="77"/>
    <s v="Yes"/>
    <s v="Adding journals"/>
    <x v="1"/>
    <s v="Monday"/>
  </r>
  <r>
    <d v="2024-02-05T00:00:00"/>
    <x v="11"/>
    <s v="Out-of-Scope Services"/>
    <n v="0.25"/>
    <x v="78"/>
    <s v="Yes"/>
    <s v="Adding journals"/>
    <x v="1"/>
    <s v="Monday"/>
  </r>
  <r>
    <d v="2024-02-05T00:00:00"/>
    <x v="12"/>
    <s v="CFO Advisory"/>
    <n v="1.5"/>
    <x v="1"/>
    <s v="Yes"/>
    <s v="Review and post Jan24 revenue journal + transfers Review and close off Jan'24 results"/>
    <x v="1"/>
    <s v="Monday"/>
  </r>
  <r>
    <d v="2024-02-05T00:00:00"/>
    <x v="12"/>
    <s v="CFO001 - CFO Services"/>
    <n v="2"/>
    <x v="6"/>
    <s v="Yes"/>
    <s v="Post Jan'24 revenue journals, review + request adjustments Review BS and P&amp;L for Jan'24. Results ready to be closed off "/>
    <x v="1"/>
    <s v="Monday"/>
  </r>
  <r>
    <d v="2024-02-05T00:00:00"/>
    <x v="13"/>
    <s v="Company Tax Returns"/>
    <n v="0.25"/>
    <x v="79"/>
    <s v="Yes"/>
    <s v="Phone call with James re discission points prior to meeting with Anthony"/>
    <x v="1"/>
    <s v="Monday"/>
  </r>
  <r>
    <d v="2024-02-05T00:00:00"/>
    <x v="14"/>
    <s v="Bookkeeping"/>
    <n v="0.18"/>
    <x v="40"/>
    <s v="Yes"/>
    <s v="inbox"/>
    <x v="1"/>
    <s v="Monday"/>
  </r>
  <r>
    <d v="2024-02-05T00:00:00"/>
    <x v="14"/>
    <s v="Bookkeeping"/>
    <n v="0.2"/>
    <x v="28"/>
    <s v="Yes"/>
    <s v="inbox"/>
    <x v="1"/>
    <s v="Monday"/>
  </r>
  <r>
    <d v="2024-02-05T00:00:00"/>
    <x v="14"/>
    <s v="Bookkeeping"/>
    <n v="0.73"/>
    <x v="34"/>
    <s v="Yes"/>
    <s v="ff up of query for conso rep"/>
    <x v="1"/>
    <s v="Monday"/>
  </r>
  <r>
    <d v="2024-02-05T00:00:00"/>
    <x v="14"/>
    <s v="Bookkeeping"/>
    <n v="0.73"/>
    <x v="34"/>
    <s v="Yes"/>
    <s v="review"/>
    <x v="1"/>
    <s v="Monday"/>
  </r>
  <r>
    <d v="2024-02-05T00:00:00"/>
    <x v="14"/>
    <s v="General"/>
    <n v="0.23"/>
    <x v="12"/>
    <s v="No"/>
    <s v="teams, Sprout"/>
    <x v="1"/>
    <s v="Monday"/>
  </r>
  <r>
    <d v="2024-02-05T00:00:00"/>
    <x v="14"/>
    <s v="General"/>
    <n v="0.56999999999999995"/>
    <x v="12"/>
    <s v="No"/>
    <s v="check emails/teams"/>
    <x v="1"/>
    <s v="Monday"/>
  </r>
  <r>
    <d v="2024-02-05T00:00:00"/>
    <x v="14"/>
    <s v="IAS/BAS Preparation &amp; Lodgement - Oct-Dec"/>
    <n v="0.18"/>
    <x v="80"/>
    <s v="Yes"/>
    <s v="GST/CM review"/>
    <x v="1"/>
    <s v="Monday"/>
  </r>
  <r>
    <d v="2024-02-05T00:00:00"/>
    <x v="14"/>
    <s v="IAS/BAS Preparation &amp; Lodgement - Oct-Dec"/>
    <n v="0.63"/>
    <x v="34"/>
    <s v="Yes"/>
    <s v="financials/GST/CM review"/>
    <x v="1"/>
    <s v="Monday"/>
  </r>
  <r>
    <d v="2024-02-05T00:00:00"/>
    <x v="14"/>
    <s v="IAS/BAS Preparation &amp; Lodgement - Oct-Dec"/>
    <n v="1.02"/>
    <x v="80"/>
    <s v="Yes"/>
    <s v="C&lt;/GST review"/>
    <x v="1"/>
    <s v="Monday"/>
  </r>
  <r>
    <d v="2024-02-05T00:00:00"/>
    <x v="14"/>
    <s v="IAS/BAS Preparation &amp; Lodgement - Oct-Dec"/>
    <n v="1.37"/>
    <x v="80"/>
    <s v="Yes"/>
    <s v="Amazon GST review"/>
    <x v="1"/>
    <s v="Monday"/>
  </r>
  <r>
    <d v="2024-02-05T00:00:00"/>
    <x v="14"/>
    <s v="IAS/BAS Preparation &amp; Lodgement - Oct-Dec"/>
    <n v="1.67"/>
    <x v="12"/>
    <s v="Yes"/>
    <s v="financials/CM/GST review - Lendinng, Acctg, TBA"/>
    <x v="1"/>
    <s v="Monday"/>
  </r>
  <r>
    <d v="2024-02-05T00:00:00"/>
    <x v="14"/>
    <s v="Payroll Processing"/>
    <n v="0.48"/>
    <x v="13"/>
    <s v="Yes"/>
    <s v="ptax review"/>
    <x v="1"/>
    <s v="Monday"/>
  </r>
  <r>
    <d v="2024-02-05T00:00:00"/>
    <x v="15"/>
    <s v="Sick Leave"/>
    <n v="8"/>
    <x v="12"/>
    <s v="No"/>
    <m/>
    <x v="1"/>
    <s v="Monday"/>
  </r>
  <r>
    <d v="2024-02-05T00:00:00"/>
    <x v="16"/>
    <s v="Bookkeeping"/>
    <n v="0.5"/>
    <x v="31"/>
    <s v="Yes"/>
    <s v="bank recon email"/>
    <x v="1"/>
    <s v="Monday"/>
  </r>
  <r>
    <d v="2024-02-05T00:00:00"/>
    <x v="16"/>
    <s v="Bookkeeping"/>
    <n v="1.43"/>
    <x v="32"/>
    <s v="No"/>
    <s v="rechecking of paypal accounts"/>
    <x v="1"/>
    <s v="Monday"/>
  </r>
  <r>
    <d v="2024-02-05T00:00:00"/>
    <x v="16"/>
    <s v="Bookkeeping"/>
    <n v="1.6"/>
    <x v="32"/>
    <s v="Yes"/>
    <s v="office expenses report"/>
    <x v="1"/>
    <s v="Monday"/>
  </r>
  <r>
    <d v="2024-02-05T00:00:00"/>
    <x v="16"/>
    <s v="Bookkeeping"/>
    <n v="2.2200000000000002"/>
    <x v="32"/>
    <s v="Yes"/>
    <s v="month end report"/>
    <x v="1"/>
    <s v="Monday"/>
  </r>
  <r>
    <d v="2024-02-05T00:00:00"/>
    <x v="16"/>
    <s v="Bookkeeping - AP"/>
    <n v="0.55000000000000004"/>
    <x v="33"/>
    <s v="Yes"/>
    <s v="approve ap invoices"/>
    <x v="1"/>
    <s v="Monday"/>
  </r>
  <r>
    <d v="2024-02-05T00:00:00"/>
    <x v="16"/>
    <s v="Bookkeeping - Bank Recs"/>
    <n v="0.25"/>
    <x v="33"/>
    <s v="Yes"/>
    <s v="bank recon"/>
    <x v="1"/>
    <s v="Monday"/>
  </r>
  <r>
    <d v="2024-02-05T00:00:00"/>
    <x v="16"/>
    <s v="General"/>
    <n v="0.5"/>
    <x v="12"/>
    <s v="No"/>
    <s v="break"/>
    <x v="1"/>
    <s v="Monday"/>
  </r>
  <r>
    <d v="2024-02-05T00:00:00"/>
    <x v="16"/>
    <s v="Learning &amp; Development"/>
    <n v="0.95"/>
    <x v="12"/>
    <s v="No"/>
    <s v="reviewing of recorded tasks for month end report (Emma)"/>
    <x v="1"/>
    <s v="Monday"/>
  </r>
  <r>
    <d v="2024-02-05T00:00:00"/>
    <x v="17"/>
    <s v="Annual Leave"/>
    <n v="8"/>
    <x v="12"/>
    <s v="No"/>
    <s v="Birthday Leave"/>
    <x v="1"/>
    <s v="Monday"/>
  </r>
  <r>
    <d v="2024-02-05T00:00:00"/>
    <x v="18"/>
    <s v="Bookkeeping"/>
    <n v="0.3"/>
    <x v="36"/>
    <s v="No"/>
    <s v="chat with Rac - assist on holdsworth"/>
    <x v="1"/>
    <s v="Monday"/>
  </r>
  <r>
    <d v="2024-02-05T00:00:00"/>
    <x v="18"/>
    <s v="Bookkeeping"/>
    <n v="0.42"/>
    <x v="42"/>
    <s v="Yes"/>
    <s v="Balance sheet rec"/>
    <x v="1"/>
    <s v="Monday"/>
  </r>
  <r>
    <d v="2024-02-05T00:00:00"/>
    <x v="18"/>
    <s v="Bookkeeping"/>
    <n v="1.92"/>
    <x v="42"/>
    <s v="Yes"/>
    <s v="continue balance recs"/>
    <x v="1"/>
    <s v="Monday"/>
  </r>
  <r>
    <d v="2024-02-05T00:00:00"/>
    <x v="18"/>
    <s v="Bookkeeping"/>
    <n v="2.0499999999999998"/>
    <x v="42"/>
    <s v="Yes"/>
    <s v="finalise EOFY checklist"/>
    <x v="1"/>
    <s v="Monday"/>
  </r>
  <r>
    <d v="2024-02-05T00:00:00"/>
    <x v="18"/>
    <s v="General"/>
    <n v="0.15"/>
    <x v="12"/>
    <s v="No"/>
    <s v="emails"/>
    <x v="1"/>
    <s v="Monday"/>
  </r>
  <r>
    <d v="2024-02-05T00:00:00"/>
    <x v="18"/>
    <s v="General"/>
    <n v="0.35"/>
    <x v="12"/>
    <s v="No"/>
    <s v="emails, asana, XPM"/>
    <x v="1"/>
    <s v="Monday"/>
  </r>
  <r>
    <d v="2024-02-05T00:00:00"/>
    <x v="18"/>
    <s v="Management Reporting"/>
    <n v="1.3"/>
    <x v="42"/>
    <s v="Yes"/>
    <s v="run reports for EOFY checklist "/>
    <x v="1"/>
    <s v="Monday"/>
  </r>
  <r>
    <d v="2024-02-05T00:00:00"/>
    <x v="18"/>
    <s v="Meetings"/>
    <n v="0.4"/>
    <x v="12"/>
    <s v="No"/>
    <s v="chat with Rose - April's PIP and resignation, chat with Z"/>
    <x v="1"/>
    <s v="Monday"/>
  </r>
  <r>
    <d v="2024-02-05T00:00:00"/>
    <x v="18"/>
    <s v="Payroll Processing"/>
    <n v="1.1200000000000001"/>
    <x v="36"/>
    <s v="No"/>
    <s v="assist Rac with paid parental leave"/>
    <x v="1"/>
    <s v="Monday"/>
  </r>
  <r>
    <d v="2024-02-05T00:00:00"/>
    <x v="19"/>
    <s v="Bookkeeping"/>
    <n v="3.97"/>
    <x v="36"/>
    <s v="Yes"/>
    <m/>
    <x v="1"/>
    <s v="Monday"/>
  </r>
  <r>
    <d v="2024-02-05T00:00:00"/>
    <x v="19"/>
    <s v="Payroll Processing"/>
    <n v="0.73"/>
    <x v="81"/>
    <s v="Yes"/>
    <m/>
    <x v="1"/>
    <s v="Monday"/>
  </r>
  <r>
    <d v="2024-02-05T00:00:00"/>
    <x v="19"/>
    <s v="Payroll Processing"/>
    <n v="3.4"/>
    <x v="54"/>
    <s v="Yes"/>
    <m/>
    <x v="1"/>
    <s v="Monday"/>
  </r>
  <r>
    <d v="2024-02-05T00:00:00"/>
    <x v="20"/>
    <s v="P&amp;C Advisory"/>
    <n v="6.63"/>
    <x v="37"/>
    <s v="Yes"/>
    <s v="Board report submission Inbox enquiries Mgmt fortnightly mtg Salary review process HR daily huddle Staff phone calls Finance recruitment mtg Shortlisting "/>
    <x v="1"/>
    <s v="Monday"/>
  </r>
  <r>
    <d v="2024-02-05T00:00:00"/>
    <x v="21"/>
    <s v="Bookkeeping"/>
    <n v="0.23"/>
    <x v="66"/>
    <s v="Yes"/>
    <m/>
    <x v="1"/>
    <s v="Monday"/>
  </r>
  <r>
    <d v="2024-02-05T00:00:00"/>
    <x v="21"/>
    <s v="Bookkeeping"/>
    <n v="0.35"/>
    <x v="40"/>
    <s v="Yes"/>
    <s v="Dext Prepare, bank recon."/>
    <x v="1"/>
    <s v="Monday"/>
  </r>
  <r>
    <d v="2024-02-05T00:00:00"/>
    <x v="21"/>
    <s v="Bookkeeping"/>
    <n v="0.67"/>
    <x v="57"/>
    <s v="Yes"/>
    <s v="Invisalign invoices, bank recon, ap invoices"/>
    <x v="1"/>
    <s v="Monday"/>
  </r>
  <r>
    <d v="2024-02-05T00:00:00"/>
    <x v="21"/>
    <s v="Bookkeeping"/>
    <n v="0.68"/>
    <x v="28"/>
    <s v="Yes"/>
    <s v="Emails queries, bank recon"/>
    <x v="1"/>
    <s v="Monday"/>
  </r>
  <r>
    <d v="2024-02-05T00:00:00"/>
    <x v="21"/>
    <s v="Bookkeeping"/>
    <n v="0.73"/>
    <x v="28"/>
    <s v="Yes"/>
    <s v="AP Emails, Dext Prepare"/>
    <x v="1"/>
    <s v="Monday"/>
  </r>
  <r>
    <d v="2024-02-05T00:00:00"/>
    <x v="21"/>
    <s v="Bookkeeping"/>
    <n v="0.95"/>
    <x v="39"/>
    <s v="Yes"/>
    <s v="AP Emails, bank recon, bills approval from draft"/>
    <x v="1"/>
    <s v="Monday"/>
  </r>
  <r>
    <d v="2024-02-05T00:00:00"/>
    <x v="21"/>
    <s v="Bookkeeping"/>
    <n v="1.33"/>
    <x v="28"/>
    <s v="Yes"/>
    <s v="Dext Prepare, Upload &amp; reconcile items for Qantas CC,"/>
    <x v="1"/>
    <s v="Monday"/>
  </r>
  <r>
    <d v="2024-02-05T00:00:00"/>
    <x v="21"/>
    <s v="Bookkeeping"/>
    <n v="1.38"/>
    <x v="41"/>
    <s v="Yes"/>
    <m/>
    <x v="1"/>
    <s v="Monday"/>
  </r>
  <r>
    <d v="2024-02-05T00:00:00"/>
    <x v="21"/>
    <s v="Bookkeeping"/>
    <n v="1.7"/>
    <x v="41"/>
    <s v="Yes"/>
    <s v="Upload CSV files for manual import to Xero. Reconcile items and sent to client for open items."/>
    <x v="1"/>
    <s v="Monday"/>
  </r>
  <r>
    <d v="2024-02-05T00:00:00"/>
    <x v="22"/>
    <s v="Automations"/>
    <n v="8"/>
    <x v="12"/>
    <s v="No"/>
    <s v="Fintech Equity Pty Ltd - Bank Reconciliation Automation"/>
    <x v="1"/>
    <s v="Monday"/>
  </r>
  <r>
    <d v="2024-02-05T00:00:00"/>
    <x v="23"/>
    <s v="Automations"/>
    <n v="8"/>
    <x v="12"/>
    <s v="No"/>
    <m/>
    <x v="1"/>
    <s v="Monday"/>
  </r>
  <r>
    <d v="2024-02-05T00:00:00"/>
    <x v="24"/>
    <s v="Automations"/>
    <n v="8"/>
    <x v="12"/>
    <s v="No"/>
    <s v="Run: LOC Part 1 and 2 Run: AR Ageing Dev: Email Trigger Automation"/>
    <x v="1"/>
    <s v="Monday"/>
  </r>
  <r>
    <d v="2024-02-05T00:00:00"/>
    <x v="25"/>
    <s v="Bookkeeping"/>
    <n v="0.15"/>
    <x v="52"/>
    <s v="Yes"/>
    <s v="GIC jurnal for month and respond to Tien re card feed and fixed fee."/>
    <x v="1"/>
    <s v="Monday"/>
  </r>
  <r>
    <d v="2024-02-05T00:00:00"/>
    <x v="25"/>
    <s v="Bookkeeping"/>
    <n v="0.18"/>
    <x v="67"/>
    <s v="Yes"/>
    <s v="Emails and confirm journals in regard to BAS and other statements. Email to Tyson re Atmosphere payable"/>
    <x v="1"/>
    <s v="Monday"/>
  </r>
  <r>
    <d v="2024-02-05T00:00:00"/>
    <x v="25"/>
    <s v="Bookkeeping"/>
    <n v="0.22"/>
    <x v="42"/>
    <s v="Yes"/>
    <s v="download and save bank statements for EOFY review"/>
    <x v="1"/>
    <s v="Monday"/>
  </r>
  <r>
    <d v="2024-02-05T00:00:00"/>
    <x v="25"/>
    <s v="Bookkeeping"/>
    <n v="0.67"/>
    <x v="25"/>
    <s v="Yes"/>
    <s v="Response to Emily tax queries."/>
    <x v="1"/>
    <s v="Monday"/>
  </r>
  <r>
    <d v="2024-02-05T00:00:00"/>
    <x v="25"/>
    <s v="Bookkeeping"/>
    <n v="0.68"/>
    <x v="67"/>
    <s v="Yes"/>
    <s v="Load weekly payments to bank and email / message client Update Ef for bookkeeping"/>
    <x v="1"/>
    <s v="Monday"/>
  </r>
  <r>
    <d v="2024-02-05T00:00:00"/>
    <x v="25"/>
    <s v="Client Admin"/>
    <n v="0.17"/>
    <x v="12"/>
    <s v="No"/>
    <s v="Message to Nica re pinnacle fees"/>
    <x v="1"/>
    <s v="Monday"/>
  </r>
  <r>
    <d v="2024-02-05T00:00:00"/>
    <x v="25"/>
    <s v="Client Admin"/>
    <n v="0.47"/>
    <x v="12"/>
    <s v="No"/>
    <s v="Emails and invoicing checks"/>
    <x v="1"/>
    <s v="Monday"/>
  </r>
  <r>
    <d v="2024-02-05T00:00:00"/>
    <x v="25"/>
    <s v="Payroll Processing"/>
    <n v="0.15"/>
    <x v="46"/>
    <s v="Yes"/>
    <s v="Payroll amendment"/>
    <x v="1"/>
    <s v="Monday"/>
  </r>
  <r>
    <d v="2024-02-05T00:00:00"/>
    <x v="25"/>
    <s v="Payroll Processing"/>
    <n v="0.15"/>
    <x v="37"/>
    <s v="Yes"/>
    <s v="Payroll emails"/>
    <x v="1"/>
    <s v="Monday"/>
  </r>
  <r>
    <d v="2024-02-05T00:00:00"/>
    <x v="25"/>
    <s v="Payroll Processing"/>
    <n v="0.15"/>
    <x v="37"/>
    <s v="Yes"/>
    <s v="W/comp claim queries"/>
    <x v="1"/>
    <s v="Monday"/>
  </r>
  <r>
    <d v="2024-02-05T00:00:00"/>
    <x v="25"/>
    <s v="Payroll Processing"/>
    <n v="0.22"/>
    <x v="37"/>
    <s v="Yes"/>
    <s v="Message with rose and email to Veronika re Eddie Aydin claim first 10 days"/>
    <x v="1"/>
    <s v="Monday"/>
  </r>
  <r>
    <d v="2024-02-05T00:00:00"/>
    <x v="25"/>
    <s v="Payroll Processing"/>
    <n v="3.75"/>
    <x v="37"/>
    <s v="Yes"/>
    <s v="REview Christmas costings - meeting Entry of reversals Reentry of reversals - liaise with team and Rose Jess re Trinh Nguyen last day payment - add to file for processing"/>
    <x v="1"/>
    <s v="Monday"/>
  </r>
  <r>
    <d v="2024-02-05T00:00:00"/>
    <x v="51"/>
    <s v="General"/>
    <n v="0.33"/>
    <x v="12"/>
    <s v="No"/>
    <s v="HR Project - Client System - Email (Chris) Partnerships Program e.g. Happy HR - Dexterous  Vote Employee of the Month - January 2024 - Dexterous"/>
    <x v="1"/>
    <s v="Monday"/>
  </r>
  <r>
    <d v="2024-02-05T00:00:00"/>
    <x v="51"/>
    <s v="Meetings"/>
    <n v="0.5"/>
    <x v="12"/>
    <s v="No"/>
    <s v="Sydney Weekly Team Catch Up - Dexterous"/>
    <x v="1"/>
    <s v="Monday"/>
  </r>
  <r>
    <d v="2024-02-05T00:00:00"/>
    <x v="51"/>
    <s v="P&amp;C Advisory - Nordfab"/>
    <n v="0.08"/>
    <x v="63"/>
    <s v="Yes"/>
    <s v="Follow Up Face-to-Face Interview (Arif) - Left Voicemail, No Response - Skilled Tradesperson (Sheetmetal) - VIC - Nordfab - Alison"/>
    <x v="1"/>
    <s v="Monday"/>
  </r>
  <r>
    <d v="2024-02-05T00:00:00"/>
    <x v="51"/>
    <s v="P&amp;C Advisory - Nordfab"/>
    <n v="0.17"/>
    <x v="63"/>
    <s v="Yes"/>
    <s v="Schedule &amp; Confirm Face-to-Face Interview (Zeljko) - Workshop Hand/Storeperson - VIC - Nordfab - Alison"/>
    <x v="1"/>
    <s v="Monday"/>
  </r>
  <r>
    <d v="2024-02-05T00:00:00"/>
    <x v="51"/>
    <s v="P&amp;C Advisory - Nordfab"/>
    <n v="0.5"/>
    <x v="63"/>
    <s v="Yes"/>
    <s v="Review Seek Applications - Skilled Tradesperson (Sheetmetal) - Job Ad Expires 7 days - VIC - Nordfab - Alison  Review Seek Applications - Factory Hand/Warehouse Assistant - Job Ad Expired - NSW - Nordfab - Alison"/>
    <x v="1"/>
    <s v="Monday"/>
  </r>
  <r>
    <d v="2024-02-05T00:00:00"/>
    <x v="51"/>
    <s v="P&amp;C Advisory - Nordfab"/>
    <n v="1"/>
    <x v="63"/>
    <s v="Yes"/>
    <s v="Telephone Screens - Factory Hand/Warehouse Assistant (David, Ahmad, Fernando &amp; Adiyah) - NSW - Nordfab - Alison"/>
    <x v="1"/>
    <s v="Monday"/>
  </r>
  <r>
    <d v="2024-02-05T00:00:00"/>
    <x v="26"/>
    <s v="Client Meeting"/>
    <n v="0.1"/>
    <x v="60"/>
    <s v="No"/>
    <s v="Attending to queries"/>
    <x v="1"/>
    <s v="Monday"/>
  </r>
  <r>
    <d v="2024-02-05T00:00:00"/>
    <x v="26"/>
    <s v="Client Meeting"/>
    <n v="0.57999999999999996"/>
    <x v="12"/>
    <s v="No"/>
    <s v="BAS weekly meeting with Shalini, Follow up, concern and issues. "/>
    <x v="1"/>
    <s v="Monday"/>
  </r>
  <r>
    <d v="2024-02-05T00:00:00"/>
    <x v="26"/>
    <s v="General"/>
    <n v="0.17"/>
    <x v="12"/>
    <s v="No"/>
    <s v="Desktop and notepad sorting &amp; Cleaning"/>
    <x v="1"/>
    <s v="Monday"/>
  </r>
  <r>
    <d v="2024-02-05T00:00:00"/>
    <x v="26"/>
    <s v="General"/>
    <n v="0.18"/>
    <x v="12"/>
    <s v="No"/>
    <s v="Chat message from Rejie, Con and Mel. "/>
    <x v="1"/>
    <s v="Monday"/>
  </r>
  <r>
    <d v="2024-02-05T00:00:00"/>
    <x v="26"/>
    <s v="General"/>
    <n v="0.25"/>
    <x v="12"/>
    <s v="No"/>
    <s v="15 mins coffee breaks as paid per Labor Code of the Philippines, Article 85. ( Afternoon Break ) "/>
    <x v="1"/>
    <s v="Monday"/>
  </r>
  <r>
    <d v="2024-02-05T00:00:00"/>
    <x v="26"/>
    <s v="General"/>
    <n v="0.25"/>
    <x v="12"/>
    <s v="No"/>
    <s v="15 mins coffee breaks as paid per Labor Code of the Philippines, Article 85. ( Morning Break )"/>
    <x v="1"/>
    <s v="Monday"/>
  </r>
  <r>
    <d v="2024-02-05T00:00:00"/>
    <x v="26"/>
    <s v="General"/>
    <n v="0.42"/>
    <x v="12"/>
    <s v="No"/>
    <s v="Morning email"/>
    <x v="1"/>
    <s v="Monday"/>
  </r>
  <r>
    <d v="2024-02-05T00:00:00"/>
    <x v="26"/>
    <s v="IAS/BAS Preparation &amp; Lodgement - Oct-Dec"/>
    <n v="0.23"/>
    <x v="48"/>
    <s v="Yes"/>
    <s v="BAS Dec 2023"/>
    <x v="1"/>
    <s v="Monday"/>
  </r>
  <r>
    <d v="2024-02-05T00:00:00"/>
    <x v="26"/>
    <s v="IAS/BAS Preparation &amp; Lodgement - Oct-Dec"/>
    <n v="0.72"/>
    <x v="65"/>
    <s v="Yes"/>
    <m/>
    <x v="1"/>
    <s v="Monday"/>
  </r>
  <r>
    <d v="2024-02-05T00:00:00"/>
    <x v="26"/>
    <s v="IAS/BAS Preparation &amp; Lodgement - Oct-Dec"/>
    <n v="0.78"/>
    <x v="48"/>
    <s v="Yes"/>
    <s v="Dec. 2023 BAS"/>
    <x v="1"/>
    <s v="Monday"/>
  </r>
  <r>
    <d v="2024-02-05T00:00:00"/>
    <x v="26"/>
    <s v="Tax Admin"/>
    <n v="0.12"/>
    <x v="12"/>
    <s v="No"/>
    <s v="XPM"/>
    <x v="1"/>
    <s v="Monday"/>
  </r>
  <r>
    <d v="2024-02-05T00:00:00"/>
    <x v="26"/>
    <s v="Tax Admin"/>
    <n v="1.67"/>
    <x v="12"/>
    <s v="No"/>
    <s v="BAS/IAS monthly - February period.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s v="Monday"/>
  </r>
  <r>
    <d v="2024-02-05T00:00:00"/>
    <x v="26"/>
    <s v="Tax Admin"/>
    <n v="2.5"/>
    <x v="12"/>
    <s v="No"/>
    <s v="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s v="Monday"/>
  </r>
  <r>
    <d v="2024-02-05T00:00:00"/>
    <x v="26"/>
    <s v="Unpaid Leave"/>
    <n v="0.15"/>
    <x v="12"/>
    <s v="No"/>
    <s v="Work late, unpaid"/>
    <x v="1"/>
    <s v="Monday"/>
  </r>
  <r>
    <d v="2024-02-05T00:00:00"/>
    <x v="27"/>
    <s v="Meetings"/>
    <n v="0.5"/>
    <x v="12"/>
    <s v="No"/>
    <s v="Weekly Sydney team meeting"/>
    <x v="1"/>
    <s v="Monday"/>
  </r>
  <r>
    <d v="2024-02-05T00:00:00"/>
    <x v="27"/>
    <s v="P&amp;C Advisory"/>
    <n v="0.33"/>
    <x v="82"/>
    <s v="Yes"/>
    <s v="Chat with Kirsten re employee going on parental leave, the current Studio Payne parental leave policy, wording surrounding paid parental leave, and work to be completed to review policy and procedure."/>
    <x v="1"/>
    <s v="Monday"/>
  </r>
  <r>
    <d v="2024-02-05T00:00:00"/>
    <x v="27"/>
    <s v="P&amp;C Advisory"/>
    <n v="7.17"/>
    <x v="19"/>
    <s v="Yes"/>
    <s v="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
    <x v="1"/>
    <s v="Monday"/>
  </r>
  <r>
    <d v="2024-02-05T00:00:00"/>
    <x v="28"/>
    <s v="Bookkeeping"/>
    <n v="8.9700000000000006"/>
    <x v="16"/>
    <s v="Yes"/>
    <m/>
    <x v="1"/>
    <s v="Monday"/>
  </r>
  <r>
    <d v="2024-02-05T00:00:00"/>
    <x v="29"/>
    <s v="Bookkeeping"/>
    <n v="0.5"/>
    <x v="49"/>
    <s v="Yes"/>
    <s v="Dec 2023 BAS  checklist review COGS - freight"/>
    <x v="1"/>
    <s v="Monday"/>
  </r>
  <r>
    <d v="2024-02-05T00:00:00"/>
    <x v="29"/>
    <s v="Bookkeeping"/>
    <n v="0.5"/>
    <x v="49"/>
    <s v="Yes"/>
    <s v="Email Arc tax summary of Superfoods to commence tax return"/>
    <x v="1"/>
    <s v="Monday"/>
  </r>
  <r>
    <d v="2024-02-05T00:00:00"/>
    <x v="29"/>
    <s v="Bookkeeping - Backlog"/>
    <n v="0.75"/>
    <x v="49"/>
    <s v="Yes"/>
    <s v="Daniel - SOLE TRADER ACC Income worksheet and rec"/>
    <x v="1"/>
    <s v="Monday"/>
  </r>
  <r>
    <d v="2024-02-05T00:00:00"/>
    <x v="30"/>
    <s v="Annual Leave"/>
    <n v="8"/>
    <x v="12"/>
    <s v="No"/>
    <m/>
    <x v="1"/>
    <s v="Monday"/>
  </r>
  <r>
    <d v="2024-02-05T00:00:00"/>
    <x v="31"/>
    <s v="Adhoc Support &amp; Advice"/>
    <n v="0.65"/>
    <x v="16"/>
    <s v="No"/>
    <s v="Alliance automation meeting / check data"/>
    <x v="1"/>
    <s v="Monday"/>
  </r>
  <r>
    <d v="2024-02-05T00:00:00"/>
    <x v="31"/>
    <s v="Client Meeting"/>
    <n v="0.63"/>
    <x v="12"/>
    <s v="No"/>
    <s v="emails / final pay review / contractor's super review"/>
    <x v="1"/>
    <s v="Monday"/>
  </r>
  <r>
    <d v="2024-02-05T00:00:00"/>
    <x v="31"/>
    <s v="Client Meeting"/>
    <n v="0.95"/>
    <x v="16"/>
    <s v="Yes"/>
    <s v="emails / AP team meeting"/>
    <x v="1"/>
    <s v="Monday"/>
  </r>
  <r>
    <d v="2024-02-05T00:00:00"/>
    <x v="31"/>
    <s v="Management Reporting"/>
    <n v="0.17"/>
    <x v="12"/>
    <s v="No"/>
    <s v="BIR REview Branch"/>
    <x v="1"/>
    <s v="Monday"/>
  </r>
  <r>
    <d v="2024-02-05T00:00:00"/>
    <x v="31"/>
    <s v="Management Reporting"/>
    <n v="0.38"/>
    <x v="12"/>
    <s v="No"/>
    <s v="month-end Branch / HO / RO"/>
    <x v="1"/>
    <s v="Monday"/>
  </r>
  <r>
    <d v="2024-02-05T00:00:00"/>
    <x v="31"/>
    <s v="Management Reporting"/>
    <n v="0.53"/>
    <x v="12"/>
    <s v="No"/>
    <s v="Preparation of cheque and documents to be sent to Tess for BIR payments"/>
    <x v="1"/>
    <s v="Monday"/>
  </r>
  <r>
    <d v="2024-02-05T00:00:00"/>
    <x v="31"/>
    <s v="Management Reporting"/>
    <n v="1.05"/>
    <x v="12"/>
    <s v="No"/>
    <s v="CF / emails / BAS file / weekly catch up with James"/>
    <x v="1"/>
    <s v="Monday"/>
  </r>
  <r>
    <d v="2024-02-05T00:00:00"/>
    <x v="31"/>
    <s v="Management Reporting"/>
    <n v="1.18"/>
    <x v="12"/>
    <s v="No"/>
    <s v="Branch - monthend"/>
    <x v="1"/>
    <s v="Monday"/>
  </r>
  <r>
    <d v="2024-02-05T00:00:00"/>
    <x v="31"/>
    <s v="Management Reporting"/>
    <n v="1.55"/>
    <x v="12"/>
    <s v="No"/>
    <s v="Branch month-end"/>
    <x v="1"/>
    <s v="Monday"/>
  </r>
  <r>
    <d v="2024-02-05T00:00:00"/>
    <x v="31"/>
    <s v="Management Reporting"/>
    <n v="1.95"/>
    <x v="12"/>
    <s v="No"/>
    <s v="Branch / HO / RO month-end"/>
    <x v="1"/>
    <s v="Monday"/>
  </r>
  <r>
    <d v="2024-02-05T00:00:00"/>
    <x v="32"/>
    <s v="Bookkeeping"/>
    <n v="1.22"/>
    <x v="51"/>
    <s v="Yes"/>
    <s v="LOC Domestic Clearing accounts, including Afterpay fees recognition  Clearing Paypal Domestic Bills raise to xero approving sales to a2x Send Commission  "/>
    <x v="1"/>
    <s v="Monday"/>
  </r>
  <r>
    <d v="2024-02-05T00:00:00"/>
    <x v="32"/>
    <s v="Bookkeeping"/>
    <n v="6.28"/>
    <x v="51"/>
    <s v="Yes"/>
    <s v="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
    <x v="1"/>
    <s v="Monday"/>
  </r>
  <r>
    <d v="2024-02-05T00:00:00"/>
    <x v="32"/>
    <s v="General"/>
    <n v="0.5"/>
    <x v="12"/>
    <s v="No"/>
    <s v="Break"/>
    <x v="1"/>
    <s v="Monday"/>
  </r>
  <r>
    <d v="2024-02-05T00:00:00"/>
    <x v="33"/>
    <s v="IT"/>
    <n v="9"/>
    <x v="12"/>
    <s v="No"/>
    <s v="IT Support"/>
    <x v="1"/>
    <s v="Monday"/>
  </r>
  <r>
    <d v="2024-02-05T00:00:00"/>
    <x v="34"/>
    <s v="Bookkeeping"/>
    <n v="0.55000000000000004"/>
    <x v="45"/>
    <s v="Yes"/>
    <s v="Email Management Bills Processing Bank Recon "/>
    <x v="1"/>
    <s v="Monday"/>
  </r>
  <r>
    <d v="2024-02-05T00:00:00"/>
    <x v="34"/>
    <s v="Bookkeeping"/>
    <n v="1.05"/>
    <x v="43"/>
    <s v="Yes"/>
    <s v="Email Management Bill Processing and AP Recon"/>
    <x v="1"/>
    <s v="Monday"/>
  </r>
  <r>
    <d v="2024-02-05T00:00:00"/>
    <x v="34"/>
    <s v="Bookkeeping"/>
    <n v="4.82"/>
    <x v="15"/>
    <s v="Yes"/>
    <s v="Email Management Bill Processing Bank Recon  Preparation of Payroll Tax "/>
    <x v="1"/>
    <s v="Monday"/>
  </r>
  <r>
    <d v="2024-02-05T00:00:00"/>
    <x v="34"/>
    <s v="General"/>
    <n v="0.72"/>
    <x v="12"/>
    <s v="No"/>
    <s v="Email Management "/>
    <x v="1"/>
    <s v="Monday"/>
  </r>
  <r>
    <d v="2024-02-05T00:00:00"/>
    <x v="34"/>
    <s v="Payroll Processing"/>
    <n v="0.88"/>
    <x v="43"/>
    <s v="Yes"/>
    <s v="Process of 2 VA's Payroll and payment via Airwallex   Process of AU employee payroll for Kate's review"/>
    <x v="1"/>
    <s v="Monday"/>
  </r>
  <r>
    <d v="2024-02-05T00:00:00"/>
    <x v="35"/>
    <s v="Accounts"/>
    <n v="0.53"/>
    <x v="12"/>
    <s v="No"/>
    <s v="Check stripe payment, cancel and email related accounts"/>
    <x v="1"/>
    <s v="Monday"/>
  </r>
  <r>
    <d v="2024-02-05T00:00:00"/>
    <x v="35"/>
    <s v="Accounts"/>
    <n v="1"/>
    <x v="12"/>
    <s v="No"/>
    <s v="Catch up various emails and respond to their requests."/>
    <x v="1"/>
    <s v="Monday"/>
  </r>
  <r>
    <d v="2024-02-05T00:00:00"/>
    <x v="35"/>
    <s v="Accounts"/>
    <n v="1.55"/>
    <x v="12"/>
    <s v="No"/>
    <s v="Process bank recs. Catch up emails. Prepare all bills related to bank recs. Check timesheet and email."/>
    <x v="1"/>
    <s v="Monday"/>
  </r>
  <r>
    <d v="2024-02-05T00:00:00"/>
    <x v="35"/>
    <s v="Bookkeeping"/>
    <n v="0.95"/>
    <x v="12"/>
    <s v="No"/>
    <s v="Compliance invoicing update and coordination"/>
    <x v="1"/>
    <s v="Monday"/>
  </r>
  <r>
    <d v="2024-02-05T00:00:00"/>
    <x v="35"/>
    <s v="Bookkeeping"/>
    <n v="4.62"/>
    <x v="12"/>
    <s v="No"/>
    <s v="Prepare timesheet and invoices update for CM approval"/>
    <x v="1"/>
    <s v="Monday"/>
  </r>
  <r>
    <d v="2024-02-05T00:00:00"/>
    <x v="35"/>
    <s v="Payroll Processing"/>
    <n v="0.77"/>
    <x v="53"/>
    <s v="No"/>
    <s v="Final pay file updates and email to HR/Z "/>
    <x v="1"/>
    <s v="Monday"/>
  </r>
  <r>
    <d v="2024-02-05T00:00:00"/>
    <x v="36"/>
    <s v="Web"/>
    <n v="10"/>
    <x v="12"/>
    <s v="No"/>
    <s v="✅ merge branch feature-00 for staging and deployment ✅ integrated Google Analytics through must-use plugin 🟥 change the content of the payroll page"/>
    <x v="1"/>
    <s v="Monday"/>
  </r>
  <r>
    <d v="2024-02-05T00:00:00"/>
    <x v="37"/>
    <s v="Bookkeeping"/>
    <n v="0.25"/>
    <x v="83"/>
    <s v="Yes"/>
    <m/>
    <x v="1"/>
    <s v="Monday"/>
  </r>
  <r>
    <d v="2024-02-05T00:00:00"/>
    <x v="37"/>
    <s v="Bookkeeping"/>
    <n v="0.5"/>
    <x v="84"/>
    <s v="Yes"/>
    <s v="making ato payment and payroll query email to Nici"/>
    <x v="1"/>
    <s v="Monday"/>
  </r>
  <r>
    <d v="2024-02-05T00:00:00"/>
    <x v="37"/>
    <s v="Bookkeeping"/>
    <n v="0.75"/>
    <x v="85"/>
    <s v="Yes"/>
    <m/>
    <x v="1"/>
    <s v="Monday"/>
  </r>
  <r>
    <d v="2024-02-05T00:00:00"/>
    <x v="37"/>
    <s v="Bookkeeping"/>
    <n v="1"/>
    <x v="84"/>
    <s v="Yes"/>
    <s v="Income Draw and setting up inter co transfers"/>
    <x v="1"/>
    <s v="Monday"/>
  </r>
  <r>
    <d v="2024-02-05T00:00:00"/>
    <x v="37"/>
    <s v="IAS/BAS Preparation &amp; Lodgement - Jan"/>
    <n v="0.25"/>
    <x v="83"/>
    <s v="Yes"/>
    <m/>
    <x v="1"/>
    <s v="Monday"/>
  </r>
  <r>
    <d v="2024-02-05T00:00:00"/>
    <x v="37"/>
    <s v="Management Reporting"/>
    <n v="0.25"/>
    <x v="83"/>
    <s v="Yes"/>
    <s v="Adhoc request for Bank balance"/>
    <x v="1"/>
    <s v="Monday"/>
  </r>
  <r>
    <d v="2024-02-05T00:00:00"/>
    <x v="37"/>
    <s v="Meetings"/>
    <n v="2"/>
    <x v="12"/>
    <s v="No"/>
    <s v="Moody Handover call with Charmie"/>
    <x v="1"/>
    <s v="Monday"/>
  </r>
  <r>
    <d v="2024-02-05T00:00:00"/>
    <x v="37"/>
    <s v="Payroll Processing"/>
    <n v="0.25"/>
    <x v="86"/>
    <s v="Yes"/>
    <m/>
    <x v="1"/>
    <s v="Monday"/>
  </r>
  <r>
    <d v="2024-02-05T00:00:00"/>
    <x v="37"/>
    <s v="Payroll Processing"/>
    <n v="0.25"/>
    <x v="83"/>
    <s v="Yes"/>
    <m/>
    <x v="1"/>
    <s v="Monday"/>
  </r>
  <r>
    <d v="2024-02-05T00:00:00"/>
    <x v="38"/>
    <s v="Client Manager"/>
    <n v="0.08"/>
    <x v="87"/>
    <s v="Yes"/>
    <s v="Customer analysis report"/>
    <x v="1"/>
    <s v="Monday"/>
  </r>
  <r>
    <d v="2024-02-05T00:00:00"/>
    <x v="38"/>
    <s v="Client Manager"/>
    <n v="0.33"/>
    <x v="87"/>
    <s v="No"/>
    <s v="Meeting with Carly"/>
    <x v="1"/>
    <s v="Monday"/>
  </r>
  <r>
    <d v="2024-02-05T00:00:00"/>
    <x v="38"/>
    <s v="Client Manager"/>
    <n v="3.33"/>
    <x v="2"/>
    <s v="Yes"/>
    <s v="Asana follow ups Budget  emails, teams, Asana Fathom report meeting prep month end process documentation"/>
    <x v="1"/>
    <s v="Monday"/>
  </r>
  <r>
    <d v="2024-02-05T00:00:00"/>
    <x v="38"/>
    <s v="Learning &amp; Development"/>
    <n v="0.73"/>
    <x v="12"/>
    <s v="No"/>
    <s v="Xero learning for TasmanAgri"/>
    <x v="1"/>
    <s v="Monday"/>
  </r>
  <r>
    <d v="2024-02-05T00:00:00"/>
    <x v="38"/>
    <s v="Meetings"/>
    <n v="0.3"/>
    <x v="12"/>
    <s v="No"/>
    <s v="Sydney weekly meeting"/>
    <x v="1"/>
    <s v="Monday"/>
  </r>
  <r>
    <d v="2024-02-05T00:00:00"/>
    <x v="38"/>
    <s v="Meetings"/>
    <n v="1.22"/>
    <x v="12"/>
    <s v="No"/>
    <s v="Meeting with Shalini on BAS"/>
    <x v="1"/>
    <s v="Monday"/>
  </r>
  <r>
    <d v="2024-02-05T00:00:00"/>
    <x v="39"/>
    <s v="Bookkeeping"/>
    <n v="0.15"/>
    <x v="14"/>
    <s v="Yes"/>
    <s v="rent cpi, "/>
    <x v="1"/>
    <s v="Monday"/>
  </r>
  <r>
    <d v="2024-02-05T00:00:00"/>
    <x v="39"/>
    <s v="Bookkeeping"/>
    <n v="0.52"/>
    <x v="55"/>
    <s v="Yes"/>
    <s v="emails &amp; call"/>
    <x v="1"/>
    <s v="Monday"/>
  </r>
  <r>
    <d v="2024-02-05T00:00:00"/>
    <x v="39"/>
    <s v="Bookkeeping"/>
    <n v="0.55000000000000004"/>
    <x v="14"/>
    <s v="Yes"/>
    <s v="rent"/>
    <x v="1"/>
    <s v="Monday"/>
  </r>
  <r>
    <d v="2024-02-05T00:00:00"/>
    <x v="39"/>
    <s v="Bookkeeping"/>
    <n v="0.7"/>
    <x v="14"/>
    <s v="Yes"/>
    <m/>
    <x v="1"/>
    <s v="Monday"/>
  </r>
  <r>
    <d v="2024-02-05T00:00:00"/>
    <x v="39"/>
    <s v="Bookkeeping"/>
    <n v="1.88"/>
    <x v="55"/>
    <s v="Yes"/>
    <s v="Adhoc - Super queries, iCare, Wages Recon"/>
    <x v="1"/>
    <s v="Monday"/>
  </r>
  <r>
    <d v="2024-02-05T00:00:00"/>
    <x v="39"/>
    <s v="Bookkeeping"/>
    <n v="3.42"/>
    <x v="55"/>
    <s v="Yes"/>
    <s v="AP"/>
    <x v="1"/>
    <s v="Monday"/>
  </r>
  <r>
    <d v="2024-02-05T00:00:00"/>
    <x v="39"/>
    <s v="General"/>
    <n v="0.15"/>
    <x v="12"/>
    <s v="No"/>
    <s v="set up meeting"/>
    <x v="1"/>
    <s v="Monday"/>
  </r>
  <r>
    <d v="2024-02-05T00:00:00"/>
    <x v="40"/>
    <s v="General"/>
    <n v="0.18"/>
    <x v="12"/>
    <s v="No"/>
    <s v="Dex emails"/>
    <x v="1"/>
    <s v="Monday"/>
  </r>
  <r>
    <d v="2024-02-05T00:00:00"/>
    <x v="40"/>
    <s v="Management Reporting"/>
    <n v="4.25"/>
    <x v="36"/>
    <s v="Yes"/>
    <s v="Processed Yvette's PPL Month end tasks Answered emails"/>
    <x v="1"/>
    <s v="Monday"/>
  </r>
  <r>
    <d v="2024-02-05T00:00:00"/>
    <x v="40"/>
    <s v="Management Reporting"/>
    <n v="5.35"/>
    <x v="36"/>
    <s v="Yes"/>
    <s v="Month end tasks"/>
    <x v="1"/>
    <s v="Monday"/>
  </r>
  <r>
    <d v="2024-02-05T00:00:00"/>
    <x v="41"/>
    <s v="General"/>
    <n v="1.77"/>
    <x v="12"/>
    <s v="No"/>
    <s v="Staff matters Capacity strategy allocation "/>
    <x v="1"/>
    <s v="Monday"/>
  </r>
  <r>
    <d v="2024-02-05T00:00:00"/>
    <x v="41"/>
    <s v="General"/>
    <n v="2.38"/>
    <x v="12"/>
    <s v="No"/>
    <s v="Weekly XPM timesheet review Weekly billable hours reporting to Nick Follow-up on unsubmitted timesheets Working on capacity due to April resignation"/>
    <x v="1"/>
    <s v="Monday"/>
  </r>
  <r>
    <d v="2024-02-05T00:00:00"/>
    <x v="41"/>
    <s v="General"/>
    <n v="4.72"/>
    <x v="12"/>
    <s v="No"/>
    <s v="Aider tool assessment XPM reports  Productivity tool project collation of tools Resignation of April Tortal arrangement "/>
    <x v="1"/>
    <s v="Monday"/>
  </r>
  <r>
    <d v="2024-02-05T00:00:00"/>
    <x v="41"/>
    <s v="Meetings"/>
    <n v="0.23"/>
    <x v="12"/>
    <s v="No"/>
    <s v="Call with Carly re: payroll tax training"/>
    <x v="1"/>
    <s v="Monday"/>
  </r>
  <r>
    <d v="2024-02-05T00:00:00"/>
    <x v="41"/>
    <s v="Meetings"/>
    <n v="0.27"/>
    <x v="12"/>
    <s v="No"/>
    <s v="Meeting with Ann re capacity and team movements"/>
    <x v="1"/>
    <s v="Monday"/>
  </r>
  <r>
    <d v="2024-02-05T00:00:00"/>
    <x v="42"/>
    <s v="Bookkeeping"/>
    <n v="7.7"/>
    <x v="16"/>
    <s v="Yes"/>
    <m/>
    <x v="1"/>
    <s v="Monday"/>
  </r>
  <r>
    <d v="2024-02-05T00:00:00"/>
    <x v="42"/>
    <s v="Client Meeting"/>
    <n v="0.5"/>
    <x v="16"/>
    <s v="Yes"/>
    <s v="Meeting with James and AP Team"/>
    <x v="1"/>
    <s v="Monday"/>
  </r>
  <r>
    <d v="2024-02-05T00:00:00"/>
    <x v="43"/>
    <s v="Bookkeeping"/>
    <n v="0.48"/>
    <x v="51"/>
    <s v="Yes"/>
    <s v="Query from Maan re bank revaluations"/>
    <x v="1"/>
    <s v="Monday"/>
  </r>
  <r>
    <d v="2024-02-05T00:00:00"/>
    <x v="43"/>
    <s v="Client Meeting"/>
    <n v="0.6"/>
    <x v="51"/>
    <s v="Yes"/>
    <s v="Catch up with Lauren and Maan"/>
    <x v="1"/>
    <s v="Monday"/>
  </r>
  <r>
    <d v="2024-02-05T00:00:00"/>
    <x v="43"/>
    <s v="General"/>
    <n v="0.5"/>
    <x v="12"/>
    <s v="No"/>
    <s v="break"/>
    <x v="1"/>
    <s v="Monday"/>
  </r>
  <r>
    <d v="2024-02-05T00:00:00"/>
    <x v="43"/>
    <s v="General"/>
    <n v="0.56999999999999995"/>
    <x v="12"/>
    <s v="No"/>
    <s v="Morning emails, teams messages, call with April re resignation"/>
    <x v="1"/>
    <s v="Monday"/>
  </r>
  <r>
    <d v="2024-02-05T00:00:00"/>
    <x v="43"/>
    <s v="Meetings"/>
    <n v="0.6"/>
    <x v="12"/>
    <s v="No"/>
    <s v="Catch up with Ali"/>
    <x v="1"/>
    <s v="Monday"/>
  </r>
  <r>
    <d v="2024-02-05T00:00:00"/>
    <x v="43"/>
    <s v="Payroll Processing"/>
    <n v="0.32"/>
    <x v="54"/>
    <s v="Yes"/>
    <s v="Payroll review"/>
    <x v="1"/>
    <s v="Monday"/>
  </r>
  <r>
    <d v="2024-02-05T00:00:00"/>
    <x v="43"/>
    <s v="Payroll Processing"/>
    <n v="0.32"/>
    <x v="37"/>
    <s v="Yes"/>
    <s v="Ad hoc pay runs for re-allocation of hours last Dec23"/>
    <x v="1"/>
    <s v="Monday"/>
  </r>
  <r>
    <d v="2024-02-05T00:00:00"/>
    <x v="43"/>
    <s v="Payroll Processing"/>
    <n v="0.5"/>
    <x v="37"/>
    <s v="Yes"/>
    <s v="Payroll processing (11:40 to 12:10 ) hours from 06/02 in excess of 8 hrs"/>
    <x v="1"/>
    <s v="Monday"/>
  </r>
  <r>
    <d v="2024-02-05T00:00:00"/>
    <x v="43"/>
    <s v="Payroll Processing"/>
    <n v="0.62"/>
    <x v="37"/>
    <s v="Yes"/>
    <s v="Eddie Aydin - Worker's Comp"/>
    <x v="1"/>
    <s v="Monday"/>
  </r>
  <r>
    <d v="2024-02-05T00:00:00"/>
    <x v="43"/>
    <s v="Payroll Processing"/>
    <n v="0.67"/>
    <x v="37"/>
    <s v="Yes"/>
    <s v="Payroll journals, email to Allison, teams messages with Kate"/>
    <x v="1"/>
    <s v="Monday"/>
  </r>
  <r>
    <d v="2024-02-05T00:00:00"/>
    <x v="43"/>
    <s v="Payroll Processing"/>
    <n v="0.75"/>
    <x v="37"/>
    <s v="Yes"/>
    <s v="AL liability report Jan24"/>
    <x v="1"/>
    <s v="Monday"/>
  </r>
  <r>
    <d v="2024-02-05T00:00:00"/>
    <x v="43"/>
    <s v="Payroll Processing"/>
    <n v="0.92"/>
    <x v="37"/>
    <s v="Yes"/>
    <s v="Action payroll emails, review ad hoc pay run, update love file"/>
    <x v="1"/>
    <s v="Monday"/>
  </r>
  <r>
    <d v="2024-02-05T00:00:00"/>
    <x v="43"/>
    <s v="Payroll Processing"/>
    <n v="1.18"/>
    <x v="37"/>
    <s v="Yes"/>
    <s v="LSL liability report"/>
    <x v="1"/>
    <s v="Monday"/>
  </r>
  <r>
    <d v="2024-02-05T00:00:00"/>
    <x v="44"/>
    <s v="Company Tax Returns"/>
    <n v="0.17"/>
    <x v="56"/>
    <s v="Yes"/>
    <s v="Email to James re fixed fee proposal and information required"/>
    <x v="1"/>
    <s v="Monday"/>
  </r>
  <r>
    <d v="2024-02-05T00:00:00"/>
    <x v="44"/>
    <s v="Out-of-Scope Services"/>
    <n v="0.25"/>
    <x v="40"/>
    <s v="Yes"/>
    <s v="Review HK proposal and email feedback to Tom"/>
    <x v="1"/>
    <s v="Monday"/>
  </r>
  <r>
    <d v="2024-02-05T00:00:00"/>
    <x v="45"/>
    <s v="Bookkeeping"/>
    <n v="0.48"/>
    <x v="58"/>
    <s v="Yes"/>
    <s v="Bank rec"/>
    <x v="1"/>
    <s v="Monday"/>
  </r>
  <r>
    <d v="2024-02-05T00:00:00"/>
    <x v="45"/>
    <s v="Bookkeeping"/>
    <n v="0.67"/>
    <x v="57"/>
    <s v="Yes"/>
    <s v="Update cashflow AP and bank rec"/>
    <x v="1"/>
    <s v="Monday"/>
  </r>
  <r>
    <d v="2024-02-05T00:00:00"/>
    <x v="45"/>
    <s v="Bookkeeping"/>
    <n v="0.75"/>
    <x v="50"/>
    <s v="Yes"/>
    <s v="Payroll tax reconciliation"/>
    <x v="1"/>
    <s v="Monday"/>
  </r>
  <r>
    <d v="2024-02-05T00:00:00"/>
    <x v="45"/>
    <s v="Bookkeeping"/>
    <n v="3"/>
    <x v="50"/>
    <s v="Yes"/>
    <s v="Inbox mgmt Import bank transactions Process AP bills"/>
    <x v="1"/>
    <s v="Monday"/>
  </r>
  <r>
    <d v="2024-02-05T00:00:00"/>
    <x v="45"/>
    <s v="General"/>
    <n v="0.5"/>
    <x v="12"/>
    <s v="No"/>
    <s v="Paid break"/>
    <x v="1"/>
    <s v="Monday"/>
  </r>
  <r>
    <d v="2024-02-05T00:00:00"/>
    <x v="45"/>
    <s v="IAS/BAS Preparation &amp; Lodgement - Oct-Dec"/>
    <n v="0.27"/>
    <x v="11"/>
    <s v="Yes"/>
    <s v="BAS checklist"/>
    <x v="1"/>
    <s v="Monday"/>
  </r>
  <r>
    <d v="2024-02-05T00:00:00"/>
    <x v="45"/>
    <s v="Payroll Processing"/>
    <n v="7.0000000000000007E-2"/>
    <x v="11"/>
    <s v="Yes"/>
    <s v="Payroll review"/>
    <x v="1"/>
    <s v="Monday"/>
  </r>
  <r>
    <d v="2024-02-05T00:00:00"/>
    <x v="45"/>
    <s v="Payroll Processing"/>
    <n v="0.17"/>
    <x v="58"/>
    <s v="Yes"/>
    <s v="Prepare monthly payroll"/>
    <x v="1"/>
    <s v="Monday"/>
  </r>
  <r>
    <d v="2024-02-05T00:00:00"/>
    <x v="45"/>
    <s v="Payroll Processing"/>
    <n v="1.02"/>
    <x v="70"/>
    <s v="Yes"/>
    <s v="Superannuation reports and reconciliation"/>
    <x v="1"/>
    <s v="Monday"/>
  </r>
  <r>
    <d v="2024-02-05T00:00:00"/>
    <x v="45"/>
    <s v="Payroll Processing"/>
    <n v="1.32"/>
    <x v="70"/>
    <s v="Yes"/>
    <s v="Payroll tax"/>
    <x v="1"/>
    <s v="Monday"/>
  </r>
  <r>
    <d v="2024-02-05T00:00:00"/>
    <x v="46"/>
    <s v="Client Manager"/>
    <n v="0.25"/>
    <x v="59"/>
    <s v="Yes"/>
    <s v="Send payroll report for Jan 2024 to LM for IAS prep. Email Neeti re credit cad and further requirements"/>
    <x v="1"/>
    <s v="Monday"/>
  </r>
  <r>
    <d v="2024-02-05T00:00:00"/>
    <x v="46"/>
    <s v="Client Manager"/>
    <n v="0.25"/>
    <x v="55"/>
    <s v="Yes"/>
    <s v="Review email re workers comp, send feedback to Cess re reporting period, what to include etc"/>
    <x v="1"/>
    <s v="Monday"/>
  </r>
  <r>
    <d v="2024-02-05T00:00:00"/>
    <x v="46"/>
    <s v="Client Manager"/>
    <n v="0.33"/>
    <x v="72"/>
    <s v="Yes"/>
    <s v="Issue with PAYG Withholding Tax and GST cancellation. heck online. Respond accordingly "/>
    <x v="1"/>
    <s v="Monday"/>
  </r>
  <r>
    <d v="2024-02-05T00:00:00"/>
    <x v="46"/>
    <s v="Client Manager"/>
    <n v="0.5"/>
    <x v="29"/>
    <s v="Yes"/>
    <s v="Monthly meeting with Kerry"/>
    <x v="1"/>
    <s v="Monday"/>
  </r>
  <r>
    <d v="2024-02-05T00:00:00"/>
    <x v="46"/>
    <s v="Client Manager"/>
    <n v="0.5"/>
    <x v="88"/>
    <s v="Yes"/>
    <s v="Attend to email from David, send requested information, send payroll report for Jan 2024 for IAS preparation"/>
    <x v="1"/>
    <s v="Monday"/>
  </r>
  <r>
    <d v="2024-02-05T00:00:00"/>
    <x v="46"/>
    <s v="Client Manager"/>
    <n v="1"/>
    <x v="70"/>
    <s v="Yes"/>
    <s v="Review super for Jan 2024. Lodge same via SBSCH. Send report to Wayne for payment"/>
    <x v="1"/>
    <s v="Monday"/>
  </r>
  <r>
    <d v="2024-02-05T00:00:00"/>
    <x v="46"/>
    <s v="Client Manager"/>
    <n v="1"/>
    <x v="8"/>
    <s v="Yes"/>
    <s v="Review of BAS as at 31.12.2023. Send queries to Xavi/Aileen to further liaise with Irena"/>
    <x v="1"/>
    <s v="Monday"/>
  </r>
  <r>
    <d v="2024-02-05T00:00:00"/>
    <x v="46"/>
    <s v="General"/>
    <n v="1.5"/>
    <x v="12"/>
    <s v="No"/>
    <s v="Weekly invoices, BAS workflow, email team re BAS, IAS, Ezidebit, standard fees email to team, "/>
    <x v="1"/>
    <s v="Monday"/>
  </r>
  <r>
    <d v="2024-02-05T00:00:00"/>
    <x v="46"/>
    <s v="IAS/BAS Preparation &amp; Lodgement - Oct-Dec"/>
    <n v="0.33"/>
    <x v="9"/>
    <s v="Yes"/>
    <s v="IAS review and lodgement for Dec 2023 quarter"/>
    <x v="1"/>
    <s v="Monday"/>
  </r>
  <r>
    <d v="2024-02-05T00:00:00"/>
    <x v="46"/>
    <s v="Learning &amp; Development"/>
    <n v="1.25"/>
    <x v="12"/>
    <s v="No"/>
    <s v="One on one training with Nicole re BAS checklist, review process etc"/>
    <x v="1"/>
    <s v="Monday"/>
  </r>
  <r>
    <d v="2024-02-05T00:00:00"/>
    <x v="46"/>
    <s v="Meetings"/>
    <n v="0.5"/>
    <x v="12"/>
    <s v="No"/>
    <s v="Weekly catchup with LM"/>
    <x v="1"/>
    <s v="Monday"/>
  </r>
  <r>
    <d v="2024-02-05T00:00:00"/>
    <x v="46"/>
    <s v="Meetings"/>
    <n v="0.5"/>
    <x v="12"/>
    <s v="No"/>
    <s v="Weekly Sydney meeting"/>
    <x v="1"/>
    <s v="Monday"/>
  </r>
  <r>
    <d v="2024-02-05T00:00:00"/>
    <x v="50"/>
    <s v="Client Meeting"/>
    <n v="0.75"/>
    <x v="30"/>
    <s v="Yes"/>
    <s v="Email update on billing and deputy report prepared and emailed, SOP drafted for the deputy report and sent to Xavi"/>
    <x v="1"/>
    <s v="Monday"/>
  </r>
  <r>
    <d v="2024-02-05T00:00:00"/>
    <x v="47"/>
    <s v="Bookkeeping"/>
    <n v="0.3"/>
    <x v="50"/>
    <s v="Yes"/>
    <s v="AP - ASIC payments / email to team"/>
    <x v="1"/>
    <s v="Monday"/>
  </r>
  <r>
    <d v="2024-02-05T00:00:00"/>
    <x v="47"/>
    <s v="Bookkeeping"/>
    <n v="0.3"/>
    <x v="64"/>
    <s v="Yes"/>
    <s v="Explain / review Leave prov with Aileen"/>
    <x v="1"/>
    <s v="Monday"/>
  </r>
  <r>
    <d v="2024-02-05T00:00:00"/>
    <x v="47"/>
    <s v="Bookkeeping"/>
    <n v="0.7"/>
    <x v="50"/>
    <s v="Yes"/>
    <s v="Offsite costs"/>
    <x v="1"/>
    <s v="Monday"/>
  </r>
  <r>
    <d v="2024-02-05T00:00:00"/>
    <x v="47"/>
    <s v="Bookkeeping"/>
    <n v="0.97"/>
    <x v="50"/>
    <s v="Yes"/>
    <s v="January recharge Bank of America"/>
    <x v="1"/>
    <s v="Monday"/>
  </r>
  <r>
    <d v="2024-02-05T00:00:00"/>
    <x v="47"/>
    <s v="Client Admin"/>
    <n v="0.2"/>
    <x v="12"/>
    <s v="No"/>
    <s v="F/up teams SIAA, Capspace, Bellinger for January IAS"/>
    <x v="1"/>
    <s v="Monday"/>
  </r>
  <r>
    <d v="2024-02-05T00:00:00"/>
    <x v="47"/>
    <s v="Client Manager"/>
    <n v="0.3"/>
    <x v="50"/>
    <s v="Yes"/>
    <s v="New employee Cian"/>
    <x v="1"/>
    <s v="Monday"/>
  </r>
  <r>
    <d v="2024-02-05T00:00:00"/>
    <x v="47"/>
    <s v="Client Manager"/>
    <n v="0.9"/>
    <x v="50"/>
    <s v="Yes"/>
    <s v="emails, Liaise with Sarah and Rachele re ASIC, task list, AP, etc"/>
    <x v="1"/>
    <s v="Monday"/>
  </r>
  <r>
    <d v="2024-02-05T00:00:00"/>
    <x v="47"/>
    <s v="Client Meeting"/>
    <n v="1.3"/>
    <x v="50"/>
    <s v="Yes"/>
    <s v="Catch up with Stephen &amp; Forex deal"/>
    <x v="1"/>
    <s v="Monday"/>
  </r>
  <r>
    <d v="2024-02-05T00:00:00"/>
    <x v="47"/>
    <s v="Client Meeting"/>
    <n v="1.7"/>
    <x v="50"/>
    <s v="Yes"/>
    <s v="Catch up Stephen #2- review Fathom, BLM&amp;BELCR, ASIC for RIL"/>
    <x v="1"/>
    <s v="Monday"/>
  </r>
  <r>
    <d v="2024-02-05T00:00:00"/>
    <x v="47"/>
    <s v="General"/>
    <n v="0.6"/>
    <x v="12"/>
    <s v="No"/>
    <s v="emails, teams"/>
    <x v="1"/>
    <s v="Monday"/>
  </r>
  <r>
    <d v="2024-02-05T00:00:00"/>
    <x v="47"/>
    <s v="Meetings"/>
    <n v="0.4"/>
    <x v="12"/>
    <s v="No"/>
    <s v="Weekly catch up"/>
    <x v="1"/>
    <s v="Monday"/>
  </r>
  <r>
    <d v="2024-02-05T00:00:00"/>
    <x v="52"/>
    <s v="Automations"/>
    <n v="3"/>
    <x v="12"/>
    <s v="No"/>
    <s v="BAS Automation"/>
    <x v="1"/>
    <s v="Monday"/>
  </r>
  <r>
    <d v="2024-02-05T00:00:00"/>
    <x v="48"/>
    <s v="General"/>
    <n v="8"/>
    <x v="12"/>
    <s v="No"/>
    <e v="#NAME?"/>
    <x v="1"/>
    <s v="Monday"/>
  </r>
  <r>
    <d v="2024-02-06T00:00:00"/>
    <x v="0"/>
    <s v="Automations"/>
    <n v="0.45"/>
    <x v="12"/>
    <s v="No"/>
    <s v="Coordinate with Jordan some tasks that can be automated"/>
    <x v="1"/>
    <s v="Tuesday"/>
  </r>
  <r>
    <d v="2024-02-06T00:00:00"/>
    <x v="0"/>
    <s v="Bookkeeping"/>
    <n v="0.05"/>
    <x v="13"/>
    <s v="Yes"/>
    <s v="Email"/>
    <x v="1"/>
    <s v="Tuesday"/>
  </r>
  <r>
    <d v="2024-02-06T00:00:00"/>
    <x v="0"/>
    <s v="Bookkeeping"/>
    <n v="0.05"/>
    <x v="6"/>
    <s v="Yes"/>
    <s v="Emails"/>
    <x v="1"/>
    <s v="Tuesday"/>
  </r>
  <r>
    <d v="2024-02-06T00:00:00"/>
    <x v="0"/>
    <s v="Bookkeeping"/>
    <n v="7.0000000000000007E-2"/>
    <x v="4"/>
    <s v="Yes"/>
    <s v="Email"/>
    <x v="1"/>
    <s v="Tuesday"/>
  </r>
  <r>
    <d v="2024-02-06T00:00:00"/>
    <x v="0"/>
    <s v="Bookkeeping"/>
    <n v="7.0000000000000007E-2"/>
    <x v="11"/>
    <s v="Yes"/>
    <s v="Email"/>
    <x v="1"/>
    <s v="Tuesday"/>
  </r>
  <r>
    <d v="2024-02-06T00:00:00"/>
    <x v="0"/>
    <s v="Bookkeeping"/>
    <n v="0.08"/>
    <x v="2"/>
    <s v="Yes"/>
    <s v="Bank Reconciliation"/>
    <x v="1"/>
    <s v="Tuesday"/>
  </r>
  <r>
    <d v="2024-02-06T00:00:00"/>
    <x v="0"/>
    <s v="Bookkeeping"/>
    <n v="0.12"/>
    <x v="2"/>
    <s v="Yes"/>
    <s v="Confirm travel international transactions"/>
    <x v="1"/>
    <s v="Tuesday"/>
  </r>
  <r>
    <d v="2024-02-06T00:00:00"/>
    <x v="0"/>
    <s v="Bookkeeping"/>
    <n v="0.12"/>
    <x v="2"/>
    <s v="Yes"/>
    <s v="Edit CoA details"/>
    <x v="1"/>
    <s v="Tuesday"/>
  </r>
  <r>
    <d v="2024-02-06T00:00:00"/>
    <x v="0"/>
    <s v="Bookkeeping"/>
    <n v="0.12"/>
    <x v="2"/>
    <s v="Yes"/>
    <s v="Review"/>
    <x v="1"/>
    <s v="Tuesday"/>
  </r>
  <r>
    <d v="2024-02-06T00:00:00"/>
    <x v="0"/>
    <s v="Bookkeeping"/>
    <n v="0.13"/>
    <x v="2"/>
    <s v="Yes"/>
    <s v="Add new accounts in CoA"/>
    <x v="1"/>
    <s v="Tuesday"/>
  </r>
  <r>
    <d v="2024-02-06T00:00:00"/>
    <x v="0"/>
    <s v="Bookkeeping"/>
    <n v="0.17"/>
    <x v="62"/>
    <s v="Yes"/>
    <s v="Accounts Payable"/>
    <x v="1"/>
    <s v="Tuesday"/>
  </r>
  <r>
    <d v="2024-02-06T00:00:00"/>
    <x v="0"/>
    <s v="Bookkeeping"/>
    <n v="0.17"/>
    <x v="4"/>
    <s v="Yes"/>
    <s v="Accounts Payable"/>
    <x v="1"/>
    <s v="Tuesday"/>
  </r>
  <r>
    <d v="2024-02-06T00:00:00"/>
    <x v="0"/>
    <s v="Bookkeeping"/>
    <n v="0.17"/>
    <x v="2"/>
    <s v="Yes"/>
    <s v="Emails"/>
    <x v="1"/>
    <s v="Tuesday"/>
  </r>
  <r>
    <d v="2024-02-06T00:00:00"/>
    <x v="0"/>
    <s v="Bookkeeping"/>
    <n v="0.17"/>
    <x v="6"/>
    <s v="Yes"/>
    <s v="Accounts Payable"/>
    <x v="1"/>
    <s v="Tuesday"/>
  </r>
  <r>
    <d v="2024-02-06T00:00:00"/>
    <x v="0"/>
    <s v="Bookkeeping"/>
    <n v="0.17"/>
    <x v="1"/>
    <s v="Yes"/>
    <s v="Accounts Payable"/>
    <x v="1"/>
    <s v="Tuesday"/>
  </r>
  <r>
    <d v="2024-02-06T00:00:00"/>
    <x v="0"/>
    <s v="Bookkeeping"/>
    <n v="0.2"/>
    <x v="2"/>
    <s v="Yes"/>
    <s v="Email"/>
    <x v="1"/>
    <s v="Tuesday"/>
  </r>
  <r>
    <d v="2024-02-06T00:00:00"/>
    <x v="0"/>
    <s v="Bookkeeping"/>
    <n v="0.22"/>
    <x v="2"/>
    <s v="Yes"/>
    <s v="Clear Rounding account"/>
    <x v="1"/>
    <s v="Tuesday"/>
  </r>
  <r>
    <d v="2024-02-06T00:00:00"/>
    <x v="0"/>
    <s v="Bookkeeping"/>
    <n v="0.23"/>
    <x v="5"/>
    <s v="Yes"/>
    <s v="Process PayWay Payment"/>
    <x v="1"/>
    <s v="Tuesday"/>
  </r>
  <r>
    <d v="2024-02-06T00:00:00"/>
    <x v="0"/>
    <s v="Bookkeeping"/>
    <n v="0.23"/>
    <x v="2"/>
    <s v="Yes"/>
    <s v="Publish bills in Hubdoc to Xero"/>
    <x v="1"/>
    <s v="Tuesday"/>
  </r>
  <r>
    <d v="2024-02-06T00:00:00"/>
    <x v="0"/>
    <s v="Bookkeeping"/>
    <n v="0.23"/>
    <x v="2"/>
    <s v="Yes"/>
    <s v="Transfer contacts from AgriChain to Xero"/>
    <x v="1"/>
    <s v="Tuesday"/>
  </r>
  <r>
    <d v="2024-02-06T00:00:00"/>
    <x v="0"/>
    <s v="Bookkeeping"/>
    <n v="0.28000000000000003"/>
    <x v="2"/>
    <s v="Yes"/>
    <s v="Prepare Prepayment Schedule and Re-code bill"/>
    <x v="1"/>
    <s v="Tuesday"/>
  </r>
  <r>
    <d v="2024-02-06T00:00:00"/>
    <x v="0"/>
    <s v="Bookkeeping"/>
    <n v="0.6"/>
    <x v="2"/>
    <s v="No"/>
    <s v="Review transactions"/>
    <x v="1"/>
    <s v="Tuesday"/>
  </r>
  <r>
    <d v="2024-02-06T00:00:00"/>
    <x v="0"/>
    <s v="Bookkeeping"/>
    <n v="0.8"/>
    <x v="2"/>
    <s v="Yes"/>
    <s v="Review and re-code transactions"/>
    <x v="1"/>
    <s v="Tuesday"/>
  </r>
  <r>
    <d v="2024-02-06T00:00:00"/>
    <x v="0"/>
    <s v="Bookkeeping"/>
    <n v="0.85"/>
    <x v="2"/>
    <s v="Yes"/>
    <s v="Confirm commodity and freight invoices in Xero are the same as in AgriChain"/>
    <x v="1"/>
    <s v="Tuesday"/>
  </r>
  <r>
    <d v="2024-02-06T00:00:00"/>
    <x v="0"/>
    <s v="Bookkeeping"/>
    <n v="1.23"/>
    <x v="3"/>
    <s v="Yes"/>
    <s v="Submit bills for approval in Xero"/>
    <x v="1"/>
    <s v="Tuesday"/>
  </r>
  <r>
    <d v="2024-02-06T00:00:00"/>
    <x v="0"/>
    <s v="General"/>
    <n v="0.05"/>
    <x v="12"/>
    <s v="No"/>
    <s v="Admin email"/>
    <x v="1"/>
    <s v="Tuesday"/>
  </r>
  <r>
    <d v="2024-02-06T00:00:00"/>
    <x v="0"/>
    <s v="General"/>
    <n v="0.25"/>
    <x v="12"/>
    <s v="No"/>
    <s v="Afternoon Break"/>
    <x v="1"/>
    <s v="Tuesday"/>
  </r>
  <r>
    <d v="2024-02-06T00:00:00"/>
    <x v="0"/>
    <s v="General"/>
    <n v="0.25"/>
    <x v="12"/>
    <s v="No"/>
    <s v="Morning Break"/>
    <x v="1"/>
    <s v="Tuesday"/>
  </r>
  <r>
    <d v="2024-02-06T00:00:00"/>
    <x v="0"/>
    <s v="IAS/BAS Preparation &amp; Lodgement - Jan"/>
    <n v="0.1"/>
    <x v="62"/>
    <s v="Yes"/>
    <s v="IAS - Jan 2024"/>
    <x v="1"/>
    <s v="Tuesday"/>
  </r>
  <r>
    <d v="2024-02-06T00:00:00"/>
    <x v="0"/>
    <s v="IAS/BAS Preparation &amp; Lodgement - Jan"/>
    <n v="0.1"/>
    <x v="11"/>
    <s v="Yes"/>
    <s v="IAS - Jan 2024"/>
    <x v="1"/>
    <s v="Tuesday"/>
  </r>
  <r>
    <d v="2024-02-06T00:00:00"/>
    <x v="0"/>
    <s v="IAS/BAS Preparation &amp; Lodgement - Jan"/>
    <n v="0.15"/>
    <x v="4"/>
    <s v="Yes"/>
    <s v="IAS - Jan 2024"/>
    <x v="1"/>
    <s v="Tuesday"/>
  </r>
  <r>
    <d v="2024-02-06T00:00:00"/>
    <x v="0"/>
    <s v="Payroll Processing"/>
    <n v="7.0000000000000007E-2"/>
    <x v="13"/>
    <s v="Yes"/>
    <s v="Email"/>
    <x v="1"/>
    <s v="Tuesday"/>
  </r>
  <r>
    <d v="2024-02-06T00:00:00"/>
    <x v="0"/>
    <s v="Payroll Processing"/>
    <n v="7.0000000000000007E-2"/>
    <x v="11"/>
    <s v="Yes"/>
    <s v="Review"/>
    <x v="1"/>
    <s v="Tuesday"/>
  </r>
  <r>
    <d v="2024-02-06T00:00:00"/>
    <x v="49"/>
    <s v="P&amp;C Advisory - Group"/>
    <n v="2"/>
    <x v="63"/>
    <s v="Yes"/>
    <s v="Weekly call with FD Review of payroll/w/comp training for accounting staff Correspondence re. pulse check survey"/>
    <x v="1"/>
    <s v="Tuesday"/>
  </r>
  <r>
    <d v="2024-02-06T00:00:00"/>
    <x v="49"/>
    <s v="P&amp;C Advisory - Nederman PT"/>
    <n v="1.17"/>
    <x v="63"/>
    <s v="Yes"/>
    <s v="Engagement survey workshop F/UP re. recruitment"/>
    <x v="1"/>
    <s v="Tuesday"/>
  </r>
  <r>
    <d v="2024-02-06T00:00:00"/>
    <x v="49"/>
    <s v="P&amp;C Advisory - Nordfab"/>
    <n v="2.5"/>
    <x v="63"/>
    <s v="Yes"/>
    <s v="nGage workshop Correspondence re. recruitment and resourcing challenges Recruitment update"/>
    <x v="1"/>
    <s v="Tuesday"/>
  </r>
  <r>
    <d v="2024-02-06T00:00:00"/>
    <x v="1"/>
    <s v="Bookkeeping"/>
    <n v="0.13"/>
    <x v="64"/>
    <s v="Yes"/>
    <s v="check changes in CPDF interest income for Dec"/>
    <x v="1"/>
    <s v="Tuesday"/>
  </r>
  <r>
    <d v="2024-02-06T00:00:00"/>
    <x v="1"/>
    <s v="Bookkeeping"/>
    <n v="0.13"/>
    <x v="64"/>
    <s v="Yes"/>
    <s v="check CPDF interest revenue"/>
    <x v="1"/>
    <s v="Tuesday"/>
  </r>
  <r>
    <d v="2024-02-06T00:00:00"/>
    <x v="1"/>
    <s v="Bookkeeping"/>
    <n v="0.15"/>
    <x v="64"/>
    <s v="Yes"/>
    <s v="emails, send loans rec to Tim and team"/>
    <x v="1"/>
    <s v="Tuesday"/>
  </r>
  <r>
    <d v="2024-02-06T00:00:00"/>
    <x v="1"/>
    <s v="Bookkeeping"/>
    <n v="0.22"/>
    <x v="64"/>
    <s v="Yes"/>
    <s v="loans rec"/>
    <x v="1"/>
    <s v="Tuesday"/>
  </r>
  <r>
    <d v="2024-02-06T00:00:00"/>
    <x v="1"/>
    <s v="Bookkeeping"/>
    <n v="1.47"/>
    <x v="15"/>
    <s v="Yes"/>
    <m/>
    <x v="1"/>
    <s v="Tuesday"/>
  </r>
  <r>
    <d v="2024-02-06T00:00:00"/>
    <x v="1"/>
    <s v="Bookkeeping"/>
    <n v="2.0499999999999998"/>
    <x v="64"/>
    <s v="Yes"/>
    <s v="Monthly interest journal and loans rec"/>
    <x v="1"/>
    <s v="Tuesday"/>
  </r>
  <r>
    <d v="2024-02-06T00:00:00"/>
    <x v="1"/>
    <s v="General"/>
    <n v="0.13"/>
    <x v="12"/>
    <s v="No"/>
    <m/>
    <x v="1"/>
    <s v="Tuesday"/>
  </r>
  <r>
    <d v="2024-02-06T00:00:00"/>
    <x v="1"/>
    <s v="General"/>
    <n v="0.17"/>
    <x v="12"/>
    <s v="No"/>
    <s v="chats re new work arrangements"/>
    <x v="1"/>
    <s v="Tuesday"/>
  </r>
  <r>
    <d v="2024-02-06T00:00:00"/>
    <x v="1"/>
    <s v="General"/>
    <n v="0.28000000000000003"/>
    <x v="12"/>
    <s v="No"/>
    <s v="BAS status, emails/chats"/>
    <x v="1"/>
    <s v="Tuesday"/>
  </r>
  <r>
    <d v="2024-02-06T00:00:00"/>
    <x v="1"/>
    <s v="General"/>
    <n v="0.42"/>
    <x v="12"/>
    <s v="No"/>
    <s v="break"/>
    <x v="1"/>
    <s v="Tuesday"/>
  </r>
  <r>
    <d v="2024-02-06T00:00:00"/>
    <x v="1"/>
    <s v="General"/>
    <n v="0.7"/>
    <x v="12"/>
    <s v="No"/>
    <s v="emails, chats, interview feedback, Sprout, Asana"/>
    <x v="1"/>
    <s v="Tuesday"/>
  </r>
  <r>
    <d v="2024-02-06T00:00:00"/>
    <x v="1"/>
    <s v="General"/>
    <n v="1.1200000000000001"/>
    <x v="12"/>
    <s v="No"/>
    <s v="chats re capacity, update weekly leads meeting file, etc"/>
    <x v="1"/>
    <s v="Tuesday"/>
  </r>
  <r>
    <d v="2024-02-06T00:00:00"/>
    <x v="1"/>
    <s v="Meetings"/>
    <n v="0.15"/>
    <x v="12"/>
    <s v="No"/>
    <s v="capacity planning"/>
    <x v="1"/>
    <s v="Tuesday"/>
  </r>
  <r>
    <d v="2024-02-06T00:00:00"/>
    <x v="1"/>
    <s v="Meetings"/>
    <n v="0.9"/>
    <x v="12"/>
    <s v="No"/>
    <s v="leads meeting"/>
    <x v="1"/>
    <s v="Tuesday"/>
  </r>
  <r>
    <d v="2024-02-06T00:00:00"/>
    <x v="2"/>
    <s v="Bookkeeping"/>
    <n v="2.0299999999999998"/>
    <x v="75"/>
    <s v="Yes"/>
    <s v="Entering bills and checking Supplier Statement"/>
    <x v="1"/>
    <s v="Tuesday"/>
  </r>
  <r>
    <d v="2024-02-06T00:00:00"/>
    <x v="2"/>
    <s v="Bookkeeping"/>
    <n v="2.92"/>
    <x v="73"/>
    <s v="Yes"/>
    <s v="Entering bills and checking Supplier Statement"/>
    <x v="1"/>
    <s v="Tuesday"/>
  </r>
  <r>
    <d v="2024-02-06T00:00:00"/>
    <x v="2"/>
    <s v="Bookkeeping"/>
    <n v="3.08"/>
    <x v="74"/>
    <s v="Yes"/>
    <s v="Entering bills and checking Supplier Statement"/>
    <x v="1"/>
    <s v="Tuesday"/>
  </r>
  <r>
    <d v="2024-02-06T00:00:00"/>
    <x v="3"/>
    <s v="Business Development"/>
    <n v="10"/>
    <x v="12"/>
    <s v="No"/>
    <s v="meetings and finalizing multiple flows"/>
    <x v="1"/>
    <s v="Tuesday"/>
  </r>
  <r>
    <d v="2024-02-06T00:00:00"/>
    <x v="4"/>
    <s v="Business Development"/>
    <n v="7"/>
    <x v="12"/>
    <s v="No"/>
    <m/>
    <x v="1"/>
    <s v="Tuesday"/>
  </r>
  <r>
    <d v="2024-02-06T00:00:00"/>
    <x v="5"/>
    <s v="Bookkeeping"/>
    <n v="1.6"/>
    <x v="16"/>
    <s v="Yes"/>
    <s v="Leave Reports"/>
    <x v="1"/>
    <s v="Tuesday"/>
  </r>
  <r>
    <d v="2024-02-06T00:00:00"/>
    <x v="5"/>
    <s v="Bookkeeping"/>
    <n v="2.6"/>
    <x v="16"/>
    <s v="Yes"/>
    <s v="Monitoring of EFT lists pay run until approval of Clarissa "/>
    <x v="1"/>
    <s v="Tuesday"/>
  </r>
  <r>
    <d v="2024-02-06T00:00:00"/>
    <x v="5"/>
    <s v="Bookkeeping"/>
    <n v="3.82"/>
    <x v="16"/>
    <s v="Yes"/>
    <s v="AP Processing"/>
    <x v="1"/>
    <s v="Tuesday"/>
  </r>
  <r>
    <d v="2024-02-06T00:00:00"/>
    <x v="6"/>
    <s v="Bookkeeping"/>
    <n v="1.5"/>
    <x v="17"/>
    <s v="Yes"/>
    <s v="Booked Invoices"/>
    <x v="1"/>
    <s v="Tuesday"/>
  </r>
  <r>
    <d v="2024-02-06T00:00:00"/>
    <x v="6"/>
    <s v="Bookkeeping"/>
    <n v="5"/>
    <x v="19"/>
    <s v="Yes"/>
    <s v="Booked Invoices Bank Reconciliation "/>
    <x v="1"/>
    <s v="Tuesday"/>
  </r>
  <r>
    <d v="2024-02-06T00:00:00"/>
    <x v="6"/>
    <s v="General"/>
    <n v="0.42"/>
    <x v="12"/>
    <s v="No"/>
    <s v="Asana Checking Sprout Checking XPM"/>
    <x v="1"/>
    <s v="Tuesday"/>
  </r>
  <r>
    <d v="2024-02-06T00:00:00"/>
    <x v="6"/>
    <s v="Payroll Processing"/>
    <n v="1.25"/>
    <x v="89"/>
    <s v="Yes"/>
    <s v="Chatwoods Payroll Processing"/>
    <x v="1"/>
    <s v="Tuesday"/>
  </r>
  <r>
    <d v="2024-02-06T00:00:00"/>
    <x v="7"/>
    <s v="Automations"/>
    <n v="9.7799999999999994"/>
    <x v="12"/>
    <s v="No"/>
    <m/>
    <x v="1"/>
    <s v="Tuesday"/>
  </r>
  <r>
    <d v="2024-02-06T00:00:00"/>
    <x v="9"/>
    <s v="Automations"/>
    <n v="3"/>
    <x v="12"/>
    <s v="No"/>
    <s v="Run four Alliance automations + AP automation; Added 4 supplier to Alliance Automation Tax Invoice"/>
    <x v="1"/>
    <s v="Tuesday"/>
  </r>
  <r>
    <d v="2024-02-06T00:00:00"/>
    <x v="10"/>
    <s v="Automations"/>
    <n v="9.07"/>
    <x v="12"/>
    <s v="No"/>
    <s v="Connected Culture Automation Modifications"/>
    <x v="1"/>
    <s v="Tuesday"/>
  </r>
  <r>
    <d v="2024-02-06T00:00:00"/>
    <x v="11"/>
    <s v="Bookkeeping"/>
    <n v="0.17"/>
    <x v="60"/>
    <s v="Yes"/>
    <s v="Loading bills from HubDoc, bank recon"/>
    <x v="1"/>
    <s v="Tuesday"/>
  </r>
  <r>
    <d v="2024-02-06T00:00:00"/>
    <x v="11"/>
    <s v="Bookkeeping"/>
    <n v="0.25"/>
    <x v="25"/>
    <s v="No"/>
    <s v="Checking the account"/>
    <x v="1"/>
    <s v="Tuesday"/>
  </r>
  <r>
    <d v="2024-02-06T00:00:00"/>
    <x v="11"/>
    <s v="Bookkeeping"/>
    <n v="0.42"/>
    <x v="26"/>
    <s v="Yes"/>
    <s v="Loading bills from HubDoc, bank recon"/>
    <x v="1"/>
    <s v="Tuesday"/>
  </r>
  <r>
    <d v="2024-02-06T00:00:00"/>
    <x v="11"/>
    <s v="Bookkeeping"/>
    <n v="0.57999999999999996"/>
    <x v="22"/>
    <s v="Yes"/>
    <s v="Loading bills, bank recon"/>
    <x v="1"/>
    <s v="Tuesday"/>
  </r>
  <r>
    <d v="2024-02-06T00:00:00"/>
    <x v="11"/>
    <s v="Bookkeeping"/>
    <n v="0.83"/>
    <x v="24"/>
    <s v="No"/>
    <s v="Checking all entities"/>
    <x v="1"/>
    <s v="Tuesday"/>
  </r>
  <r>
    <d v="2024-02-06T00:00:00"/>
    <x v="11"/>
    <s v="Bookkeeping"/>
    <n v="0.92"/>
    <x v="21"/>
    <s v="Yes"/>
    <s v="Loading bills from HubDoc, bank recon"/>
    <x v="1"/>
    <s v="Tuesday"/>
  </r>
  <r>
    <d v="2024-02-06T00:00:00"/>
    <x v="11"/>
    <s v="Bookkeeping"/>
    <n v="1.33"/>
    <x v="23"/>
    <s v="Yes"/>
    <s v="Loading bills from HubDoc, bank recon"/>
    <x v="1"/>
    <s v="Tuesday"/>
  </r>
  <r>
    <d v="2024-02-06T00:00:00"/>
    <x v="11"/>
    <s v="Bookkeeping"/>
    <n v="3"/>
    <x v="25"/>
    <s v="Yes"/>
    <s v="Emails, loading bills, bank recon"/>
    <x v="1"/>
    <s v="Tuesday"/>
  </r>
  <r>
    <d v="2024-02-06T00:00:00"/>
    <x v="11"/>
    <s v="General"/>
    <n v="0.5"/>
    <x v="12"/>
    <s v="No"/>
    <s v="break"/>
    <x v="1"/>
    <s v="Tuesday"/>
  </r>
  <r>
    <d v="2024-02-06T00:00:00"/>
    <x v="13"/>
    <s v="Company Tax Returns"/>
    <n v="1"/>
    <x v="79"/>
    <s v="Yes"/>
    <s v="update personal ITR for Sam and Holly, flow though of income from the family trust, update the company w/p, emailed James re points to be discussed with Anthony, "/>
    <x v="1"/>
    <s v="Tuesday"/>
  </r>
  <r>
    <d v="2024-02-06T00:00:00"/>
    <x v="14"/>
    <s v="Bookkeeping"/>
    <n v="0.12"/>
    <x v="11"/>
    <s v="No"/>
    <s v="handover call w/ Sarah"/>
    <x v="1"/>
    <s v="Tuesday"/>
  </r>
  <r>
    <d v="2024-02-06T00:00:00"/>
    <x v="14"/>
    <s v="Bookkeeping"/>
    <n v="0.62"/>
    <x v="30"/>
    <s v="Yes"/>
    <s v="Accountant Role Analysis"/>
    <x v="1"/>
    <s v="Tuesday"/>
  </r>
  <r>
    <d v="2024-02-06T00:00:00"/>
    <x v="14"/>
    <s v="Bookkeeping"/>
    <n v="0.75"/>
    <x v="33"/>
    <s v="Yes"/>
    <s v="Acct Role Analysis"/>
    <x v="1"/>
    <s v="Tuesday"/>
  </r>
  <r>
    <d v="2024-02-06T00:00:00"/>
    <x v="14"/>
    <s v="Bookkeeping"/>
    <n v="1.22"/>
    <x v="8"/>
    <s v="Yes"/>
    <s v="BS Review 31.12.2023 &amp; Adjustments"/>
    <x v="1"/>
    <s v="Tuesday"/>
  </r>
  <r>
    <d v="2024-02-06T00:00:00"/>
    <x v="14"/>
    <s v="Bookkeeping"/>
    <n v="2.62"/>
    <x v="42"/>
    <s v="Yes"/>
    <s v="month-end tasks (MET)"/>
    <x v="1"/>
    <s v="Tuesday"/>
  </r>
  <r>
    <d v="2024-02-06T00:00:00"/>
    <x v="14"/>
    <s v="General"/>
    <n v="0.18"/>
    <x v="12"/>
    <s v="No"/>
    <s v="inbox"/>
    <x v="1"/>
    <s v="Tuesday"/>
  </r>
  <r>
    <d v="2024-02-06T00:00:00"/>
    <x v="14"/>
    <s v="General"/>
    <n v="0.2"/>
    <x v="12"/>
    <s v="No"/>
    <s v="teams"/>
    <x v="1"/>
    <s v="Tuesday"/>
  </r>
  <r>
    <d v="2024-02-06T00:00:00"/>
    <x v="14"/>
    <s v="General"/>
    <n v="0.23"/>
    <x v="12"/>
    <s v="No"/>
    <s v="tax deliverables ff up"/>
    <x v="1"/>
    <s v="Tuesday"/>
  </r>
  <r>
    <d v="2024-02-06T00:00:00"/>
    <x v="14"/>
    <s v="General"/>
    <n v="0.43"/>
    <x v="12"/>
    <s v="No"/>
    <s v="check inbox/teams"/>
    <x v="1"/>
    <s v="Tuesday"/>
  </r>
  <r>
    <d v="2024-02-06T00:00:00"/>
    <x v="14"/>
    <s v="General"/>
    <n v="0.47"/>
    <x v="12"/>
    <s v="No"/>
    <s v="emails/teams"/>
    <x v="1"/>
    <s v="Tuesday"/>
  </r>
  <r>
    <d v="2024-02-06T00:00:00"/>
    <x v="14"/>
    <s v="IAS/BAS Preparation &amp; Lodgement - Jan"/>
    <n v="0.35"/>
    <x v="80"/>
    <s v="Yes"/>
    <s v="report export"/>
    <x v="1"/>
    <s v="Tuesday"/>
  </r>
  <r>
    <d v="2024-02-06T00:00:00"/>
    <x v="14"/>
    <s v="Learning &amp; Development"/>
    <n v="0.42"/>
    <x v="12"/>
    <s v="No"/>
    <s v="Wyzed"/>
    <x v="1"/>
    <s v="Tuesday"/>
  </r>
  <r>
    <d v="2024-02-06T00:00:00"/>
    <x v="14"/>
    <s v="Payroll Processing"/>
    <n v="0.4"/>
    <x v="11"/>
    <s v="No"/>
    <s v="handover queries"/>
    <x v="1"/>
    <s v="Tuesday"/>
  </r>
  <r>
    <d v="2024-02-06T00:00:00"/>
    <x v="15"/>
    <s v="Bookkeeping"/>
    <n v="1.07"/>
    <x v="16"/>
    <s v="Yes"/>
    <s v="Received raw invoices."/>
    <x v="1"/>
    <s v="Tuesday"/>
  </r>
  <r>
    <d v="2024-02-06T00:00:00"/>
    <x v="15"/>
    <s v="General"/>
    <n v="2.0699999999999998"/>
    <x v="12"/>
    <s v="No"/>
    <e v="#NAME?"/>
    <x v="1"/>
    <s v="Tuesday"/>
  </r>
  <r>
    <d v="2024-02-06T00:00:00"/>
    <x v="15"/>
    <s v="General"/>
    <n v="6.25"/>
    <x v="12"/>
    <s v="No"/>
    <e v="#NAME?"/>
    <x v="1"/>
    <s v="Tuesday"/>
  </r>
  <r>
    <d v="2024-02-06T00:00:00"/>
    <x v="16"/>
    <s v="Bookkeeping"/>
    <n v="0.5"/>
    <x v="29"/>
    <s v="Yes"/>
    <s v="bank recon AP payments"/>
    <x v="1"/>
    <s v="Tuesday"/>
  </r>
  <r>
    <d v="2024-02-06T00:00:00"/>
    <x v="16"/>
    <s v="Bookkeeping"/>
    <n v="0.53"/>
    <x v="31"/>
    <s v="Yes"/>
    <s v="bank recon emall"/>
    <x v="1"/>
    <s v="Tuesday"/>
  </r>
  <r>
    <d v="2024-02-06T00:00:00"/>
    <x v="16"/>
    <s v="Bookkeeping"/>
    <n v="0.55000000000000004"/>
    <x v="30"/>
    <s v="Yes"/>
    <s v="approve ap invoices"/>
    <x v="1"/>
    <s v="Tuesday"/>
  </r>
  <r>
    <d v="2024-02-06T00:00:00"/>
    <x v="16"/>
    <s v="Bookkeeping"/>
    <n v="0.93"/>
    <x v="32"/>
    <s v="No"/>
    <s v="checking previous month end reports"/>
    <x v="1"/>
    <s v="Tuesday"/>
  </r>
  <r>
    <d v="2024-02-06T00:00:00"/>
    <x v="16"/>
    <s v="Bookkeeping"/>
    <n v="1.77"/>
    <x v="32"/>
    <s v="Yes"/>
    <s v="bank recon ap report unreconciled items report"/>
    <x v="1"/>
    <s v="Tuesday"/>
  </r>
  <r>
    <d v="2024-02-06T00:00:00"/>
    <x v="16"/>
    <s v="Bookkeeping"/>
    <n v="2.65"/>
    <x v="32"/>
    <s v="No"/>
    <s v="checking ATO ICA vs records in xero Manual Journal"/>
    <x v="1"/>
    <s v="Tuesday"/>
  </r>
  <r>
    <d v="2024-02-06T00:00:00"/>
    <x v="16"/>
    <s v="Bookkeeping - AP"/>
    <n v="0.56999999999999995"/>
    <x v="33"/>
    <s v="Yes"/>
    <s v="approve ap invoices"/>
    <x v="1"/>
    <s v="Tuesday"/>
  </r>
  <r>
    <d v="2024-02-06T00:00:00"/>
    <x v="16"/>
    <s v="General"/>
    <n v="0.5"/>
    <x v="12"/>
    <s v="No"/>
    <s v="break"/>
    <x v="1"/>
    <s v="Tuesday"/>
  </r>
  <r>
    <d v="2024-02-06T00:00:00"/>
    <x v="17"/>
    <s v="Bookkeeping"/>
    <n v="0.08"/>
    <x v="34"/>
    <s v="Yes"/>
    <s v="Payroll report exportation for IAS"/>
    <x v="1"/>
    <s v="Tuesday"/>
  </r>
  <r>
    <d v="2024-02-06T00:00:00"/>
    <x v="17"/>
    <s v="Bookkeeping"/>
    <n v="0.27"/>
    <x v="34"/>
    <s v="Yes"/>
    <s v="Following up Dec queries"/>
    <x v="1"/>
    <s v="Tuesday"/>
  </r>
  <r>
    <d v="2024-02-06T00:00:00"/>
    <x v="17"/>
    <s v="Bookkeeping"/>
    <n v="0.32"/>
    <x v="35"/>
    <s v="Yes"/>
    <s v="Bank recs - month-end"/>
    <x v="1"/>
    <s v="Tuesday"/>
  </r>
  <r>
    <d v="2024-02-06T00:00:00"/>
    <x v="17"/>
    <s v="Bookkeeping"/>
    <n v="0.37"/>
    <x v="35"/>
    <s v="Yes"/>
    <s v="Bank recs, checking of invoices"/>
    <x v="1"/>
    <s v="Tuesday"/>
  </r>
  <r>
    <d v="2024-02-06T00:00:00"/>
    <x v="17"/>
    <s v="Bookkeeping"/>
    <n v="0.5"/>
    <x v="35"/>
    <s v="Yes"/>
    <s v="Recording of invoices, Bank Recs"/>
    <x v="1"/>
    <s v="Tuesday"/>
  </r>
  <r>
    <d v="2024-02-06T00:00:00"/>
    <x v="17"/>
    <s v="Bookkeeping"/>
    <n v="0.7"/>
    <x v="37"/>
    <s v="Yes"/>
    <s v="Payroll "/>
    <x v="1"/>
    <s v="Tuesday"/>
  </r>
  <r>
    <d v="2024-02-06T00:00:00"/>
    <x v="17"/>
    <s v="Bookkeeping"/>
    <n v="0.98"/>
    <x v="34"/>
    <s v="Yes"/>
    <s v="Bank recs, checking &amp; recording of invoices,"/>
    <x v="1"/>
    <s v="Tuesday"/>
  </r>
  <r>
    <d v="2024-02-06T00:00:00"/>
    <x v="17"/>
    <s v="Client Meeting"/>
    <n v="0.18"/>
    <x v="35"/>
    <s v="No"/>
    <s v="Process improvement demo by BIT"/>
    <x v="1"/>
    <s v="Tuesday"/>
  </r>
  <r>
    <d v="2024-02-06T00:00:00"/>
    <x v="17"/>
    <s v="General"/>
    <n v="0.48"/>
    <x v="12"/>
    <s v="No"/>
    <s v="Checking emails, asana"/>
    <x v="1"/>
    <s v="Tuesday"/>
  </r>
  <r>
    <d v="2024-02-06T00:00:00"/>
    <x v="17"/>
    <s v="Management Reporting"/>
    <n v="1.5"/>
    <x v="35"/>
    <s v="Yes"/>
    <s v="Month-end reports"/>
    <x v="1"/>
    <s v="Tuesday"/>
  </r>
  <r>
    <d v="2024-02-06T00:00:00"/>
    <x v="17"/>
    <s v="Management Reporting"/>
    <n v="1.95"/>
    <x v="35"/>
    <s v="Yes"/>
    <s v="Manual journals "/>
    <x v="1"/>
    <s v="Tuesday"/>
  </r>
  <r>
    <d v="2024-02-06T00:00:00"/>
    <x v="17"/>
    <s v="Payroll Processing"/>
    <n v="0.08"/>
    <x v="35"/>
    <s v="Yes"/>
    <s v="Payroll report exportation for IAS"/>
    <x v="1"/>
    <s v="Tuesday"/>
  </r>
  <r>
    <d v="2024-02-06T00:00:00"/>
    <x v="17"/>
    <s v="Payroll Processing"/>
    <n v="0.45"/>
    <x v="35"/>
    <s v="Yes"/>
    <s v="Payroll"/>
    <x v="1"/>
    <s v="Tuesday"/>
  </r>
  <r>
    <d v="2024-02-06T00:00:00"/>
    <x v="17"/>
    <s v="Payroll Processing"/>
    <n v="0.47"/>
    <x v="37"/>
    <s v="Yes"/>
    <s v="Exporting PAYG reports and checking totals"/>
    <x v="1"/>
    <s v="Tuesday"/>
  </r>
  <r>
    <d v="2024-02-06T00:00:00"/>
    <x v="17"/>
    <s v="Payroll Processing"/>
    <n v="4.7300000000000004"/>
    <x v="37"/>
    <s v="Yes"/>
    <s v="Payroll"/>
    <x v="1"/>
    <s v="Tuesday"/>
  </r>
  <r>
    <d v="2024-02-06T00:00:00"/>
    <x v="18"/>
    <s v="General"/>
    <n v="0.15"/>
    <x v="12"/>
    <s v="No"/>
    <s v="emails"/>
    <x v="1"/>
    <s v="Tuesday"/>
  </r>
  <r>
    <d v="2024-02-06T00:00:00"/>
    <x v="18"/>
    <s v="General"/>
    <n v="0.32"/>
    <x v="12"/>
    <s v="No"/>
    <s v="answer survey"/>
    <x v="1"/>
    <s v="Tuesday"/>
  </r>
  <r>
    <d v="2024-02-06T00:00:00"/>
    <x v="18"/>
    <s v="General"/>
    <n v="0.53"/>
    <x v="12"/>
    <s v="No"/>
    <s v="chat with Z, Rose and Ralph - Jeric's progression plan"/>
    <x v="1"/>
    <s v="Tuesday"/>
  </r>
  <r>
    <d v="2024-02-06T00:00:00"/>
    <x v="18"/>
    <s v="General"/>
    <n v="0.93"/>
    <x v="12"/>
    <s v="No"/>
    <s v="review pinnacle invoices"/>
    <x v="1"/>
    <s v="Tuesday"/>
  </r>
  <r>
    <d v="2024-02-06T00:00:00"/>
    <x v="18"/>
    <s v="General"/>
    <n v="1.57"/>
    <x v="12"/>
    <s v="No"/>
    <s v="emails, chat with Rac, L&amp;D program"/>
    <x v="1"/>
    <s v="Tuesday"/>
  </r>
  <r>
    <d v="2024-02-06T00:00:00"/>
    <x v="18"/>
    <s v="General"/>
    <n v="2.1"/>
    <x v="12"/>
    <s v="No"/>
    <s v="work on Pinnacle fixed fee"/>
    <x v="1"/>
    <s v="Tuesday"/>
  </r>
  <r>
    <d v="2024-02-06T00:00:00"/>
    <x v="18"/>
    <s v="Learning &amp; Development"/>
    <n v="0.92"/>
    <x v="12"/>
    <s v="No"/>
    <s v="FBT"/>
    <x v="1"/>
    <s v="Tuesday"/>
  </r>
  <r>
    <d v="2024-02-06T00:00:00"/>
    <x v="18"/>
    <s v="Meetings"/>
    <n v="0.37"/>
    <x v="12"/>
    <s v="No"/>
    <s v="chat with Sarah about Ramp SOW"/>
    <x v="1"/>
    <s v="Tuesday"/>
  </r>
  <r>
    <d v="2024-02-06T00:00:00"/>
    <x v="18"/>
    <s v="Meetings"/>
    <n v="1.17"/>
    <x v="12"/>
    <s v="No"/>
    <s v="global team leads meeting / catchup with April"/>
    <x v="1"/>
    <s v="Tuesday"/>
  </r>
  <r>
    <d v="2024-02-06T00:00:00"/>
    <x v="19"/>
    <s v="Bookkeeping"/>
    <n v="7.92"/>
    <x v="36"/>
    <s v="Yes"/>
    <m/>
    <x v="1"/>
    <s v="Tuesday"/>
  </r>
  <r>
    <d v="2024-02-06T00:00:00"/>
    <x v="19"/>
    <s v="IAS/BAS Preparation &amp; Lodgement - Jan"/>
    <n v="0.08"/>
    <x v="81"/>
    <s v="Yes"/>
    <m/>
    <x v="1"/>
    <s v="Tuesday"/>
  </r>
  <r>
    <d v="2024-02-06T00:00:00"/>
    <x v="20"/>
    <s v="P&amp;C Advisory"/>
    <n v="1.5"/>
    <x v="38"/>
    <s v="Yes"/>
    <s v="HR/COO/Head HR weekly mtg Casual conversion report &amp; SOP recommendation Inbox enquiries &amp; phone calls"/>
    <x v="1"/>
    <s v="Tuesday"/>
  </r>
  <r>
    <d v="2024-02-06T00:00:00"/>
    <x v="20"/>
    <s v="P&amp;C Advisory"/>
    <n v="7.17"/>
    <x v="37"/>
    <s v="Yes"/>
    <s v="Salary review process HR daily huddle Mtg with MD Performance review with MD Inbox queries"/>
    <x v="1"/>
    <s v="Tuesday"/>
  </r>
  <r>
    <d v="2024-02-06T00:00:00"/>
    <x v="21"/>
    <s v="Bookkeeping"/>
    <n v="0.33"/>
    <x v="39"/>
    <s v="Yes"/>
    <s v="AP items in draft, bank recon"/>
    <x v="1"/>
    <s v="Tuesday"/>
  </r>
  <r>
    <d v="2024-02-06T00:00:00"/>
    <x v="21"/>
    <s v="Bookkeeping"/>
    <n v="0.77"/>
    <x v="40"/>
    <s v="Yes"/>
    <s v="AP Items, dext prepare, bank recon"/>
    <x v="1"/>
    <s v="Tuesday"/>
  </r>
  <r>
    <d v="2024-02-06T00:00:00"/>
    <x v="21"/>
    <s v="Bookkeeping"/>
    <n v="1.1499999999999999"/>
    <x v="41"/>
    <s v="Yes"/>
    <s v="AP items &amp; hubdoc"/>
    <x v="1"/>
    <s v="Tuesday"/>
  </r>
  <r>
    <d v="2024-02-06T00:00:00"/>
    <x v="21"/>
    <s v="Bookkeeping"/>
    <n v="1.55"/>
    <x v="28"/>
    <s v="Yes"/>
    <m/>
    <x v="1"/>
    <s v="Tuesday"/>
  </r>
  <r>
    <d v="2024-02-06T00:00:00"/>
    <x v="21"/>
    <s v="Bookkeeping"/>
    <n v="1.95"/>
    <x v="28"/>
    <s v="Yes"/>
    <s v="Updating items in BS Recon, Dext Prepare, bank recon, ap items"/>
    <x v="1"/>
    <s v="Tuesday"/>
  </r>
  <r>
    <d v="2024-02-06T00:00:00"/>
    <x v="21"/>
    <s v="Bookkeeping"/>
    <n v="2.3199999999999998"/>
    <x v="41"/>
    <s v="Yes"/>
    <s v="Bill items from procore, email sorting, ap queries, bank recon"/>
    <x v="1"/>
    <s v="Tuesday"/>
  </r>
  <r>
    <d v="2024-02-06T00:00:00"/>
    <x v="22"/>
    <s v="Automations"/>
    <n v="8"/>
    <x v="12"/>
    <s v="No"/>
    <s v="Fintech Equity Pty Ltd - Bank Reconciliation Automation"/>
    <x v="1"/>
    <s v="Tuesday"/>
  </r>
  <r>
    <d v="2024-02-06T00:00:00"/>
    <x v="23"/>
    <s v="Automations"/>
    <n v="8"/>
    <x v="12"/>
    <s v="No"/>
    <m/>
    <x v="1"/>
    <s v="Tuesday"/>
  </r>
  <r>
    <d v="2024-02-06T00:00:00"/>
    <x v="24"/>
    <s v="Automations"/>
    <n v="8"/>
    <x v="12"/>
    <s v="No"/>
    <s v="Run: LOC Part 1 and 2 Dev: Email Trigger Automation Dev: Holdsworth Update"/>
    <x v="1"/>
    <s v="Tuesday"/>
  </r>
  <r>
    <d v="2024-02-06T00:00:00"/>
    <x v="25"/>
    <s v="Bookkeeping"/>
    <n v="0.15"/>
    <x v="22"/>
    <s v="Yes"/>
    <s v="Review reconciliation and query from Ef "/>
    <x v="1"/>
    <s v="Tuesday"/>
  </r>
  <r>
    <d v="2024-02-06T00:00:00"/>
    <x v="25"/>
    <s v="Bookkeeping"/>
    <n v="0.15"/>
    <x v="42"/>
    <s v="Yes"/>
    <s v="Pay 'Inform' bill"/>
    <x v="1"/>
    <s v="Tuesday"/>
  </r>
  <r>
    <d v="2024-02-06T00:00:00"/>
    <x v="25"/>
    <s v="Bookkeeping"/>
    <n v="0.53"/>
    <x v="43"/>
    <s v="Yes"/>
    <s v="Emails and payroll review - check Kent detials / Time Doctor / other queries"/>
    <x v="1"/>
    <s v="Tuesday"/>
  </r>
  <r>
    <d v="2024-02-06T00:00:00"/>
    <x v="25"/>
    <s v="Client Admin"/>
    <n v="0.1"/>
    <x v="12"/>
    <s v="No"/>
    <s v="Emails"/>
    <x v="1"/>
    <s v="Tuesday"/>
  </r>
  <r>
    <d v="2024-02-06T00:00:00"/>
    <x v="25"/>
    <s v="Client Admin"/>
    <n v="0.13"/>
    <x v="12"/>
    <s v="No"/>
    <m/>
    <x v="1"/>
    <s v="Tuesday"/>
  </r>
  <r>
    <d v="2024-02-06T00:00:00"/>
    <x v="25"/>
    <s v="Client Admin"/>
    <n v="0.17"/>
    <x v="12"/>
    <s v="No"/>
    <s v="Liaise with Mel re spectrum AS invoices, approve and send"/>
    <x v="1"/>
    <s v="Tuesday"/>
  </r>
  <r>
    <d v="2024-02-06T00:00:00"/>
    <x v="25"/>
    <s v="General"/>
    <n v="0.53"/>
    <x v="12"/>
    <s v="No"/>
    <s v="Emails and teams messages PI query to Jordan re collating bank rec queries"/>
    <x v="1"/>
    <s v="Tuesday"/>
  </r>
  <r>
    <d v="2024-02-06T00:00:00"/>
    <x v="25"/>
    <s v="General"/>
    <n v="0.67"/>
    <x v="12"/>
    <s v="No"/>
    <s v="TEams and emails"/>
    <x v="1"/>
    <s v="Tuesday"/>
  </r>
  <r>
    <d v="2024-02-06T00:00:00"/>
    <x v="25"/>
    <s v="Payroll Processing"/>
    <n v="0.17"/>
    <x v="43"/>
    <s v="Yes"/>
    <s v="Call to Matt, email to confirm queries."/>
    <x v="1"/>
    <s v="Tuesday"/>
  </r>
  <r>
    <d v="2024-02-06T00:00:00"/>
    <x v="25"/>
    <s v="Payroll Processing"/>
    <n v="0.2"/>
    <x v="37"/>
    <s v="Yes"/>
    <s v="Payroll review - Aaron Willemsen"/>
    <x v="1"/>
    <s v="Tuesday"/>
  </r>
  <r>
    <d v="2024-02-06T00:00:00"/>
    <x v="25"/>
    <s v="Payroll Processing"/>
    <n v="0.33"/>
    <x v="37"/>
    <s v="Yes"/>
    <s v="Self review, review engagement letter"/>
    <x v="1"/>
    <s v="Tuesday"/>
  </r>
  <r>
    <d v="2024-02-06T00:00:00"/>
    <x v="25"/>
    <s v="Payroll Processing"/>
    <n v="0.78"/>
    <x v="37"/>
    <s v="Yes"/>
    <s v="Review payruns"/>
    <x v="1"/>
    <s v="Tuesday"/>
  </r>
  <r>
    <d v="2024-02-06T00:00:00"/>
    <x v="25"/>
    <s v="Payroll Processing"/>
    <n v="0.98"/>
    <x v="37"/>
    <s v="Yes"/>
    <s v="Messages and calls with Allison / Rose re journals and Operations costing"/>
    <x v="1"/>
    <s v="Tuesday"/>
  </r>
  <r>
    <d v="2024-02-06T00:00:00"/>
    <x v="51"/>
    <s v="P&amp;C Advisory - Nordfab"/>
    <n v="0.17"/>
    <x v="63"/>
    <s v="Yes"/>
    <s v="Candidate Enquiry (Arif) - Skilled Tradesperson (Sheetmetal) - VIC - Nordfab - Alison"/>
    <x v="1"/>
    <s v="Tuesday"/>
  </r>
  <r>
    <d v="2024-02-06T00:00:00"/>
    <x v="51"/>
    <s v="P&amp;C Advisory - Nordfab"/>
    <n v="0.17"/>
    <x v="63"/>
    <s v="Yes"/>
    <s v="Follow Up Face-to-Face Interview (Zeljko) - Request 1-Week Work Trial - Workshop Hand/Storeperson - VIC - Nordfab - Alison"/>
    <x v="1"/>
    <s v="Tuesday"/>
  </r>
  <r>
    <d v="2024-02-06T00:00:00"/>
    <x v="51"/>
    <s v="P&amp;C Advisory - Nordfab"/>
    <n v="0.5"/>
    <x v="63"/>
    <s v="Yes"/>
    <s v="Review Seek Applications - Workshop Hand/Storeperson - VIC - Nordfab - Alison  Review Seek Applications - Sheet Metal Worker - NSW - Nordfab - Alison"/>
    <x v="1"/>
    <s v="Tuesday"/>
  </r>
  <r>
    <d v="2024-02-06T00:00:00"/>
    <x v="51"/>
    <s v="P&amp;C Advisory - Nordfab"/>
    <n v="1.5"/>
    <x v="63"/>
    <s v="Yes"/>
    <s v="Telephone Screens - Workshop Hand/Storeperson (Cormac, Lewis, Blayze, Carlisle, Phoenix &amp; Zdravko) - VIC - Nordfab - Alison"/>
    <x v="1"/>
    <s v="Tuesday"/>
  </r>
  <r>
    <d v="2024-02-06T00:00:00"/>
    <x v="26"/>
    <s v="Client Meeting"/>
    <n v="0.05"/>
    <x v="64"/>
    <s v="Yes"/>
    <s v="Responding to queries"/>
    <x v="1"/>
    <s v="Tuesday"/>
  </r>
  <r>
    <d v="2024-02-06T00:00:00"/>
    <x v="26"/>
    <s v="Client Meeting"/>
    <n v="0.05"/>
    <x v="56"/>
    <s v="Yes"/>
    <s v="Email"/>
    <x v="1"/>
    <s v="Tuesday"/>
  </r>
  <r>
    <d v="2024-02-06T00:00:00"/>
    <x v="26"/>
    <s v="Client Meeting"/>
    <n v="0.05"/>
    <x v="72"/>
    <s v="Yes"/>
    <s v="email"/>
    <x v="1"/>
    <s v="Tuesday"/>
  </r>
  <r>
    <d v="2024-02-06T00:00:00"/>
    <x v="26"/>
    <s v="Client Meeting"/>
    <n v="0.05"/>
    <x v="67"/>
    <s v="Yes"/>
    <s v="Email"/>
    <x v="1"/>
    <s v="Tuesday"/>
  </r>
  <r>
    <d v="2024-02-06T00:00:00"/>
    <x v="26"/>
    <s v="Client Meeting"/>
    <n v="0.08"/>
    <x v="35"/>
    <s v="Yes"/>
    <s v="Attending to queries "/>
    <x v="1"/>
    <s v="Tuesday"/>
  </r>
  <r>
    <d v="2024-02-06T00:00:00"/>
    <x v="26"/>
    <s v="Client Meeting"/>
    <n v="0.08"/>
    <x v="35"/>
    <s v="Yes"/>
    <s v="Updating ASANA regarding email response"/>
    <x v="1"/>
    <s v="Tuesday"/>
  </r>
  <r>
    <d v="2024-02-06T00:00:00"/>
    <x v="26"/>
    <s v="Client Meeting"/>
    <n v="0.08"/>
    <x v="32"/>
    <s v="No"/>
    <s v="Attending to Gerard Query"/>
    <x v="1"/>
    <s v="Tuesday"/>
  </r>
  <r>
    <d v="2024-02-06T00:00:00"/>
    <x v="26"/>
    <s v="General"/>
    <n v="0.05"/>
    <x v="12"/>
    <s v="No"/>
    <s v="quick chat with Gen"/>
    <x v="1"/>
    <s v="Tuesday"/>
  </r>
  <r>
    <d v="2024-02-06T00:00:00"/>
    <x v="26"/>
    <s v="General"/>
    <n v="0.15"/>
    <x v="12"/>
    <s v="No"/>
    <s v="Responding to Shalini's queries and instruction."/>
    <x v="1"/>
    <s v="Tuesday"/>
  </r>
  <r>
    <d v="2024-02-06T00:00:00"/>
    <x v="26"/>
    <s v="General"/>
    <n v="0.25"/>
    <x v="12"/>
    <s v="No"/>
    <s v="15 mins coffee breaks as paid per Labor Code of the Philippines, Article 85. ( Afternoon Break )"/>
    <x v="1"/>
    <s v="Tuesday"/>
  </r>
  <r>
    <d v="2024-02-06T00:00:00"/>
    <x v="26"/>
    <s v="General"/>
    <n v="0.25"/>
    <x v="12"/>
    <s v="No"/>
    <s v="15 mins coffee breaks as paid per Labor Code of the Philippines, Article 85. ( Morning Break )"/>
    <x v="1"/>
    <s v="Tuesday"/>
  </r>
  <r>
    <d v="2024-02-06T00:00:00"/>
    <x v="26"/>
    <s v="General"/>
    <n v="0.72"/>
    <x v="12"/>
    <s v="No"/>
    <s v="&gt;_x0009_Reading through emails and diving into email history. &gt;_x0009_Organizing folders in Outlook for each client. &gt;_x0009_Adding labels to keep things neat and tidy per client. &gt;_x0009_Doing some email spring cleaning and other odds and ends..  "/>
    <x v="1"/>
    <s v="Tuesday"/>
  </r>
  <r>
    <d v="2024-02-06T00:00:00"/>
    <x v="26"/>
    <s v="HR/Recuitment"/>
    <n v="0.72"/>
    <x v="12"/>
    <s v="No"/>
    <s v="&gt;Chat with Zerra, searching email of Office survey and answering questionnaire.  &gt;Other adhoc work"/>
    <x v="1"/>
    <s v="Tuesday"/>
  </r>
  <r>
    <d v="2024-02-06T00:00:00"/>
    <x v="26"/>
    <s v="IAS/BAS Preparation &amp; Lodgement - Dec"/>
    <n v="1.03"/>
    <x v="42"/>
    <s v="Yes"/>
    <s v="Redoing of work due to some adjustment made by BK. Getting all the variances of 3K down to 500"/>
    <x v="1"/>
    <s v="Tuesday"/>
  </r>
  <r>
    <d v="2024-02-06T00:00:00"/>
    <x v="26"/>
    <s v="IAS/BAS Preparation &amp; Lodgement - Jan"/>
    <n v="0.05"/>
    <x v="90"/>
    <s v="Yes"/>
    <s v="IAS Jan 2024"/>
    <x v="1"/>
    <s v="Tuesday"/>
  </r>
  <r>
    <d v="2024-02-06T00:00:00"/>
    <x v="26"/>
    <s v="IAS/BAS Preparation &amp; Lodgement - Jan"/>
    <n v="0.05"/>
    <x v="64"/>
    <s v="No"/>
    <s v="Updating the ASANA"/>
    <x v="1"/>
    <s v="Tuesday"/>
  </r>
  <r>
    <d v="2024-02-06T00:00:00"/>
    <x v="26"/>
    <s v="IAS/BAS Preparation &amp; Lodgement - Jan"/>
    <n v="0.05"/>
    <x v="83"/>
    <s v="Yes"/>
    <m/>
    <x v="1"/>
    <s v="Tuesday"/>
  </r>
  <r>
    <d v="2024-02-06T00:00:00"/>
    <x v="26"/>
    <s v="IAS/BAS Preparation &amp; Lodgement - Jan"/>
    <n v="0.05"/>
    <x v="80"/>
    <s v="Yes"/>
    <m/>
    <x v="1"/>
    <s v="Tuesday"/>
  </r>
  <r>
    <d v="2024-02-06T00:00:00"/>
    <x v="26"/>
    <s v="IAS/BAS Preparation &amp; Lodgement - Jan"/>
    <n v="0.05"/>
    <x v="60"/>
    <s v="Yes"/>
    <m/>
    <x v="1"/>
    <s v="Tuesday"/>
  </r>
  <r>
    <d v="2024-02-06T00:00:00"/>
    <x v="26"/>
    <s v="IAS/BAS Preparation &amp; Lodgement - Jan"/>
    <n v="0.05"/>
    <x v="25"/>
    <s v="Yes"/>
    <m/>
    <x v="1"/>
    <s v="Tuesday"/>
  </r>
  <r>
    <d v="2024-02-06T00:00:00"/>
    <x v="26"/>
    <s v="IAS/BAS Preparation &amp; Lodgement - Jan"/>
    <n v="0.05"/>
    <x v="14"/>
    <s v="No"/>
    <s v="Updating ASANA as per Irish email"/>
    <x v="1"/>
    <s v="Tuesday"/>
  </r>
  <r>
    <d v="2024-02-06T00:00:00"/>
    <x v="26"/>
    <s v="IAS/BAS Preparation &amp; Lodgement - Jan"/>
    <n v="0.05"/>
    <x v="88"/>
    <s v="Yes"/>
    <m/>
    <x v="1"/>
    <s v="Tuesday"/>
  </r>
  <r>
    <d v="2024-02-06T00:00:00"/>
    <x v="26"/>
    <s v="IAS/BAS Preparation &amp; Lodgement - Jan"/>
    <n v="0.05"/>
    <x v="18"/>
    <s v="Yes"/>
    <m/>
    <x v="1"/>
    <s v="Tuesday"/>
  </r>
  <r>
    <d v="2024-02-06T00:00:00"/>
    <x v="26"/>
    <s v="IAS/BAS Preparation &amp; Lodgement - Jan"/>
    <n v="7.0000000000000007E-2"/>
    <x v="90"/>
    <s v="Yes"/>
    <m/>
    <x v="1"/>
    <s v="Tuesday"/>
  </r>
  <r>
    <d v="2024-02-06T00:00:00"/>
    <x v="26"/>
    <s v="IAS/BAS Preparation &amp; Lodgement - Jan"/>
    <n v="7.0000000000000007E-2"/>
    <x v="83"/>
    <s v="Yes"/>
    <s v="Jan 2024 IAS"/>
    <x v="1"/>
    <s v="Tuesday"/>
  </r>
  <r>
    <d v="2024-02-06T00:00:00"/>
    <x v="26"/>
    <s v="IAS/BAS Preparation &amp; Lodgement - Jan"/>
    <n v="7.0000000000000007E-2"/>
    <x v="80"/>
    <s v="Yes"/>
    <s v="Jan 2024 IAS"/>
    <x v="1"/>
    <s v="Tuesday"/>
  </r>
  <r>
    <d v="2024-02-06T00:00:00"/>
    <x v="26"/>
    <s v="IAS/BAS Preparation &amp; Lodgement - Jan"/>
    <n v="7.0000000000000007E-2"/>
    <x v="55"/>
    <s v="No"/>
    <s v="Attending query and Updating ASANA"/>
    <x v="1"/>
    <s v="Tuesday"/>
  </r>
  <r>
    <d v="2024-02-06T00:00:00"/>
    <x v="26"/>
    <s v="IAS/BAS Preparation &amp; Lodgement - Jan"/>
    <n v="7.0000000000000007E-2"/>
    <x v="88"/>
    <s v="Yes"/>
    <s v="IAS jan 2024 "/>
    <x v="1"/>
    <s v="Tuesday"/>
  </r>
  <r>
    <d v="2024-02-06T00:00:00"/>
    <x v="26"/>
    <s v="IAS/BAS Preparation &amp; Lodgement - Jan"/>
    <n v="0.08"/>
    <x v="60"/>
    <s v="Yes"/>
    <s v="Jan. 2024 IAS"/>
    <x v="1"/>
    <s v="Tuesday"/>
  </r>
  <r>
    <d v="2024-02-06T00:00:00"/>
    <x v="26"/>
    <s v="IAS/BAS Preparation &amp; Lodgement - Jan"/>
    <n v="0.1"/>
    <x v="25"/>
    <s v="Yes"/>
    <s v="IAS Jan. 20204"/>
    <x v="1"/>
    <s v="Tuesday"/>
  </r>
  <r>
    <d v="2024-02-06T00:00:00"/>
    <x v="26"/>
    <s v="IAS/BAS Preparation &amp; Lodgement - Jan"/>
    <n v="0.1"/>
    <x v="18"/>
    <s v="Yes"/>
    <s v="Jan 2024 IAS"/>
    <x v="1"/>
    <s v="Tuesday"/>
  </r>
  <r>
    <d v="2024-02-06T00:00:00"/>
    <x v="26"/>
    <s v="IAS/BAS Preparation &amp; Lodgement - Jan"/>
    <n v="0.12"/>
    <x v="59"/>
    <s v="Yes"/>
    <m/>
    <x v="1"/>
    <s v="Tuesday"/>
  </r>
  <r>
    <d v="2024-02-06T00:00:00"/>
    <x v="26"/>
    <s v="IAS/BAS Preparation &amp; Lodgement - Jan"/>
    <n v="0.13"/>
    <x v="4"/>
    <s v="Yes"/>
    <s v="Jan 2024 IAS"/>
    <x v="1"/>
    <s v="Tuesday"/>
  </r>
  <r>
    <d v="2024-02-06T00:00:00"/>
    <x v="26"/>
    <s v="IAS/BAS Preparation &amp; Lodgement - Jan"/>
    <n v="0.13"/>
    <x v="11"/>
    <s v="Yes"/>
    <s v="Jan 2024 IAS"/>
    <x v="1"/>
    <s v="Tuesday"/>
  </r>
  <r>
    <d v="2024-02-06T00:00:00"/>
    <x v="26"/>
    <s v="IAS/BAS Preparation &amp; Lodgement - Jan"/>
    <n v="0.15"/>
    <x v="12"/>
    <s v="Yes"/>
    <s v="IAS 2024 IAS"/>
    <x v="1"/>
    <s v="Tuesday"/>
  </r>
  <r>
    <d v="2024-02-06T00:00:00"/>
    <x v="26"/>
    <s v="IAS/BAS Preparation &amp; Lodgement - Jan"/>
    <n v="0.15"/>
    <x v="28"/>
    <s v="Yes"/>
    <s v="Jan 2024 IAS"/>
    <x v="1"/>
    <s v="Tuesday"/>
  </r>
  <r>
    <d v="2024-02-06T00:00:00"/>
    <x v="26"/>
    <s v="IAS/BAS Preparation &amp; Lodgement - Jan"/>
    <n v="0.17"/>
    <x v="62"/>
    <s v="Yes"/>
    <s v="IAS 2024 IAS"/>
    <x v="1"/>
    <s v="Tuesday"/>
  </r>
  <r>
    <d v="2024-02-06T00:00:00"/>
    <x v="26"/>
    <s v="IAS/BAS Preparation &amp; Lodgement - Jan"/>
    <n v="0.18"/>
    <x v="91"/>
    <s v="Yes"/>
    <s v="Jan 2024 IAS"/>
    <x v="1"/>
    <s v="Tuesday"/>
  </r>
  <r>
    <d v="2024-02-06T00:00:00"/>
    <x v="26"/>
    <s v="IAS/BAS Preparation &amp; Lodgement - Oct-Dec"/>
    <n v="0.05"/>
    <x v="55"/>
    <s v="Yes"/>
    <s v="Attending query and Updating ASANA"/>
    <x v="1"/>
    <s v="Tuesday"/>
  </r>
  <r>
    <d v="2024-02-06T00:00:00"/>
    <x v="26"/>
    <s v="IAS/BAS Preparation &amp; Lodgement - Oct-Dec"/>
    <n v="0.08"/>
    <x v="21"/>
    <s v="Yes"/>
    <s v="Update ASANA &amp; XPM"/>
    <x v="1"/>
    <s v="Tuesday"/>
  </r>
  <r>
    <d v="2024-02-06T00:00:00"/>
    <x v="26"/>
    <s v="IAS/BAS Preparation &amp; Lodgement - Oct-Dec"/>
    <n v="0.15"/>
    <x v="92"/>
    <s v="Yes"/>
    <s v="PAYGI Dec 2023"/>
    <x v="1"/>
    <s v="Tuesday"/>
  </r>
  <r>
    <d v="2024-02-06T00:00:00"/>
    <x v="26"/>
    <s v="IAS/BAS Preparation &amp; Lodgement - Oct-Dec"/>
    <n v="0.17"/>
    <x v="92"/>
    <s v="No"/>
    <s v="Lodgement error XPM and checking issue"/>
    <x v="1"/>
    <s v="Tuesday"/>
  </r>
  <r>
    <d v="2024-02-06T00:00:00"/>
    <x v="26"/>
    <s v="IAS/BAS Preparation &amp; Lodgement - Oct-Dec"/>
    <n v="0.17"/>
    <x v="35"/>
    <s v="No"/>
    <s v="Update and checking of PAYGI, WPS and response to query"/>
    <x v="1"/>
    <s v="Tuesday"/>
  </r>
  <r>
    <d v="2024-02-06T00:00:00"/>
    <x v="26"/>
    <s v="IAS/BAS Preparation &amp; Lodgement - Oct-Dec"/>
    <n v="0.48"/>
    <x v="65"/>
    <s v="No"/>
    <s v="&gt;Exportation &gt;Setting up in Quickbook &gt;BAS cont. "/>
    <x v="1"/>
    <s v="Tuesday"/>
  </r>
  <r>
    <d v="2024-02-06T00:00:00"/>
    <x v="26"/>
    <s v="IT"/>
    <n v="0.17"/>
    <x v="12"/>
    <s v="No"/>
    <s v="Fixing onedrive "/>
    <x v="1"/>
    <s v="Tuesday"/>
  </r>
  <r>
    <d v="2024-02-06T00:00:00"/>
    <x v="26"/>
    <s v="IT"/>
    <n v="0.18"/>
    <x v="12"/>
    <s v="No"/>
    <s v="Chat with Mark regarding Onedrive issue"/>
    <x v="1"/>
    <s v="Tuesday"/>
  </r>
  <r>
    <d v="2024-02-06T00:00:00"/>
    <x v="26"/>
    <s v="Meetings"/>
    <n v="0.15"/>
    <x v="12"/>
    <s v="No"/>
    <s v="catch up with Zerra"/>
    <x v="1"/>
    <s v="Tuesday"/>
  </r>
  <r>
    <d v="2024-02-06T00:00:00"/>
    <x v="26"/>
    <s v="Meetings"/>
    <n v="0.5"/>
    <x v="12"/>
    <s v="No"/>
    <s v="Team chat with Zerra ( Employee status survey )"/>
    <x v="1"/>
    <s v="Tuesday"/>
  </r>
  <r>
    <d v="2024-02-06T00:00:00"/>
    <x v="26"/>
    <s v="Tax Admin"/>
    <n v="0.1"/>
    <x v="12"/>
    <s v="No"/>
    <s v="One drive organizing"/>
    <x v="1"/>
    <s v="Tuesday"/>
  </r>
  <r>
    <d v="2024-02-06T00:00:00"/>
    <x v="26"/>
    <s v="Tax Admin"/>
    <n v="0.12"/>
    <x v="12"/>
    <s v="No"/>
    <s v="XPM updates"/>
    <x v="1"/>
    <s v="Tuesday"/>
  </r>
  <r>
    <d v="2024-02-06T00:00:00"/>
    <x v="27"/>
    <s v="P&amp;C Advisory"/>
    <n v="2"/>
    <x v="82"/>
    <s v="Yes"/>
    <s v="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
    <x v="1"/>
    <s v="Tuesday"/>
  </r>
  <r>
    <d v="2024-02-06T00:00:00"/>
    <x v="27"/>
    <s v="P&amp;C Advisory"/>
    <n v="6"/>
    <x v="19"/>
    <s v="Yes"/>
    <s v="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
    <x v="1"/>
    <s v="Tuesday"/>
  </r>
  <r>
    <d v="2024-02-06T00:00:00"/>
    <x v="28"/>
    <s v="Bookkeeping"/>
    <n v="1.03"/>
    <x v="49"/>
    <s v="Yes"/>
    <m/>
    <x v="1"/>
    <s v="Tuesday"/>
  </r>
  <r>
    <d v="2024-02-06T00:00:00"/>
    <x v="28"/>
    <s v="Bookkeeping"/>
    <n v="7.02"/>
    <x v="16"/>
    <s v="Yes"/>
    <m/>
    <x v="1"/>
    <s v="Tuesday"/>
  </r>
  <r>
    <d v="2024-02-06T00:00:00"/>
    <x v="29"/>
    <s v="Bookkeeping - Backlog"/>
    <n v="1"/>
    <x v="49"/>
    <s v="Yes"/>
    <s v="Sole Trader wps - Daniel FY17"/>
    <x v="1"/>
    <s v="Tuesday"/>
  </r>
  <r>
    <d v="2024-02-06T00:00:00"/>
    <x v="30"/>
    <s v="Debt Collection"/>
    <n v="0.75"/>
    <x v="12"/>
    <s v="Yes"/>
    <m/>
    <x v="1"/>
    <s v="Tuesday"/>
  </r>
  <r>
    <d v="2024-02-06T00:00:00"/>
    <x v="30"/>
    <s v="Debt Collection"/>
    <n v="7.25"/>
    <x v="16"/>
    <s v="Yes"/>
    <m/>
    <x v="1"/>
    <s v="Tuesday"/>
  </r>
  <r>
    <d v="2024-02-06T00:00:00"/>
    <x v="31"/>
    <s v="Bookkeeping"/>
    <n v="0.68"/>
    <x v="16"/>
    <s v="Yes"/>
    <s v="AR / weekly AR meeting"/>
    <x v="1"/>
    <s v="Tuesday"/>
  </r>
  <r>
    <d v="2024-02-06T00:00:00"/>
    <x v="31"/>
    <s v="Bookkeeping"/>
    <n v="0.85"/>
    <x v="12"/>
    <s v="No"/>
    <s v="Payroll Tax / Xe Payment /"/>
    <x v="1"/>
    <s v="Tuesday"/>
  </r>
  <r>
    <d v="2024-02-06T00:00:00"/>
    <x v="31"/>
    <s v="Client Meeting"/>
    <n v="0.27"/>
    <x v="12"/>
    <s v="No"/>
    <s v="emails"/>
    <x v="1"/>
    <s v="Tuesday"/>
  </r>
  <r>
    <d v="2024-02-06T00:00:00"/>
    <x v="31"/>
    <s v="Client Meeting"/>
    <n v="0.9"/>
    <x v="12"/>
    <s v="No"/>
    <s v="management meeting"/>
    <x v="1"/>
    <s v="Tuesday"/>
  </r>
  <r>
    <d v="2024-02-06T00:00:00"/>
    <x v="31"/>
    <s v="General"/>
    <n v="0.57999999999999996"/>
    <x v="12"/>
    <s v="No"/>
    <s v="online banking application / admin and authorizer"/>
    <x v="1"/>
    <s v="Tuesday"/>
  </r>
  <r>
    <d v="2024-02-06T00:00:00"/>
    <x v="31"/>
    <s v="General"/>
    <n v="0.95"/>
    <x v="12"/>
    <s v="No"/>
    <s v="arranging courier for docs to be sent to Tess / filing original docs business permit 2024 / arranging additional requirements for RO change of address"/>
    <x v="1"/>
    <s v="Tuesday"/>
  </r>
  <r>
    <d v="2024-02-06T00:00:00"/>
    <x v="31"/>
    <s v="General"/>
    <n v="1.98"/>
    <x v="12"/>
    <s v="No"/>
    <s v="preparing/scanning documents to be sent to SEC for the certificate / preparing additional documents for the RO change of address / filing original docs from Tess"/>
    <x v="1"/>
    <s v="Tuesday"/>
  </r>
  <r>
    <d v="2024-02-06T00:00:00"/>
    <x v="31"/>
    <s v="Management Reporting"/>
    <n v="0.33"/>
    <x v="12"/>
    <s v="No"/>
    <s v="month-end"/>
    <x v="1"/>
    <s v="Tuesday"/>
  </r>
  <r>
    <d v="2024-02-06T00:00:00"/>
    <x v="31"/>
    <s v="Management Reporting"/>
    <n v="0.35"/>
    <x v="16"/>
    <s v="Yes"/>
    <s v="payroll tax review / emails"/>
    <x v="1"/>
    <s v="Tuesday"/>
  </r>
  <r>
    <d v="2024-02-06T00:00:00"/>
    <x v="31"/>
    <s v="Management Reporting"/>
    <n v="0.47"/>
    <x v="16"/>
    <s v="Yes"/>
    <s v="month-end"/>
    <x v="1"/>
    <s v="Tuesday"/>
  </r>
  <r>
    <d v="2024-02-06T00:00:00"/>
    <x v="31"/>
    <s v="Payroll Processing"/>
    <n v="0.65"/>
    <x v="12"/>
    <s v="No"/>
    <s v="Branch payroll review"/>
    <x v="1"/>
    <s v="Tuesday"/>
  </r>
  <r>
    <d v="2024-02-06T00:00:00"/>
    <x v="32"/>
    <s v="Bookkeeping"/>
    <n v="2.12"/>
    <x v="51"/>
    <s v="Yes"/>
    <s v="Clearing Shopify international and posted manual journal Clearing Shopify international and posted manual journal LOC Inc Clearing accounts, including Afterpay and Shoppay fees recognition Shopify Installment clearing international "/>
    <x v="1"/>
    <s v="Tuesday"/>
  </r>
  <r>
    <d v="2024-02-06T00:00:00"/>
    <x v="32"/>
    <s v="Bookkeeping"/>
    <n v="5.38"/>
    <x v="51"/>
    <s v="Yes"/>
    <s v="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
    <x v="1"/>
    <s v="Tuesday"/>
  </r>
  <r>
    <d v="2024-02-06T00:00:00"/>
    <x v="32"/>
    <s v="General"/>
    <n v="0.5"/>
    <x v="12"/>
    <s v="No"/>
    <s v="Break"/>
    <x v="1"/>
    <s v="Tuesday"/>
  </r>
  <r>
    <d v="2024-02-06T00:00:00"/>
    <x v="33"/>
    <s v="IT"/>
    <n v="9"/>
    <x v="12"/>
    <s v="No"/>
    <s v="SUpport with the Team"/>
    <x v="1"/>
    <s v="Tuesday"/>
  </r>
  <r>
    <d v="2024-02-06T00:00:00"/>
    <x v="34"/>
    <s v="Bookkeeping"/>
    <n v="1.72"/>
    <x v="15"/>
    <s v="Yes"/>
    <s v="Email Management Bills Processing Invoices Processing  Bank Recon"/>
    <x v="1"/>
    <s v="Tuesday"/>
  </r>
  <r>
    <d v="2024-02-06T00:00:00"/>
    <x v="34"/>
    <s v="Bookkeeping"/>
    <n v="3.03"/>
    <x v="52"/>
    <s v="Yes"/>
    <s v="Email Management  Bills Processing Bank Recon "/>
    <x v="1"/>
    <s v="Tuesday"/>
  </r>
  <r>
    <d v="2024-02-06T00:00:00"/>
    <x v="34"/>
    <s v="General"/>
    <n v="0.87"/>
    <x v="12"/>
    <s v="No"/>
    <m/>
    <x v="1"/>
    <s v="Tuesday"/>
  </r>
  <r>
    <d v="2024-02-06T00:00:00"/>
    <x v="34"/>
    <s v="General"/>
    <n v="1.7"/>
    <x v="12"/>
    <s v="No"/>
    <s v="Wyzed Training - Management Reporting  Email Management  "/>
    <x v="1"/>
    <s v="Tuesday"/>
  </r>
  <r>
    <d v="2024-02-06T00:00:00"/>
    <x v="34"/>
    <s v="IAS/BAS Preparation &amp; Lodgement - Jan"/>
    <n v="0.15"/>
    <x v="6"/>
    <s v="Yes"/>
    <s v="Send IAS and Payroll Report to LM "/>
    <x v="1"/>
    <s v="Tuesday"/>
  </r>
  <r>
    <d v="2024-02-06T00:00:00"/>
    <x v="34"/>
    <s v="IAS/BAS Preparation &amp; Lodgement - Jan"/>
    <n v="0.23"/>
    <x v="52"/>
    <s v="Yes"/>
    <s v="Send  AIS and Payroll Report to LM"/>
    <x v="1"/>
    <s v="Tuesday"/>
  </r>
  <r>
    <d v="2024-02-06T00:00:00"/>
    <x v="34"/>
    <s v="Meetings"/>
    <n v="0.35"/>
    <x v="12"/>
    <s v="No"/>
    <s v="Meeting with Jordan RE: Skylife extraction of reports "/>
    <x v="1"/>
    <s v="Tuesday"/>
  </r>
  <r>
    <d v="2024-02-06T00:00:00"/>
    <x v="35"/>
    <s v="Accounts"/>
    <n v="0.65"/>
    <x v="12"/>
    <s v="No"/>
    <s v="Update bank recs"/>
    <x v="1"/>
    <s v="Tuesday"/>
  </r>
  <r>
    <d v="2024-02-06T00:00:00"/>
    <x v="35"/>
    <s v="Accounts"/>
    <n v="1.35"/>
    <x v="53"/>
    <s v="No"/>
    <s v="Checking of bills for payment under PH Branch"/>
    <x v="1"/>
    <s v="Tuesday"/>
  </r>
  <r>
    <d v="2024-02-06T00:00:00"/>
    <x v="35"/>
    <s v="Accounts"/>
    <n v="1.53"/>
    <x v="12"/>
    <s v="No"/>
    <s v="Process other tasks from Shalini and Kate/Update bills. Catch up emails from AU accounts email."/>
    <x v="1"/>
    <s v="Tuesday"/>
  </r>
  <r>
    <d v="2024-02-06T00:00:00"/>
    <x v="35"/>
    <s v="Management Reporting"/>
    <n v="1.68"/>
    <x v="12"/>
    <s v="No"/>
    <s v="Accrual for January 2024"/>
    <x v="1"/>
    <s v="Tuesday"/>
  </r>
  <r>
    <d v="2024-02-06T00:00:00"/>
    <x v="35"/>
    <s v="Payroll Processing"/>
    <n v="0.4"/>
    <x v="53"/>
    <s v="No"/>
    <s v="BDO payroll file preparation for upload"/>
    <x v="1"/>
    <s v="Tuesday"/>
  </r>
  <r>
    <d v="2024-02-06T00:00:00"/>
    <x v="35"/>
    <s v="Payroll Processing"/>
    <n v="0.42"/>
    <x v="53"/>
    <s v="No"/>
    <s v="Payment request to Nick and email preparation"/>
    <x v="1"/>
    <s v="Tuesday"/>
  </r>
  <r>
    <d v="2024-02-06T00:00:00"/>
    <x v="35"/>
    <s v="Payroll Processing"/>
    <n v="3.05"/>
    <x v="53"/>
    <s v="No"/>
    <s v="Payroll processing for PH Branch 10 Feb 2024 payout."/>
    <x v="1"/>
    <s v="Tuesday"/>
  </r>
  <r>
    <d v="2024-02-06T00:00:00"/>
    <x v="36"/>
    <s v="Web"/>
    <n v="10"/>
    <x v="12"/>
    <s v="No"/>
    <s v="✅ submitted the performance evaluation on Performance Pro + ✅ submitted the changes for review on the Payroll Page 🟥 edited the images for the header part of subservices page"/>
    <x v="1"/>
    <s v="Tuesday"/>
  </r>
  <r>
    <d v="2024-02-06T00:00:00"/>
    <x v="37"/>
    <s v="Bookkeeping"/>
    <n v="0.5"/>
    <x v="85"/>
    <s v="Yes"/>
    <m/>
    <x v="1"/>
    <s v="Tuesday"/>
  </r>
  <r>
    <d v="2024-02-06T00:00:00"/>
    <x v="37"/>
    <s v="Bookkeeping"/>
    <n v="1"/>
    <x v="84"/>
    <s v="Yes"/>
    <s v="processing supplier bills for BNE/SSC and NSW and bank reco"/>
    <x v="1"/>
    <s v="Tuesday"/>
  </r>
  <r>
    <d v="2024-02-06T00:00:00"/>
    <x v="37"/>
    <s v="Bookkeeping"/>
    <n v="1.5"/>
    <x v="84"/>
    <s v="Yes"/>
    <s v="Processing BGS bills"/>
    <x v="1"/>
    <s v="Tuesday"/>
  </r>
  <r>
    <d v="2024-02-06T00:00:00"/>
    <x v="37"/>
    <s v="Bookkeeping"/>
    <n v="1.5"/>
    <x v="19"/>
    <s v="Yes"/>
    <s v="sage and skybot reco"/>
    <x v="1"/>
    <s v="Tuesday"/>
  </r>
  <r>
    <d v="2024-02-06T00:00:00"/>
    <x v="37"/>
    <s v="Payroll Processing"/>
    <n v="0.5"/>
    <x v="84"/>
    <s v="Yes"/>
    <s v="BNE and BGS f/e payroll "/>
    <x v="1"/>
    <s v="Tuesday"/>
  </r>
  <r>
    <d v="2024-02-06T00:00:00"/>
    <x v="37"/>
    <s v="Payroll Processing"/>
    <n v="0.5"/>
    <x v="84"/>
    <s v="Yes"/>
    <s v="setting up new employee"/>
    <x v="1"/>
    <s v="Tuesday"/>
  </r>
  <r>
    <d v="2024-02-06T00:00:00"/>
    <x v="38"/>
    <s v="Client Manager"/>
    <n v="0.2"/>
    <x v="2"/>
    <s v="Yes"/>
    <s v="follow up on tasks and emails"/>
    <x v="1"/>
    <s v="Tuesday"/>
  </r>
  <r>
    <d v="2024-02-06T00:00:00"/>
    <x v="38"/>
    <s v="Client Manager"/>
    <n v="0.4"/>
    <x v="54"/>
    <s v="Yes"/>
    <s v="review of 5 year plan sent by client"/>
    <x v="1"/>
    <s v="Tuesday"/>
  </r>
  <r>
    <d v="2024-02-06T00:00:00"/>
    <x v="38"/>
    <s v="Client Manager"/>
    <n v="2.72"/>
    <x v="2"/>
    <s v="No"/>
    <s v="Bas tasks follow up"/>
    <x v="1"/>
    <s v="Tuesday"/>
  </r>
  <r>
    <d v="2024-02-06T00:00:00"/>
    <x v="38"/>
    <s v="Client Meeting"/>
    <n v="1.1299999999999999"/>
    <x v="54"/>
    <s v="Yes"/>
    <s v="Meeting with Scott on pay rise"/>
    <x v="1"/>
    <s v="Tuesday"/>
  </r>
  <r>
    <d v="2024-02-06T00:00:00"/>
    <x v="38"/>
    <s v="General"/>
    <n v="1.55"/>
    <x v="12"/>
    <s v="No"/>
    <s v="emails, teams, Asana"/>
    <x v="1"/>
    <s v="Tuesday"/>
  </r>
  <r>
    <d v="2024-02-06T00:00:00"/>
    <x v="39"/>
    <s v="Bookkeeping"/>
    <n v="0.47"/>
    <x v="14"/>
    <s v="Yes"/>
    <m/>
    <x v="1"/>
    <s v="Tuesday"/>
  </r>
  <r>
    <d v="2024-02-06T00:00:00"/>
    <x v="39"/>
    <s v="Bookkeeping"/>
    <n v="0.83"/>
    <x v="55"/>
    <s v="Yes"/>
    <s v="marsil AP"/>
    <x v="1"/>
    <s v="Tuesday"/>
  </r>
  <r>
    <d v="2024-02-06T00:00:00"/>
    <x v="39"/>
    <s v="Bookkeeping"/>
    <n v="0.93"/>
    <x v="55"/>
    <s v="No"/>
    <s v="Payroll discrepancy queries with lindsay"/>
    <x v="1"/>
    <s v="Tuesday"/>
  </r>
  <r>
    <d v="2024-02-06T00:00:00"/>
    <x v="39"/>
    <s v="Bookkeeping"/>
    <n v="1.02"/>
    <x v="55"/>
    <s v="Yes"/>
    <s v="Payroll review from FY23 to January2024 - recoded 1 wage expense to payable from Oct2023"/>
    <x v="1"/>
    <s v="Tuesday"/>
  </r>
  <r>
    <d v="2024-02-06T00:00:00"/>
    <x v="39"/>
    <s v="Bookkeeping"/>
    <n v="1.1499999999999999"/>
    <x v="14"/>
    <s v="Yes"/>
    <s v="AP, emails"/>
    <x v="1"/>
    <s v="Tuesday"/>
  </r>
  <r>
    <d v="2024-02-06T00:00:00"/>
    <x v="39"/>
    <s v="Bookkeeping"/>
    <n v="1.33"/>
    <x v="55"/>
    <s v="Yes"/>
    <s v="AP, files"/>
    <x v="1"/>
    <s v="Tuesday"/>
  </r>
  <r>
    <d v="2024-02-06T00:00:00"/>
    <x v="39"/>
    <s v="Bookkeeping"/>
    <n v="2.6"/>
    <x v="55"/>
    <s v="Yes"/>
    <s v="Catch up with Adriana"/>
    <x v="1"/>
    <s v="Tuesday"/>
  </r>
  <r>
    <d v="2024-02-06T00:00:00"/>
    <x v="39"/>
    <s v="General"/>
    <n v="0.22"/>
    <x v="12"/>
    <s v="No"/>
    <s v="office space survey"/>
    <x v="1"/>
    <s v="Tuesday"/>
  </r>
  <r>
    <d v="2024-02-06T00:00:00"/>
    <x v="40"/>
    <s v="Bookkeeping"/>
    <n v="0.38"/>
    <x v="36"/>
    <s v="Yes"/>
    <s v="setting up Go cardless application "/>
    <x v="1"/>
    <s v="Tuesday"/>
  </r>
  <r>
    <d v="2024-02-06T00:00:00"/>
    <x v="40"/>
    <s v="Bookkeeping"/>
    <n v="1.28"/>
    <x v="50"/>
    <s v="No"/>
    <s v="Shadowed with Sarah "/>
    <x v="1"/>
    <s v="Tuesday"/>
  </r>
  <r>
    <d v="2024-02-06T00:00:00"/>
    <x v="40"/>
    <s v="Bookkeeping"/>
    <n v="1.28"/>
    <x v="50"/>
    <s v="Yes"/>
    <s v="Bank  recs"/>
    <x v="1"/>
    <s v="Tuesday"/>
  </r>
  <r>
    <d v="2024-02-06T00:00:00"/>
    <x v="40"/>
    <s v="Bookkeeping"/>
    <n v="3.27"/>
    <x v="50"/>
    <s v="Yes"/>
    <s v="Bank recs of all entities Created new MSNs tracking categories and accounts"/>
    <x v="1"/>
    <s v="Tuesday"/>
  </r>
  <r>
    <d v="2024-02-06T00:00:00"/>
    <x v="40"/>
    <s v="General"/>
    <n v="0.22"/>
    <x v="12"/>
    <s v="No"/>
    <s v="Dex emails"/>
    <x v="1"/>
    <s v="Tuesday"/>
  </r>
  <r>
    <d v="2024-02-06T00:00:00"/>
    <x v="40"/>
    <s v="Management Reporting"/>
    <n v="2.0699999999999998"/>
    <x v="36"/>
    <s v="Yes"/>
    <m/>
    <x v="1"/>
    <s v="Tuesday"/>
  </r>
  <r>
    <d v="2024-02-06T00:00:00"/>
    <x v="41"/>
    <s v="General"/>
    <n v="1.47"/>
    <x v="12"/>
    <s v="No"/>
    <s v="PTX training prep Global team meeting action items "/>
    <x v="1"/>
    <s v="Tuesday"/>
  </r>
  <r>
    <d v="2024-02-06T00:00:00"/>
    <x v="41"/>
    <s v="General"/>
    <n v="2.2000000000000002"/>
    <x v="12"/>
    <s v="No"/>
    <s v="Staff concerns Payroll dispute approval  Asana tasks Quickbooks cert continuation"/>
    <x v="1"/>
    <s v="Tuesday"/>
  </r>
  <r>
    <d v="2024-02-06T00:00:00"/>
    <x v="41"/>
    <s v="General"/>
    <n v="3.27"/>
    <x v="12"/>
    <s v="No"/>
    <s v="Billable report and client profitability report updating per Nick's request  Capacity update considering team changes  Payroll tax review study"/>
    <x v="1"/>
    <s v="Tuesday"/>
  </r>
  <r>
    <d v="2024-02-06T00:00:00"/>
    <x v="41"/>
    <s v="Meetings"/>
    <n v="0.22"/>
    <x v="12"/>
    <s v="No"/>
    <s v="Capacity plan meeting with Ann"/>
    <x v="1"/>
    <s v="Tuesday"/>
  </r>
  <r>
    <d v="2024-02-06T00:00:00"/>
    <x v="41"/>
    <s v="Meetings"/>
    <n v="1"/>
    <x v="12"/>
    <s v="No"/>
    <s v="Global team meeting"/>
    <x v="1"/>
    <s v="Tuesday"/>
  </r>
  <r>
    <d v="2024-02-06T00:00:00"/>
    <x v="42"/>
    <s v="Bookkeeping"/>
    <n v="8.73"/>
    <x v="16"/>
    <s v="Yes"/>
    <m/>
    <x v="1"/>
    <s v="Tuesday"/>
  </r>
  <r>
    <d v="2024-02-06T00:00:00"/>
    <x v="43"/>
    <s v="General"/>
    <n v="0.43"/>
    <x v="12"/>
    <s v="No"/>
    <s v="Action emails, email Steve re Charmie's resignation"/>
    <x v="1"/>
    <s v="Tuesday"/>
  </r>
  <r>
    <d v="2024-02-06T00:00:00"/>
    <x v="43"/>
    <s v="General"/>
    <n v="0.5"/>
    <x v="12"/>
    <s v="No"/>
    <s v="break"/>
    <x v="1"/>
    <s v="Tuesday"/>
  </r>
  <r>
    <d v="2024-02-06T00:00:00"/>
    <x v="43"/>
    <s v="Out-of-Scope Services"/>
    <n v="0.15"/>
    <x v="93"/>
    <s v="Yes"/>
    <s v="Run unsched pay run to pay the difference in payroll and super as per Marie-Pierre's email"/>
    <x v="1"/>
    <s v="Tuesday"/>
  </r>
  <r>
    <d v="2024-02-06T00:00:00"/>
    <x v="43"/>
    <s v="Payroll Processing"/>
    <n v="0.18"/>
    <x v="89"/>
    <s v="Yes"/>
    <s v="payroll review"/>
    <x v="1"/>
    <s v="Tuesday"/>
  </r>
  <r>
    <d v="2024-02-06T00:00:00"/>
    <x v="43"/>
    <s v="Payroll Processing"/>
    <n v="0.27"/>
    <x v="37"/>
    <s v="Yes"/>
    <s v="Unapproved/unallocated TS report"/>
    <x v="1"/>
    <s v="Tuesday"/>
  </r>
  <r>
    <d v="2024-02-06T00:00:00"/>
    <x v="43"/>
    <s v="Payroll Processing"/>
    <n v="0.97"/>
    <x v="16"/>
    <s v="Yes"/>
    <s v="Setup new employees in Xero, lodge super for Jan24, action payroll emails, respond to James' message"/>
    <x v="1"/>
    <s v="Tuesday"/>
  </r>
  <r>
    <d v="2024-02-06T00:00:00"/>
    <x v="43"/>
    <s v="Payroll Processing"/>
    <n v="2.73"/>
    <x v="37"/>
    <s v="Yes"/>
    <s v="Payroll processing, issue with payroll journal automation, investigate, discuss with Kate, call with Edz to resolve error, payroll emails, complete processing of FN and WK payrolls for review"/>
    <x v="1"/>
    <s v="Tuesday"/>
  </r>
  <r>
    <d v="2024-02-06T00:00:00"/>
    <x v="43"/>
    <s v="Payroll Processing"/>
    <n v="2.83"/>
    <x v="37"/>
    <s v="Yes"/>
    <s v="Payroll processing FN and WK"/>
    <x v="1"/>
    <s v="Tuesday"/>
  </r>
  <r>
    <d v="2024-02-06T00:00:00"/>
    <x v="44"/>
    <s v="FBT Return"/>
    <n v="0.33"/>
    <x v="50"/>
    <s v="Yes"/>
    <s v="Phone calls with Nick and Stephen Update team"/>
    <x v="1"/>
    <s v="Tuesday"/>
  </r>
  <r>
    <d v="2024-02-06T00:00:00"/>
    <x v="44"/>
    <s v="FBT Return"/>
    <n v="1"/>
    <x v="50"/>
    <s v="Yes"/>
    <s v="Review entertaiment transactions for the 22 and 23 FBT years Provide FBT liability estimate and fee proposal Email to SK with proposed approach to finalise both years prior to applying for the remission of GIC"/>
    <x v="1"/>
    <s v="Tuesday"/>
  </r>
  <r>
    <d v="2024-02-06T00:00:00"/>
    <x v="45"/>
    <s v="Bookkeeping"/>
    <n v="0.3"/>
    <x v="58"/>
    <s v="Yes"/>
    <s v="Bank rec"/>
    <x v="1"/>
    <s v="Tuesday"/>
  </r>
  <r>
    <d v="2024-02-06T00:00:00"/>
    <x v="45"/>
    <s v="Bookkeeping"/>
    <n v="0.73"/>
    <x v="11"/>
    <s v="Yes"/>
    <s v="Client handover to Xavi Prepare handover file and request access Review accounts before handover"/>
    <x v="1"/>
    <s v="Tuesday"/>
  </r>
  <r>
    <d v="2024-02-06T00:00:00"/>
    <x v="45"/>
    <s v="Bookkeeping"/>
    <n v="1.62"/>
    <x v="50"/>
    <s v="Yes"/>
    <s v="Inbox mgmt Posting of bills AP run"/>
    <x v="1"/>
    <s v="Tuesday"/>
  </r>
  <r>
    <d v="2024-02-06T00:00:00"/>
    <x v="45"/>
    <s v="Bookkeeping"/>
    <n v="1.92"/>
    <x v="50"/>
    <s v="Yes"/>
    <s v="Training with Rachele re monthly distributions (forex deals) Bank rec"/>
    <x v="1"/>
    <s v="Tuesday"/>
  </r>
  <r>
    <d v="2024-02-06T00:00:00"/>
    <x v="45"/>
    <s v="Bookkeeping"/>
    <n v="2.12"/>
    <x v="50"/>
    <s v="Yes"/>
    <s v="AP run"/>
    <x v="1"/>
    <s v="Tuesday"/>
  </r>
  <r>
    <d v="2024-02-06T00:00:00"/>
    <x v="45"/>
    <s v="General"/>
    <n v="0.5"/>
    <x v="12"/>
    <s v="No"/>
    <s v="Paid break"/>
    <x v="1"/>
    <s v="Tuesday"/>
  </r>
  <r>
    <d v="2024-02-06T00:00:00"/>
    <x v="45"/>
    <s v="IAS/BAS Preparation &amp; Lodgement - Jan"/>
    <n v="0.18"/>
    <x v="60"/>
    <s v="Yes"/>
    <s v="Email client about Dec23 IAS Prepare report for Jan24 IAS"/>
    <x v="1"/>
    <s v="Tuesday"/>
  </r>
  <r>
    <d v="2024-02-06T00:00:00"/>
    <x v="45"/>
    <s v="IAS/BAS Preparation &amp; Lodgement - Oct-Dec"/>
    <n v="0.72"/>
    <x v="94"/>
    <s v="Yes"/>
    <s v="Accounts review in preparation for BAS Waiting for adjustment from Sylvie."/>
    <x v="1"/>
    <s v="Tuesday"/>
  </r>
  <r>
    <d v="2024-02-06T00:00:00"/>
    <x v="46"/>
    <s v="Client Manager"/>
    <n v="0.25"/>
    <x v="83"/>
    <s v="Yes"/>
    <s v="Liaise with Sam re treatment of CC, FBT issue etc"/>
    <x v="1"/>
    <s v="Tuesday"/>
  </r>
  <r>
    <d v="2024-02-06T00:00:00"/>
    <x v="46"/>
    <s v="Client Manager"/>
    <n v="0.5"/>
    <x v="72"/>
    <s v="Yes"/>
    <s v="Investigate re deregistration of PAYG Withholding Tax and GST. Email team according re re-registration etc"/>
    <x v="1"/>
    <s v="Tuesday"/>
  </r>
  <r>
    <d v="2024-02-06T00:00:00"/>
    <x v="46"/>
    <s v="Client Manager"/>
    <n v="0.5"/>
    <x v="14"/>
    <s v="Yes"/>
    <s v="Upload weekly payables, email Katherine/Shalisa. Send copy of BAS to auditor. "/>
    <x v="1"/>
    <s v="Tuesday"/>
  </r>
  <r>
    <d v="2024-02-06T00:00:00"/>
    <x v="46"/>
    <s v="Client Manager"/>
    <n v="0.5"/>
    <x v="88"/>
    <s v="Yes"/>
    <s v="Investigate re Corey's final pay. Send update to David and copies of payslips"/>
    <x v="1"/>
    <s v="Tuesday"/>
  </r>
  <r>
    <d v="2024-02-06T00:00:00"/>
    <x v="46"/>
    <s v="Client Manager"/>
    <n v="0.5"/>
    <x v="88"/>
    <s v="Yes"/>
    <s v="Phone call with David re Corey's final pay. Review emails and Xero. Respond via email and call. Send copies of payslips"/>
    <x v="1"/>
    <s v="Tuesday"/>
  </r>
  <r>
    <d v="2024-02-06T00:00:00"/>
    <x v="46"/>
    <s v="General"/>
    <n v="1"/>
    <x v="12"/>
    <s v="No"/>
    <s v="Assist Angela re ASIC and Northwest. Coordinate with Gen re ASIC agent, payment of invoices, Xero subs transfer, assist with debtor chasing"/>
    <x v="1"/>
    <s v="Tuesday"/>
  </r>
  <r>
    <d v="2024-02-06T00:00:00"/>
    <x v="46"/>
    <s v="General"/>
    <n v="1"/>
    <x v="12"/>
    <s v="No"/>
    <s v="Further invoices, update template, queries to Mel, BAS workflow email, follow up with team, send Jan 2024 payroll report to LM for IAS prep"/>
    <x v="1"/>
    <s v="Tuesday"/>
  </r>
  <r>
    <d v="2024-02-06T00:00:00"/>
    <x v="46"/>
    <s v="General"/>
    <n v="1"/>
    <x v="12"/>
    <s v="No"/>
    <s v="Quote for voluntary Co deregistration and process, liaise with Sam, Nick and Sylvie"/>
    <x v="1"/>
    <s v="Tuesday"/>
  </r>
  <r>
    <d v="2024-02-06T00:00:00"/>
    <x v="46"/>
    <s v="IAS/BAS Preparation &amp; Lodgement - Oct-Dec"/>
    <n v="0.25"/>
    <x v="35"/>
    <s v="Yes"/>
    <s v="Liaise with Emily re PAYGI for Dec quarter. Internal coordination re BAS to be finalised "/>
    <x v="1"/>
    <s v="Tuesday"/>
  </r>
  <r>
    <d v="2024-02-06T00:00:00"/>
    <x v="46"/>
    <s v="IAS/BAS Preparation &amp; Lodgement - Oct-Dec"/>
    <n v="0.33"/>
    <x v="92"/>
    <s v="Yes"/>
    <s v="Tried to prepare Dec quarter PAYGI via XPM, errors. Draft on ATO portal. Email copy to Kate, Liaise with LM to send via DocSign"/>
    <x v="1"/>
    <s v="Tuesday"/>
  </r>
  <r>
    <d v="2024-02-06T00:00:00"/>
    <x v="46"/>
    <s v="IAS/BAS Preparation &amp; Lodgement - Oct-Dec"/>
    <n v="0.33"/>
    <x v="65"/>
    <s v="Yes"/>
    <s v="Dec 2023 quarter BAS review and lodgement"/>
    <x v="1"/>
    <s v="Tuesday"/>
  </r>
  <r>
    <d v="2024-02-06T00:00:00"/>
    <x v="46"/>
    <s v="IAS/BAS Preparation &amp; Lodgement - Oct-Dec"/>
    <n v="0.33"/>
    <x v="48"/>
    <s v="Yes"/>
    <s v="Dec 2023 quarter BAS review and lodgement"/>
    <x v="1"/>
    <s v="Tuesday"/>
  </r>
  <r>
    <d v="2024-02-06T00:00:00"/>
    <x v="46"/>
    <s v="Meetings"/>
    <n v="1.5"/>
    <x v="12"/>
    <s v="No"/>
    <s v="Meeting with Bern to finalise workflow for BAS, ITR, FBT and TPAR"/>
    <x v="1"/>
    <s v="Tuesday"/>
  </r>
  <r>
    <d v="2024-02-06T00:00:00"/>
    <x v="47"/>
    <s v="Bookkeeping"/>
    <n v="0.1"/>
    <x v="50"/>
    <s v="Yes"/>
    <s v="Send BANA invoices "/>
    <x v="1"/>
    <s v="Tuesday"/>
  </r>
  <r>
    <d v="2024-02-06T00:00:00"/>
    <x v="47"/>
    <s v="Bookkeeping"/>
    <n v="0.3"/>
    <x v="50"/>
    <s v="Yes"/>
    <s v="LTI prov"/>
    <x v="1"/>
    <s v="Tuesday"/>
  </r>
  <r>
    <d v="2024-02-06T00:00:00"/>
    <x v="47"/>
    <s v="Bookkeeping"/>
    <n v="0.4"/>
    <x v="50"/>
    <s v="Yes"/>
    <s v="Review bank rec and discuss process and Asana with team"/>
    <x v="1"/>
    <s v="Tuesday"/>
  </r>
  <r>
    <d v="2024-02-06T00:00:00"/>
    <x v="47"/>
    <s v="Bookkeeping"/>
    <n v="0.6"/>
    <x v="50"/>
    <s v="Yes"/>
    <s v="AP"/>
    <x v="1"/>
    <s v="Tuesday"/>
  </r>
  <r>
    <d v="2024-02-06T00:00:00"/>
    <x v="47"/>
    <s v="Bookkeeping"/>
    <n v="0.72"/>
    <x v="50"/>
    <s v="Yes"/>
    <s v="BLM - SALT invoice"/>
    <x v="1"/>
    <s v="Tuesday"/>
  </r>
  <r>
    <d v="2024-02-06T00:00:00"/>
    <x v="47"/>
    <s v="Bookkeeping"/>
    <n v="3"/>
    <x v="50"/>
    <s v="Yes"/>
    <s v="Corrections BLM / BELCR"/>
    <x v="1"/>
    <s v="Tuesday"/>
  </r>
  <r>
    <d v="2024-02-06T00:00:00"/>
    <x v="47"/>
    <s v="Client Admin"/>
    <n v="0.5"/>
    <x v="12"/>
    <s v="No"/>
    <s v="Send request to all clients for Google review"/>
    <x v="1"/>
    <s v="Tuesday"/>
  </r>
  <r>
    <d v="2024-02-06T00:00:00"/>
    <x v="47"/>
    <s v="Client Manager"/>
    <n v="0.8"/>
    <x v="50"/>
    <s v="Yes"/>
    <s v="emails, Asana updates, discuss processes "/>
    <x v="1"/>
    <s v="Tuesday"/>
  </r>
  <r>
    <d v="2024-02-06T00:00:00"/>
    <x v="47"/>
    <s v="General"/>
    <n v="0.2"/>
    <x v="12"/>
    <s v="No"/>
    <s v="Review Logika's timesheet / invoice"/>
    <x v="1"/>
    <s v="Tuesday"/>
  </r>
  <r>
    <d v="2024-02-06T00:00:00"/>
    <x v="47"/>
    <s v="General"/>
    <n v="0.4"/>
    <x v="12"/>
    <s v="No"/>
    <s v="emails, timesheet, teams"/>
    <x v="1"/>
    <s v="Tuesday"/>
  </r>
  <r>
    <d v="2024-02-06T00:00:00"/>
    <x v="47"/>
    <s v="IAS/BAS Preparation &amp; Lodgement - Jan"/>
    <n v="0.3"/>
    <x v="50"/>
    <s v="Yes"/>
    <s v="Discuss Shalini &amp; sarah payroll Jan posted in Dec / impact on IAS"/>
    <x v="1"/>
    <s v="Tuesday"/>
  </r>
  <r>
    <d v="2024-02-06T00:00:00"/>
    <x v="47"/>
    <s v="Management Reporting"/>
    <n v="1.8"/>
    <x v="64"/>
    <s v="Yes"/>
    <s v="Update Dec Consolidated P&amp;L and reports with recent adjustments"/>
    <x v="1"/>
    <s v="Tuesday"/>
  </r>
  <r>
    <d v="2024-02-06T00:00:00"/>
    <x v="52"/>
    <s v="Automations"/>
    <n v="2"/>
    <x v="12"/>
    <s v="No"/>
    <s v="BAS Automation"/>
    <x v="1"/>
    <s v="Tuesday"/>
  </r>
  <r>
    <d v="2024-02-06T00:00:00"/>
    <x v="48"/>
    <s v="General"/>
    <n v="8"/>
    <x v="12"/>
    <s v="No"/>
    <s v="-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
    <x v="1"/>
    <s v="Tuesday"/>
  </r>
  <r>
    <d v="2024-02-07T00:00:00"/>
    <x v="0"/>
    <s v="Automations"/>
    <n v="0.5"/>
    <x v="12"/>
    <s v="No"/>
    <s v="Submit automation for Tasman Agri Pty Ltd"/>
    <x v="1"/>
    <s v="Wednesday"/>
  </r>
  <r>
    <d v="2024-02-07T00:00:00"/>
    <x v="0"/>
    <s v="Bookkeeping"/>
    <n v="0.17"/>
    <x v="6"/>
    <s v="Yes"/>
    <s v="Email/Inbox Management"/>
    <x v="1"/>
    <s v="Wednesday"/>
  </r>
  <r>
    <d v="2024-02-07T00:00:00"/>
    <x v="0"/>
    <s v="Bookkeeping"/>
    <n v="0.17"/>
    <x v="3"/>
    <s v="Yes"/>
    <s v="Clear AP inbox"/>
    <x v="1"/>
    <s v="Wednesday"/>
  </r>
  <r>
    <d v="2024-02-07T00:00:00"/>
    <x v="0"/>
    <s v="Bookkeeping"/>
    <n v="0.22"/>
    <x v="1"/>
    <s v="Yes"/>
    <s v="Emails"/>
    <x v="1"/>
    <s v="Wednesday"/>
  </r>
  <r>
    <d v="2024-02-07T00:00:00"/>
    <x v="0"/>
    <s v="Bookkeeping"/>
    <n v="0.23"/>
    <x v="2"/>
    <s v="Yes"/>
    <s v="Create a Repeating Bill in Xero"/>
    <x v="1"/>
    <s v="Wednesday"/>
  </r>
  <r>
    <d v="2024-02-07T00:00:00"/>
    <x v="0"/>
    <s v="Bookkeeping"/>
    <n v="0.3"/>
    <x v="62"/>
    <s v="Yes"/>
    <s v="Emails and Re-code bills"/>
    <x v="1"/>
    <s v="Wednesday"/>
  </r>
  <r>
    <d v="2024-02-07T00:00:00"/>
    <x v="0"/>
    <s v="Bookkeeping"/>
    <n v="0.32"/>
    <x v="62"/>
    <s v="Yes"/>
    <s v="Download Bank Statements"/>
    <x v="1"/>
    <s v="Wednesday"/>
  </r>
  <r>
    <d v="2024-02-07T00:00:00"/>
    <x v="0"/>
    <s v="Bookkeeping"/>
    <n v="0.35"/>
    <x v="5"/>
    <s v="Yes"/>
    <s v="Bank Reconciliation"/>
    <x v="1"/>
    <s v="Wednesday"/>
  </r>
  <r>
    <d v="2024-02-07T00:00:00"/>
    <x v="0"/>
    <s v="Bookkeeping"/>
    <n v="0.37"/>
    <x v="2"/>
    <s v="Yes"/>
    <s v="Publish bills in Hubdoc to Xero"/>
    <x v="1"/>
    <s v="Wednesday"/>
  </r>
  <r>
    <d v="2024-02-07T00:00:00"/>
    <x v="0"/>
    <s v="Bookkeeping"/>
    <n v="0.42"/>
    <x v="8"/>
    <s v="Yes"/>
    <s v="Bank Reconciliation"/>
    <x v="1"/>
    <s v="Wednesday"/>
  </r>
  <r>
    <d v="2024-02-07T00:00:00"/>
    <x v="0"/>
    <s v="Bookkeeping"/>
    <n v="0.6"/>
    <x v="2"/>
    <s v="Yes"/>
    <s v="Bank Reconciliation"/>
    <x v="1"/>
    <s v="Wednesday"/>
  </r>
  <r>
    <d v="2024-02-07T00:00:00"/>
    <x v="0"/>
    <s v="Bookkeeping"/>
    <n v="0.77"/>
    <x v="3"/>
    <s v="Yes"/>
    <s v="Process batch payment and Submit bills for approval in Xero"/>
    <x v="1"/>
    <s v="Wednesday"/>
  </r>
  <r>
    <d v="2024-02-07T00:00:00"/>
    <x v="0"/>
    <s v="Bookkeeping"/>
    <n v="1.38"/>
    <x v="11"/>
    <s v="Yes"/>
    <s v="Bank Reconciliation"/>
    <x v="1"/>
    <s v="Wednesday"/>
  </r>
  <r>
    <d v="2024-02-07T00:00:00"/>
    <x v="0"/>
    <s v="Client Meeting"/>
    <n v="0.25"/>
    <x v="2"/>
    <s v="No"/>
    <s v="Call with Nicole - To check insurance transactions"/>
    <x v="1"/>
    <s v="Wednesday"/>
  </r>
  <r>
    <d v="2024-02-07T00:00:00"/>
    <x v="0"/>
    <s v="General"/>
    <n v="0.23"/>
    <x v="12"/>
    <s v="No"/>
    <s v="Admin emails and Update Team Huddle file"/>
    <x v="1"/>
    <s v="Wednesday"/>
  </r>
  <r>
    <d v="2024-02-07T00:00:00"/>
    <x v="0"/>
    <s v="General"/>
    <n v="0.25"/>
    <x v="12"/>
    <s v="No"/>
    <s v="Afternoon Break"/>
    <x v="1"/>
    <s v="Wednesday"/>
  </r>
  <r>
    <d v="2024-02-07T00:00:00"/>
    <x v="0"/>
    <s v="General"/>
    <n v="0.25"/>
    <x v="12"/>
    <s v="No"/>
    <s v="Morning Break"/>
    <x v="1"/>
    <s v="Wednesday"/>
  </r>
  <r>
    <d v="2024-02-07T00:00:00"/>
    <x v="0"/>
    <s v="Learning &amp; Development"/>
    <n v="0.23"/>
    <x v="12"/>
    <s v="No"/>
    <s v="Cyber Security Training"/>
    <x v="1"/>
    <s v="Wednesday"/>
  </r>
  <r>
    <d v="2024-02-07T00:00:00"/>
    <x v="0"/>
    <s v="Learning &amp; Development"/>
    <n v="0.5"/>
    <x v="12"/>
    <s v="No"/>
    <s v="Prepare Team Activity"/>
    <x v="1"/>
    <s v="Wednesday"/>
  </r>
  <r>
    <d v="2024-02-07T00:00:00"/>
    <x v="0"/>
    <s v="Meetings"/>
    <n v="0.35"/>
    <x v="12"/>
    <s v="No"/>
    <s v="IA Assessment"/>
    <x v="1"/>
    <s v="Wednesday"/>
  </r>
  <r>
    <d v="2024-02-07T00:00:00"/>
    <x v="0"/>
    <s v="Payroll Processing"/>
    <n v="0.15"/>
    <x v="11"/>
    <s v="Yes"/>
    <s v="Email"/>
    <x v="1"/>
    <s v="Wednesday"/>
  </r>
  <r>
    <d v="2024-02-07T00:00:00"/>
    <x v="49"/>
    <s v="P&amp;C Advisory - Nordfab"/>
    <n v="0.33"/>
    <x v="63"/>
    <s v="Yes"/>
    <s v="Call re. payroll Emails"/>
    <x v="1"/>
    <s v="Wednesday"/>
  </r>
  <r>
    <d v="2024-02-07T00:00:00"/>
    <x v="1"/>
    <s v="Annual Leave"/>
    <n v="4"/>
    <x v="12"/>
    <s v="No"/>
    <s v="Unscheduled power interruption"/>
    <x v="1"/>
    <s v="Wednesday"/>
  </r>
  <r>
    <d v="2024-02-07T00:00:00"/>
    <x v="1"/>
    <s v="Bookkeeping"/>
    <n v="0.25"/>
    <x v="15"/>
    <s v="Yes"/>
    <m/>
    <x v="1"/>
    <s v="Wednesday"/>
  </r>
  <r>
    <d v="2024-02-07T00:00:00"/>
    <x v="1"/>
    <s v="Bookkeeping"/>
    <n v="0.56999999999999995"/>
    <x v="64"/>
    <s v="Yes"/>
    <s v="loans rec, check emails, check and respond to queries/adjustments requested by Tim"/>
    <x v="1"/>
    <s v="Wednesday"/>
  </r>
  <r>
    <d v="2024-02-07T00:00:00"/>
    <x v="1"/>
    <s v="General"/>
    <n v="0.13"/>
    <x v="12"/>
    <s v="No"/>
    <s v="update capacity"/>
    <x v="1"/>
    <s v="Wednesday"/>
  </r>
  <r>
    <d v="2024-02-07T00:00:00"/>
    <x v="1"/>
    <s v="General"/>
    <n v="0.22"/>
    <x v="12"/>
    <s v="No"/>
    <s v="review Neeti's TS vs invoice, emails"/>
    <x v="1"/>
    <s v="Wednesday"/>
  </r>
  <r>
    <d v="2024-02-07T00:00:00"/>
    <x v="1"/>
    <s v="General"/>
    <n v="0.23"/>
    <x v="12"/>
    <s v="No"/>
    <s v="break"/>
    <x v="1"/>
    <s v="Wednesday"/>
  </r>
  <r>
    <d v="2024-02-07T00:00:00"/>
    <x v="1"/>
    <s v="General"/>
    <n v="0.32"/>
    <x v="12"/>
    <s v="No"/>
    <s v="prepare interview questions"/>
    <x v="1"/>
    <s v="Wednesday"/>
  </r>
  <r>
    <d v="2024-02-07T00:00:00"/>
    <x v="1"/>
    <s v="General"/>
    <n v="0.37"/>
    <x v="12"/>
    <s v="No"/>
    <s v="chats, comms, emails"/>
    <x v="1"/>
    <s v="Wednesday"/>
  </r>
  <r>
    <d v="2024-02-07T00:00:00"/>
    <x v="1"/>
    <s v="General"/>
    <n v="0.45"/>
    <x v="12"/>
    <s v="No"/>
    <s v="chats, emails, Sprout, Asana"/>
    <x v="1"/>
    <s v="Wednesday"/>
  </r>
  <r>
    <d v="2024-02-07T00:00:00"/>
    <x v="1"/>
    <s v="Meetings"/>
    <n v="0.25"/>
    <x v="12"/>
    <s v="No"/>
    <s v="Catchup with Ali"/>
    <x v="1"/>
    <s v="Wednesday"/>
  </r>
  <r>
    <d v="2024-02-07T00:00:00"/>
    <x v="1"/>
    <s v="Meetings"/>
    <n v="0.38"/>
    <x v="12"/>
    <s v="No"/>
    <s v="capacity planning"/>
    <x v="1"/>
    <s v="Wednesday"/>
  </r>
  <r>
    <d v="2024-02-07T00:00:00"/>
    <x v="1"/>
    <s v="Payroll Processing"/>
    <n v="0.83"/>
    <x v="15"/>
    <s v="Yes"/>
    <m/>
    <x v="1"/>
    <s v="Wednesday"/>
  </r>
  <r>
    <d v="2024-02-07T00:00:00"/>
    <x v="2"/>
    <s v="Bookkeeping"/>
    <n v="0.85"/>
    <x v="74"/>
    <s v="Yes"/>
    <s v="Checking Suppliers and accounts"/>
    <x v="1"/>
    <s v="Wednesday"/>
  </r>
  <r>
    <d v="2024-02-07T00:00:00"/>
    <x v="2"/>
    <s v="Bookkeeping"/>
    <n v="1.38"/>
    <x v="72"/>
    <s v="Yes"/>
    <s v="Entering bills and set up payment in payment logic. IAS Preparation and checking."/>
    <x v="1"/>
    <s v="Wednesday"/>
  </r>
  <r>
    <d v="2024-02-07T00:00:00"/>
    <x v="2"/>
    <s v="Bookkeeping"/>
    <n v="1.67"/>
    <x v="75"/>
    <s v="Yes"/>
    <s v="Preparing IAS for Pelan, Exporting and checking reports"/>
    <x v="1"/>
    <s v="Wednesday"/>
  </r>
  <r>
    <d v="2024-02-07T00:00:00"/>
    <x v="2"/>
    <s v="Bookkeeping"/>
    <n v="2.75"/>
    <x v="74"/>
    <s v="Yes"/>
    <s v="Preparing IAS for Pelan, Exporting and checking reports"/>
    <x v="1"/>
    <s v="Wednesday"/>
  </r>
  <r>
    <d v="2024-02-07T00:00:00"/>
    <x v="2"/>
    <s v="Out-of-Scope Services"/>
    <n v="1.42"/>
    <x v="72"/>
    <s v="No"/>
    <s v="Handover to Jimwelle"/>
    <x v="1"/>
    <s v="Wednesday"/>
  </r>
  <r>
    <d v="2024-02-07T00:00:00"/>
    <x v="3"/>
    <s v="Business Development"/>
    <n v="8"/>
    <x v="12"/>
    <s v="No"/>
    <s v="meetings and finalizing multiple flows"/>
    <x v="1"/>
    <s v="Wednesday"/>
  </r>
  <r>
    <d v="2024-02-07T00:00:00"/>
    <x v="4"/>
    <s v="Business Development"/>
    <n v="11"/>
    <x v="12"/>
    <s v="No"/>
    <m/>
    <x v="1"/>
    <s v="Wednesday"/>
  </r>
  <r>
    <d v="2024-02-07T00:00:00"/>
    <x v="5"/>
    <s v="Bookkeeping"/>
    <n v="0.56999999999999995"/>
    <x v="16"/>
    <s v="Yes"/>
    <s v="Leave Reports"/>
    <x v="1"/>
    <s v="Wednesday"/>
  </r>
  <r>
    <d v="2024-02-07T00:00:00"/>
    <x v="5"/>
    <s v="Bookkeeping"/>
    <n v="1.4"/>
    <x v="16"/>
    <s v="Yes"/>
    <s v="Statement Checking "/>
    <x v="1"/>
    <s v="Wednesday"/>
  </r>
  <r>
    <d v="2024-02-07T00:00:00"/>
    <x v="5"/>
    <s v="Bookkeeping"/>
    <n v="1.78"/>
    <x v="16"/>
    <s v="Yes"/>
    <s v="Email Management "/>
    <x v="1"/>
    <s v="Wednesday"/>
  </r>
  <r>
    <d v="2024-02-07T00:00:00"/>
    <x v="5"/>
    <s v="Bookkeeping"/>
    <n v="2.3199999999999998"/>
    <x v="16"/>
    <s v="Yes"/>
    <s v="Posting of invoices from pending invoices lists "/>
    <x v="1"/>
    <s v="Wednesday"/>
  </r>
  <r>
    <d v="2024-02-07T00:00:00"/>
    <x v="5"/>
    <s v="Bookkeeping"/>
    <n v="2.52"/>
    <x v="16"/>
    <s v="Yes"/>
    <s v="Checking of pending invoices foldeer and pending invoices lists for January "/>
    <x v="1"/>
    <s v="Wednesday"/>
  </r>
  <r>
    <d v="2024-02-07T00:00:00"/>
    <x v="6"/>
    <s v="Bookkeeping"/>
    <n v="0.57999999999999996"/>
    <x v="18"/>
    <s v="Yes"/>
    <s v="Bank Reconciliation"/>
    <x v="1"/>
    <s v="Wednesday"/>
  </r>
  <r>
    <d v="2024-02-07T00:00:00"/>
    <x v="6"/>
    <s v="Bookkeeping"/>
    <n v="1.58"/>
    <x v="17"/>
    <s v="Yes"/>
    <s v="Booked Invoices"/>
    <x v="1"/>
    <s v="Wednesday"/>
  </r>
  <r>
    <d v="2024-02-07T00:00:00"/>
    <x v="6"/>
    <s v="Bookkeeping"/>
    <n v="4.75"/>
    <x v="19"/>
    <s v="Yes"/>
    <s v="Booked Invoices Bank Reconciliation"/>
    <x v="1"/>
    <s v="Wednesday"/>
  </r>
  <r>
    <d v="2024-02-07T00:00:00"/>
    <x v="6"/>
    <s v="General"/>
    <n v="0.42"/>
    <x v="12"/>
    <s v="No"/>
    <s v="Asana Checking Sprout Checking XPM"/>
    <x v="1"/>
    <s v="Wednesday"/>
  </r>
  <r>
    <d v="2024-02-07T00:00:00"/>
    <x v="6"/>
    <s v="Payroll Processing"/>
    <n v="0.75"/>
    <x v="95"/>
    <s v="Yes"/>
    <m/>
    <x v="1"/>
    <s v="Wednesday"/>
  </r>
  <r>
    <d v="2024-02-07T00:00:00"/>
    <x v="7"/>
    <s v="Automations"/>
    <n v="9.4499999999999993"/>
    <x v="12"/>
    <s v="No"/>
    <m/>
    <x v="1"/>
    <s v="Wednesday"/>
  </r>
  <r>
    <d v="2024-02-07T00:00:00"/>
    <x v="10"/>
    <s v="Automations"/>
    <n v="9.18"/>
    <x v="12"/>
    <s v="No"/>
    <s v="Alliance Report Automation Development"/>
    <x v="1"/>
    <s v="Wednesday"/>
  </r>
  <r>
    <d v="2024-02-07T00:00:00"/>
    <x v="11"/>
    <s v="Bookkeeping"/>
    <n v="0.17"/>
    <x v="42"/>
    <s v="No"/>
    <s v="Checking client account"/>
    <x v="1"/>
    <s v="Wednesday"/>
  </r>
  <r>
    <d v="2024-02-07T00:00:00"/>
    <x v="11"/>
    <s v="Bookkeeping"/>
    <n v="0.25"/>
    <x v="44"/>
    <s v="Yes"/>
    <s v="January IAS report"/>
    <x v="1"/>
    <s v="Wednesday"/>
  </r>
  <r>
    <d v="2024-02-07T00:00:00"/>
    <x v="11"/>
    <s v="Bookkeeping"/>
    <n v="0.33"/>
    <x v="60"/>
    <s v="Yes"/>
    <s v="Publish bills, bank recon"/>
    <x v="1"/>
    <s v="Wednesday"/>
  </r>
  <r>
    <d v="2024-02-07T00:00:00"/>
    <x v="11"/>
    <s v="Bookkeeping"/>
    <n v="0.42"/>
    <x v="23"/>
    <s v="Yes"/>
    <s v="Publish bills, bank recon"/>
    <x v="1"/>
    <s v="Wednesday"/>
  </r>
  <r>
    <d v="2024-02-07T00:00:00"/>
    <x v="11"/>
    <s v="Bookkeeping"/>
    <n v="0.5"/>
    <x v="24"/>
    <s v="No"/>
    <s v="Checking all entities"/>
    <x v="1"/>
    <s v="Wednesday"/>
  </r>
  <r>
    <d v="2024-02-07T00:00:00"/>
    <x v="11"/>
    <s v="Bookkeeping"/>
    <n v="0.75"/>
    <x v="42"/>
    <s v="Yes"/>
    <s v="Checking emails, loading bills, bank recon"/>
    <x v="1"/>
    <s v="Wednesday"/>
  </r>
  <r>
    <d v="2024-02-07T00:00:00"/>
    <x v="11"/>
    <s v="Bookkeeping"/>
    <n v="0.83"/>
    <x v="24"/>
    <s v="Yes"/>
    <s v="Publish bills, bank recon"/>
    <x v="1"/>
    <s v="Wednesday"/>
  </r>
  <r>
    <d v="2024-02-07T00:00:00"/>
    <x v="11"/>
    <s v="Bookkeeping"/>
    <n v="0.83"/>
    <x v="21"/>
    <s v="Yes"/>
    <s v="Publish bills, bank recon"/>
    <x v="1"/>
    <s v="Wednesday"/>
  </r>
  <r>
    <d v="2024-02-07T00:00:00"/>
    <x v="11"/>
    <s v="Bookkeeping"/>
    <n v="1.33"/>
    <x v="26"/>
    <s v="Yes"/>
    <s v="Publish bills, bank recon"/>
    <x v="1"/>
    <s v="Wednesday"/>
  </r>
  <r>
    <d v="2024-02-07T00:00:00"/>
    <x v="11"/>
    <s v="Bookkeeping"/>
    <n v="1.58"/>
    <x v="22"/>
    <s v="Yes"/>
    <s v="Publish bills, bank recon"/>
    <x v="1"/>
    <s v="Wednesday"/>
  </r>
  <r>
    <d v="2024-02-07T00:00:00"/>
    <x v="11"/>
    <s v="General"/>
    <n v="0.5"/>
    <x v="12"/>
    <s v="No"/>
    <s v="break"/>
    <x v="1"/>
    <s v="Wednesday"/>
  </r>
  <r>
    <d v="2024-02-07T00:00:00"/>
    <x v="11"/>
    <s v="Payroll Processing"/>
    <n v="0.5"/>
    <x v="42"/>
    <s v="Yes"/>
    <s v="FN payroll"/>
    <x v="1"/>
    <s v="Wednesday"/>
  </r>
  <r>
    <d v="2024-02-07T00:00:00"/>
    <x v="14"/>
    <s v="Bookkeeping"/>
    <n v="0.3"/>
    <x v="40"/>
    <s v="Yes"/>
    <s v="emails"/>
    <x v="1"/>
    <s v="Wednesday"/>
  </r>
  <r>
    <d v="2024-02-07T00:00:00"/>
    <x v="14"/>
    <s v="Bookkeeping"/>
    <n v="0.33"/>
    <x v="34"/>
    <s v="Yes"/>
    <s v="unpaid bills"/>
    <x v="1"/>
    <s v="Wednesday"/>
  </r>
  <r>
    <d v="2024-02-07T00:00:00"/>
    <x v="14"/>
    <s v="Bookkeeping"/>
    <n v="0.37"/>
    <x v="34"/>
    <s v="Yes"/>
    <s v="inbox"/>
    <x v="1"/>
    <s v="Wednesday"/>
  </r>
  <r>
    <d v="2024-02-07T00:00:00"/>
    <x v="14"/>
    <s v="Bookkeeping"/>
    <n v="0.55000000000000004"/>
    <x v="28"/>
    <s v="Yes"/>
    <s v="queries"/>
    <x v="1"/>
    <s v="Wednesday"/>
  </r>
  <r>
    <d v="2024-02-07T00:00:00"/>
    <x v="14"/>
    <s v="General"/>
    <n v="0.4"/>
    <x v="12"/>
    <s v="No"/>
    <s v="coaching/mentoring"/>
    <x v="1"/>
    <s v="Wednesday"/>
  </r>
  <r>
    <d v="2024-02-07T00:00:00"/>
    <x v="14"/>
    <s v="General"/>
    <n v="0.62"/>
    <x v="12"/>
    <s v="No"/>
    <s v="check emails/teams"/>
    <x v="1"/>
    <s v="Wednesday"/>
  </r>
  <r>
    <d v="2024-02-07T00:00:00"/>
    <x v="14"/>
    <s v="Payroll Processing"/>
    <n v="0.56999999999999995"/>
    <x v="42"/>
    <s v="Yes"/>
    <s v="review FN payroll &amp; new emp set-up"/>
    <x v="1"/>
    <s v="Wednesday"/>
  </r>
  <r>
    <d v="2024-02-07T00:00:00"/>
    <x v="14"/>
    <s v="Payroll Processing"/>
    <n v="1.35"/>
    <x v="16"/>
    <s v="Yes"/>
    <s v="new RDO accrual"/>
    <x v="1"/>
    <s v="Wednesday"/>
  </r>
  <r>
    <d v="2024-02-07T00:00:00"/>
    <x v="14"/>
    <s v="Payroll Processing"/>
    <n v="3.52"/>
    <x v="16"/>
    <s v="Yes"/>
    <m/>
    <x v="1"/>
    <s v="Wednesday"/>
  </r>
  <r>
    <d v="2024-02-07T00:00:00"/>
    <x v="15"/>
    <s v="General"/>
    <n v="9.58"/>
    <x v="12"/>
    <s v="No"/>
    <e v="#NAME?"/>
    <x v="1"/>
    <s v="Wednesday"/>
  </r>
  <r>
    <d v="2024-02-07T00:00:00"/>
    <x v="16"/>
    <s v="Bookkeeping"/>
    <n v="0.5"/>
    <x v="31"/>
    <s v="Yes"/>
    <s v="bank recon"/>
    <x v="1"/>
    <s v="Wednesday"/>
  </r>
  <r>
    <d v="2024-02-07T00:00:00"/>
    <x v="16"/>
    <s v="Bookkeeping"/>
    <n v="0.57999999999999996"/>
    <x v="29"/>
    <s v="No"/>
    <s v="checking of monthly invoices"/>
    <x v="1"/>
    <s v="Wednesday"/>
  </r>
  <r>
    <d v="2024-02-07T00:00:00"/>
    <x v="16"/>
    <s v="Bookkeeping"/>
    <n v="0.7"/>
    <x v="32"/>
    <s v="Yes"/>
    <s v="processs ap payment"/>
    <x v="1"/>
    <s v="Wednesday"/>
  </r>
  <r>
    <d v="2024-02-07T00:00:00"/>
    <x v="16"/>
    <s v="Bookkeeping"/>
    <n v="0.72"/>
    <x v="30"/>
    <s v="Yes"/>
    <s v="Ap report for payment"/>
    <x v="1"/>
    <s v="Wednesday"/>
  </r>
  <r>
    <d v="2024-02-07T00:00:00"/>
    <x v="16"/>
    <s v="Bookkeeping"/>
    <n v="1.08"/>
    <x v="30"/>
    <s v="Yes"/>
    <s v="AP: export aba files"/>
    <x v="1"/>
    <s v="Wednesday"/>
  </r>
  <r>
    <d v="2024-02-07T00:00:00"/>
    <x v="16"/>
    <s v="Bookkeeping"/>
    <n v="1.1000000000000001"/>
    <x v="30"/>
    <s v="Yes"/>
    <s v="process ap invoices/receipts from inbox"/>
    <x v="1"/>
    <s v="Wednesday"/>
  </r>
  <r>
    <d v="2024-02-07T00:00:00"/>
    <x v="16"/>
    <s v="Bookkeeping"/>
    <n v="1.5"/>
    <x v="32"/>
    <s v="No"/>
    <s v="BS recon checking of previous bs recons "/>
    <x v="1"/>
    <s v="Wednesday"/>
  </r>
  <r>
    <d v="2024-02-07T00:00:00"/>
    <x v="16"/>
    <s v="Bookkeeping - AP"/>
    <n v="0.47"/>
    <x v="33"/>
    <s v="Yes"/>
    <s v="approve ap invoices"/>
    <x v="1"/>
    <s v="Wednesday"/>
  </r>
  <r>
    <d v="2024-02-07T00:00:00"/>
    <x v="16"/>
    <s v="General"/>
    <n v="0.4"/>
    <x v="12"/>
    <s v="No"/>
    <s v="emails"/>
    <x v="1"/>
    <s v="Wednesday"/>
  </r>
  <r>
    <d v="2024-02-07T00:00:00"/>
    <x v="16"/>
    <s v="General"/>
    <n v="0.45"/>
    <x v="12"/>
    <s v="No"/>
    <m/>
    <x v="1"/>
    <s v="Wednesday"/>
  </r>
  <r>
    <d v="2024-02-07T00:00:00"/>
    <x v="16"/>
    <s v="General"/>
    <n v="0.5"/>
    <x v="12"/>
    <s v="No"/>
    <s v="break"/>
    <x v="1"/>
    <s v="Wednesday"/>
  </r>
  <r>
    <d v="2024-02-07T00:00:00"/>
    <x v="17"/>
    <s v="Bookkeeping"/>
    <n v="0.27"/>
    <x v="34"/>
    <s v="Yes"/>
    <s v="Checking accounts"/>
    <x v="1"/>
    <s v="Wednesday"/>
  </r>
  <r>
    <d v="2024-02-07T00:00:00"/>
    <x v="17"/>
    <s v="Bookkeeping"/>
    <n v="0.65"/>
    <x v="35"/>
    <s v="Yes"/>
    <s v="Fixing fixed assets, and checking accounts"/>
    <x v="1"/>
    <s v="Wednesday"/>
  </r>
  <r>
    <d v="2024-02-07T00:00:00"/>
    <x v="17"/>
    <s v="Bookkeeping"/>
    <n v="0.82"/>
    <x v="34"/>
    <s v="Yes"/>
    <s v="Bank recs and invoices"/>
    <x v="1"/>
    <s v="Wednesday"/>
  </r>
  <r>
    <d v="2024-02-07T00:00:00"/>
    <x v="17"/>
    <s v="Bookkeeping"/>
    <n v="2.5"/>
    <x v="87"/>
    <s v="No"/>
    <s v="Reconciliation for tax"/>
    <x v="1"/>
    <s v="Wednesday"/>
  </r>
  <r>
    <d v="2024-02-07T00:00:00"/>
    <x v="17"/>
    <s v="Client Meeting"/>
    <n v="0.13"/>
    <x v="14"/>
    <s v="No"/>
    <s v="Team meeting for updates"/>
    <x v="1"/>
    <s v="Wednesday"/>
  </r>
  <r>
    <d v="2024-02-07T00:00:00"/>
    <x v="17"/>
    <s v="Management Reporting"/>
    <n v="0.37"/>
    <x v="35"/>
    <s v="Yes"/>
    <s v="Updating month-end reports"/>
    <x v="1"/>
    <s v="Wednesday"/>
  </r>
  <r>
    <d v="2024-02-07T00:00:00"/>
    <x v="17"/>
    <s v="Management Reporting"/>
    <n v="1.37"/>
    <x v="34"/>
    <s v="Yes"/>
    <s v="Cashflow updates"/>
    <x v="1"/>
    <s v="Wednesday"/>
  </r>
  <r>
    <d v="2024-02-07T00:00:00"/>
    <x v="17"/>
    <s v="Management Reporting"/>
    <n v="3.03"/>
    <x v="34"/>
    <s v="Yes"/>
    <s v="BS Recs"/>
    <x v="1"/>
    <s v="Wednesday"/>
  </r>
  <r>
    <d v="2024-02-07T00:00:00"/>
    <x v="17"/>
    <s v="Payroll Processing"/>
    <n v="0.27"/>
    <x v="37"/>
    <s v="Yes"/>
    <s v="Finalizing payroll and exporting ABAs"/>
    <x v="1"/>
    <s v="Wednesday"/>
  </r>
  <r>
    <d v="2024-02-07T00:00:00"/>
    <x v="18"/>
    <s v="General"/>
    <n v="0.1"/>
    <x v="12"/>
    <s v="No"/>
    <s v="update asana and chat with Ralph Xero cert"/>
    <x v="1"/>
    <s v="Wednesday"/>
  </r>
  <r>
    <d v="2024-02-07T00:00:00"/>
    <x v="18"/>
    <s v="General"/>
    <n v="0.28000000000000003"/>
    <x v="12"/>
    <s v="No"/>
    <s v="email PIP results to HR"/>
    <x v="1"/>
    <s v="Wednesday"/>
  </r>
  <r>
    <d v="2024-02-07T00:00:00"/>
    <x v="18"/>
    <s v="General"/>
    <n v="0.32"/>
    <x v="12"/>
    <s v="No"/>
    <s v="emails, chat with Rac, asana and XPM"/>
    <x v="1"/>
    <s v="Wednesday"/>
  </r>
  <r>
    <d v="2024-02-07T00:00:00"/>
    <x v="18"/>
    <s v="General"/>
    <n v="0.35"/>
    <x v="12"/>
    <s v="No"/>
    <s v="finalise self review perf pro"/>
    <x v="1"/>
    <s v="Wednesday"/>
  </r>
  <r>
    <d v="2024-02-07T00:00:00"/>
    <x v="18"/>
    <s v="General"/>
    <n v="0.95"/>
    <x v="12"/>
    <s v="No"/>
    <s v="email to kate"/>
    <x v="1"/>
    <s v="Wednesday"/>
  </r>
  <r>
    <d v="2024-02-07T00:00:00"/>
    <x v="18"/>
    <s v="General"/>
    <n v="1.1000000000000001"/>
    <x v="12"/>
    <s v="No"/>
    <s v="self review - performance pro"/>
    <x v="1"/>
    <s v="Wednesday"/>
  </r>
  <r>
    <d v="2024-02-07T00:00:00"/>
    <x v="18"/>
    <s v="General"/>
    <n v="1.25"/>
    <x v="12"/>
    <s v="No"/>
    <s v="pinnacle summary"/>
    <x v="1"/>
    <s v="Wednesday"/>
  </r>
  <r>
    <d v="2024-02-07T00:00:00"/>
    <x v="18"/>
    <s v="Management Reporting"/>
    <n v="0.73"/>
    <x v="9"/>
    <s v="Yes"/>
    <s v="BS Rec 31Dec2023"/>
    <x v="1"/>
    <s v="Wednesday"/>
  </r>
  <r>
    <d v="2024-02-07T00:00:00"/>
    <x v="18"/>
    <s v="Management Reporting"/>
    <n v="1.7"/>
    <x v="36"/>
    <s v="No"/>
    <s v="assist rac with month end"/>
    <x v="1"/>
    <s v="Wednesday"/>
  </r>
  <r>
    <d v="2024-02-07T00:00:00"/>
    <x v="18"/>
    <s v="Meetings"/>
    <n v="0.47"/>
    <x v="12"/>
    <s v="No"/>
    <s v="monthly checkin with Ali"/>
    <x v="1"/>
    <s v="Wednesday"/>
  </r>
  <r>
    <d v="2024-02-07T00:00:00"/>
    <x v="19"/>
    <s v="Bookkeeping"/>
    <n v="1.57"/>
    <x v="36"/>
    <s v="Yes"/>
    <m/>
    <x v="1"/>
    <s v="Wednesday"/>
  </r>
  <r>
    <d v="2024-02-07T00:00:00"/>
    <x v="19"/>
    <s v="Payroll Processing"/>
    <n v="6.53"/>
    <x v="3"/>
    <s v="Yes"/>
    <m/>
    <x v="1"/>
    <s v="Wednesday"/>
  </r>
  <r>
    <d v="2024-02-07T00:00:00"/>
    <x v="20"/>
    <s v="Meetings"/>
    <n v="0.5"/>
    <x v="12"/>
    <s v="No"/>
    <s v="Monthly 1-1 with Alison"/>
    <x v="1"/>
    <s v="Wednesday"/>
  </r>
  <r>
    <d v="2024-02-07T00:00:00"/>
    <x v="20"/>
    <s v="P&amp;C Advisory"/>
    <n v="0.5"/>
    <x v="38"/>
    <s v="Yes"/>
    <s v="Inbox queries Progressing individual cases eg Dinesh extended leave, Zane absence from work Invesitgation capability of Asset Register on EH"/>
    <x v="1"/>
    <s v="Wednesday"/>
  </r>
  <r>
    <d v="2024-02-07T00:00:00"/>
    <x v="20"/>
    <s v="P&amp;C Advisory"/>
    <n v="2.17"/>
    <x v="38"/>
    <s v="Yes"/>
    <s v="New contract - Georgia Gamble Dinesh - investigation around EH audit, leave, payroll reconciliation Drafting Addendum templates x 2"/>
    <x v="1"/>
    <s v="Wednesday"/>
  </r>
  <r>
    <d v="2024-02-07T00:00:00"/>
    <x v="20"/>
    <s v="P&amp;C Advisory"/>
    <n v="5.17"/>
    <x v="37"/>
    <s v="Yes"/>
    <s v="Shortlisting resumes - Finance Mtg with psch - candidate debrief session Mtg with FC to review candidates Scheduling phone screens HR huddle with Louie - upskilling in shortlisting technique Ops/HR mtg "/>
    <x v="1"/>
    <s v="Wednesday"/>
  </r>
  <r>
    <d v="2024-02-07T00:00:00"/>
    <x v="21"/>
    <s v="Bookkeeping"/>
    <n v="0.27"/>
    <x v="28"/>
    <s v="Yes"/>
    <s v="Adding some recent invoice for approval of client for the pay run"/>
    <x v="1"/>
    <s v="Wednesday"/>
  </r>
  <r>
    <d v="2024-02-07T00:00:00"/>
    <x v="21"/>
    <s v="Bookkeeping"/>
    <n v="0.32"/>
    <x v="40"/>
    <s v="Yes"/>
    <s v="Dext Prep invoices, email to client AP invoices for pay run."/>
    <x v="1"/>
    <s v="Wednesday"/>
  </r>
  <r>
    <d v="2024-02-07T00:00:00"/>
    <x v="21"/>
    <s v="Bookkeeping"/>
    <n v="0.38"/>
    <x v="28"/>
    <s v="Yes"/>
    <s v="Dext Prepare"/>
    <x v="1"/>
    <s v="Wednesday"/>
  </r>
  <r>
    <d v="2024-02-07T00:00:00"/>
    <x v="21"/>
    <s v="Bookkeeping"/>
    <n v="0.5"/>
    <x v="39"/>
    <s v="Yes"/>
    <s v="Bank recon, ap items in draft"/>
    <x v="1"/>
    <s v="Wednesday"/>
  </r>
  <r>
    <d v="2024-02-07T00:00:00"/>
    <x v="21"/>
    <s v="Bookkeeping"/>
    <n v="0.57999999999999996"/>
    <x v="57"/>
    <s v="Yes"/>
    <s v="AP Items"/>
    <x v="1"/>
    <s v="Wednesday"/>
  </r>
  <r>
    <d v="2024-02-07T00:00:00"/>
    <x v="21"/>
    <s v="Bookkeeping"/>
    <n v="0.62"/>
    <x v="40"/>
    <s v="Yes"/>
    <s v="AP Items, bank recon"/>
    <x v="1"/>
    <s v="Wednesday"/>
  </r>
  <r>
    <d v="2024-02-07T00:00:00"/>
    <x v="21"/>
    <s v="Bookkeeping"/>
    <n v="0.92"/>
    <x v="40"/>
    <s v="Yes"/>
    <s v="BS Recon update"/>
    <x v="1"/>
    <s v="Wednesday"/>
  </r>
  <r>
    <d v="2024-02-07T00:00:00"/>
    <x v="21"/>
    <s v="Bookkeeping"/>
    <n v="1.42"/>
    <x v="41"/>
    <s v="Yes"/>
    <s v="Hubdoc, AP Emails, EH Items for employee reimbursements, invoices from procore"/>
    <x v="1"/>
    <s v="Wednesday"/>
  </r>
  <r>
    <d v="2024-02-07T00:00:00"/>
    <x v="21"/>
    <s v="Bookkeeping"/>
    <n v="1.45"/>
    <x v="28"/>
    <s v="Yes"/>
    <s v="AP items, email queries, bank recon"/>
    <x v="1"/>
    <s v="Wednesday"/>
  </r>
  <r>
    <d v="2024-02-07T00:00:00"/>
    <x v="21"/>
    <s v="Meetings"/>
    <n v="0.38"/>
    <x v="12"/>
    <s v="No"/>
    <s v="Meeting with BIT Team to discuss thinkbox submission automation"/>
    <x v="1"/>
    <s v="Wednesday"/>
  </r>
  <r>
    <d v="2024-02-07T00:00:00"/>
    <x v="21"/>
    <s v="Meetings"/>
    <n v="0.43"/>
    <x v="12"/>
    <s v="No"/>
    <s v="Meeting with RJ catch-up"/>
    <x v="1"/>
    <s v="Wednesday"/>
  </r>
  <r>
    <d v="2024-02-07T00:00:00"/>
    <x v="21"/>
    <s v="Meetings"/>
    <n v="0.83"/>
    <x v="12"/>
    <s v="No"/>
    <s v="Harmony Build handover task from April"/>
    <x v="1"/>
    <s v="Wednesday"/>
  </r>
  <r>
    <d v="2024-02-07T00:00:00"/>
    <x v="21"/>
    <s v="Payroll Processing"/>
    <n v="0.15"/>
    <x v="41"/>
    <s v="Yes"/>
    <m/>
    <x v="1"/>
    <s v="Wednesday"/>
  </r>
  <r>
    <d v="2024-02-07T00:00:00"/>
    <x v="22"/>
    <s v="Automations"/>
    <n v="8"/>
    <x v="12"/>
    <s v="No"/>
    <s v="Fintech Equity Pty Ltd - Bank Reconciliation Automation"/>
    <x v="1"/>
    <s v="Wednesday"/>
  </r>
  <r>
    <d v="2024-02-07T00:00:00"/>
    <x v="23"/>
    <s v="Automations"/>
    <n v="8"/>
    <x v="12"/>
    <s v="No"/>
    <m/>
    <x v="1"/>
    <s v="Wednesday"/>
  </r>
  <r>
    <d v="2024-02-07T00:00:00"/>
    <x v="24"/>
    <s v="Automations"/>
    <n v="8"/>
    <x v="12"/>
    <s v="No"/>
    <s v="Run: LOC Part 1 and 2 Testing: Email Trigger Automation Meeting: Turnover of Cashraw Consolidation File from Edz (VBA Macro) "/>
    <x v="1"/>
    <s v="Wednesday"/>
  </r>
  <r>
    <d v="2024-02-07T00:00:00"/>
    <x v="25"/>
    <s v="Bookkeeping"/>
    <n v="0.27"/>
    <x v="42"/>
    <s v="Yes"/>
    <s v="Emails and arrange meeting"/>
    <x v="1"/>
    <s v="Wednesday"/>
  </r>
  <r>
    <d v="2024-02-07T00:00:00"/>
    <x v="25"/>
    <s v="Bookkeeping"/>
    <n v="0.33"/>
    <x v="67"/>
    <s v="Yes"/>
    <s v="Complie invoices list and send to Tyson for confirmation"/>
    <x v="1"/>
    <s v="Wednesday"/>
  </r>
  <r>
    <d v="2024-02-07T00:00:00"/>
    <x v="25"/>
    <s v="Bookkeeping"/>
    <n v="0.42"/>
    <x v="24"/>
    <s v="Yes"/>
    <s v="Invoicing-  management fees and update templates for CJs, email to Eric"/>
    <x v="1"/>
    <s v="Wednesday"/>
  </r>
  <r>
    <d v="2024-02-07T00:00:00"/>
    <x v="25"/>
    <s v="Bookkeeping"/>
    <n v="0.5"/>
    <x v="67"/>
    <s v="Yes"/>
    <s v="Load payments to ANZ and save invoices"/>
    <x v="1"/>
    <s v="Wednesday"/>
  </r>
  <r>
    <d v="2024-02-07T00:00:00"/>
    <x v="25"/>
    <s v="Bookkeeping"/>
    <n v="0.72"/>
    <x v="43"/>
    <s v="Yes"/>
    <s v="Call with Matt re payroll, update to Mary, review payroll for Belinda etc."/>
    <x v="1"/>
    <s v="Wednesday"/>
  </r>
  <r>
    <d v="2024-02-07T00:00:00"/>
    <x v="25"/>
    <s v="Business Development"/>
    <n v="0.25"/>
    <x v="12"/>
    <s v="Yes"/>
    <s v="Call Eric for reference, follow up email, chat with Nick"/>
    <x v="1"/>
    <s v="Wednesday"/>
  </r>
  <r>
    <d v="2024-02-07T00:00:00"/>
    <x v="25"/>
    <s v="Client Manager"/>
    <n v="0.38"/>
    <x v="44"/>
    <s v="Yes"/>
    <s v="Call with Tyson and follow up admin tasks."/>
    <x v="1"/>
    <s v="Wednesday"/>
  </r>
  <r>
    <d v="2024-02-07T00:00:00"/>
    <x v="25"/>
    <s v="Out-of-Scope Services"/>
    <n v="0.42"/>
    <x v="42"/>
    <s v="Yes"/>
    <s v="EOFY review adn email to Emily"/>
    <x v="1"/>
    <s v="Wednesday"/>
  </r>
  <r>
    <d v="2024-02-07T00:00:00"/>
    <x v="25"/>
    <s v="Payroll Processing"/>
    <n v="0.15"/>
    <x v="60"/>
    <s v="Yes"/>
    <s v="Follow up Eric for super paymetns all entites"/>
    <x v="1"/>
    <s v="Wednesday"/>
  </r>
  <r>
    <d v="2024-02-07T00:00:00"/>
    <x v="25"/>
    <s v="Payroll Processing"/>
    <n v="0.27"/>
    <x v="46"/>
    <s v="Yes"/>
    <s v="Update to termination payment"/>
    <x v="1"/>
    <s v="Wednesday"/>
  </r>
  <r>
    <d v="2024-02-07T00:00:00"/>
    <x v="25"/>
    <s v="Payroll Processing"/>
    <n v="0.43"/>
    <x v="42"/>
    <s v="Yes"/>
    <s v="Load payroll to bank"/>
    <x v="1"/>
    <s v="Wednesday"/>
  </r>
  <r>
    <d v="2024-02-07T00:00:00"/>
    <x v="25"/>
    <s v="Payroll Processing"/>
    <n v="0.45"/>
    <x v="22"/>
    <s v="Yes"/>
    <s v="Check ADI levels and call Ash Update Caitlin M super"/>
    <x v="1"/>
    <s v="Wednesday"/>
  </r>
  <r>
    <d v="2024-02-07T00:00:00"/>
    <x v="25"/>
    <s v="Payroll Processing"/>
    <n v="0.47"/>
    <x v="22"/>
    <s v="Yes"/>
    <s v="Issues with mapping and export"/>
    <x v="1"/>
    <s v="Wednesday"/>
  </r>
  <r>
    <d v="2024-02-07T00:00:00"/>
    <x v="25"/>
    <s v="Payroll Processing"/>
    <n v="0.52"/>
    <x v="37"/>
    <s v="Yes"/>
    <s v="Load payments including super and child support, email to client"/>
    <x v="1"/>
    <s v="Wednesday"/>
  </r>
  <r>
    <d v="2024-02-07T00:00:00"/>
    <x v="25"/>
    <s v="Payroll Processing"/>
    <n v="2"/>
    <x v="22"/>
    <s v="Yes"/>
    <s v="Recreate timesheets and load to payrun"/>
    <x v="1"/>
    <s v="Wednesday"/>
  </r>
  <r>
    <d v="2024-02-07T00:00:00"/>
    <x v="25"/>
    <s v="Payroll Processing"/>
    <n v="3"/>
    <x v="37"/>
    <s v="Yes"/>
    <s v="Payroll reviews Email to Mohit re cash Email for approvals Child Support payment report"/>
    <x v="1"/>
    <s v="Wednesday"/>
  </r>
  <r>
    <d v="2024-02-07T00:00:00"/>
    <x v="51"/>
    <s v="P&amp;C Advisory - Group"/>
    <n v="0.17"/>
    <x v="63"/>
    <s v="Yes"/>
    <s v="Start Date Enquiry (William) - Accountant - NSW - Nederman - Alison"/>
    <x v="1"/>
    <s v="Wednesday"/>
  </r>
  <r>
    <d v="2024-02-07T00:00:00"/>
    <x v="51"/>
    <s v="P&amp;C Advisory - Nordfab"/>
    <n v="0.17"/>
    <x v="63"/>
    <s v="Yes"/>
    <s v="Candidate Enquiry (Duc Anh) - Skilled Tradesperson (Sheetmetal) - VIC - Nordfab - Alison"/>
    <x v="1"/>
    <s v="Wednesday"/>
  </r>
  <r>
    <d v="2024-02-07T00:00:00"/>
    <x v="51"/>
    <s v="P&amp;C Advisory - Nordfab"/>
    <n v="0.17"/>
    <x v="63"/>
    <s v="Yes"/>
    <s v="Verbal Work Trial Offer Acceptance (Zeljko) - Workshop Hand/Storeperson - VIC - Nordfab - Alison"/>
    <x v="1"/>
    <s v="Wednesday"/>
  </r>
  <r>
    <d v="2024-02-07T00:00:00"/>
    <x v="51"/>
    <s v="P&amp;C Advisory - Nordfab"/>
    <n v="0.25"/>
    <x v="63"/>
    <s v="Yes"/>
    <s v="Review Seek Applications - Sheet Metal Worker - NSW - Nordfab - Alison"/>
    <x v="1"/>
    <s v="Wednesday"/>
  </r>
  <r>
    <d v="2024-02-07T00:00:00"/>
    <x v="51"/>
    <s v="P&amp;C Advisory - Nordfab"/>
    <n v="0.33"/>
    <x v="63"/>
    <s v="Yes"/>
    <s v="Draft Employment Contract (Zeljko) - Workshop Hand/Storeperson - VIC - Nordfab - Alison"/>
    <x v="1"/>
    <s v="Wednesday"/>
  </r>
  <r>
    <d v="2024-02-07T00:00:00"/>
    <x v="51"/>
    <s v="P&amp;C Advisory - Nordfab"/>
    <n v="0.5"/>
    <x v="63"/>
    <s v="Yes"/>
    <s v="Reference Check (Rob) - Zeljko - Workshop Hand/Storeperson - VIC - Nordfab - Alison"/>
    <x v="1"/>
    <s v="Wednesday"/>
  </r>
  <r>
    <d v="2024-02-07T00:00:00"/>
    <x v="26"/>
    <s v="Client Meeting"/>
    <n v="0.05"/>
    <x v="24"/>
    <s v="Yes"/>
    <s v="message Sarah to Asana"/>
    <x v="1"/>
    <s v="Wednesday"/>
  </r>
  <r>
    <d v="2024-02-07T00:00:00"/>
    <x v="26"/>
    <s v="Client Meeting"/>
    <n v="0.08"/>
    <x v="35"/>
    <s v="No"/>
    <s v="Attending to Irish's query. Fixed Asset"/>
    <x v="1"/>
    <s v="Wednesday"/>
  </r>
  <r>
    <d v="2024-02-07T00:00:00"/>
    <x v="26"/>
    <s v="Client Meeting"/>
    <n v="0.08"/>
    <x v="87"/>
    <s v="Yes"/>
    <s v="Attending to Irish's query"/>
    <x v="1"/>
    <s v="Wednesday"/>
  </r>
  <r>
    <d v="2024-02-07T00:00:00"/>
    <x v="26"/>
    <s v="Client Meeting"/>
    <n v="0.08"/>
    <x v="14"/>
    <s v="Yes"/>
    <s v="Attending to Cess's query"/>
    <x v="1"/>
    <s v="Wednesday"/>
  </r>
  <r>
    <d v="2024-02-07T00:00:00"/>
    <x v="26"/>
    <s v="General"/>
    <n v="0.2"/>
    <x v="12"/>
    <s v="No"/>
    <s v="Sprout and other email"/>
    <x v="1"/>
    <s v="Wednesday"/>
  </r>
  <r>
    <d v="2024-02-07T00:00:00"/>
    <x v="26"/>
    <s v="General"/>
    <n v="0.25"/>
    <x v="12"/>
    <s v="No"/>
    <s v="15 mins coffee breaks as paid per Labor Code of the Philippines, Article 85. ( Afternoon Break ) "/>
    <x v="1"/>
    <s v="Wednesday"/>
  </r>
  <r>
    <d v="2024-02-07T00:00:00"/>
    <x v="26"/>
    <s v="General"/>
    <n v="0.25"/>
    <x v="12"/>
    <s v="No"/>
    <s v="15 mins coffee breaks as paid per Labor Code of the Philippines, Article 85. ( Morning Break )"/>
    <x v="1"/>
    <s v="Wednesday"/>
  </r>
  <r>
    <d v="2024-02-07T00:00:00"/>
    <x v="26"/>
    <s v="General"/>
    <n v="0.35"/>
    <x v="12"/>
    <s v="No"/>
    <s v="Chat with Ben and attending to queries. Looking and reviewing the chart work flow"/>
    <x v="1"/>
    <s v="Wednesday"/>
  </r>
  <r>
    <d v="2024-02-07T00:00:00"/>
    <x v="26"/>
    <s v="HR/Recuitment"/>
    <n v="0.08"/>
    <x v="12"/>
    <s v="No"/>
    <s v="Reading email from HR ( Zerra )"/>
    <x v="1"/>
    <s v="Wednesday"/>
  </r>
  <r>
    <d v="2024-02-07T00:00:00"/>
    <x v="26"/>
    <s v="HR/Recuitment"/>
    <n v="0.08"/>
    <x v="12"/>
    <s v="No"/>
    <s v="Social club"/>
    <x v="1"/>
    <s v="Wednesday"/>
  </r>
  <r>
    <d v="2024-02-07T00:00:00"/>
    <x v="26"/>
    <s v="IAS/BAS Preparation &amp; Lodgement - Jan"/>
    <n v="0.05"/>
    <x v="35"/>
    <s v="Yes"/>
    <m/>
    <x v="1"/>
    <s v="Wednesday"/>
  </r>
  <r>
    <d v="2024-02-07T00:00:00"/>
    <x v="26"/>
    <s v="IAS/BAS Preparation &amp; Lodgement - Jan"/>
    <n v="0.05"/>
    <x v="35"/>
    <s v="Yes"/>
    <s v="Jan 2024 IAS"/>
    <x v="1"/>
    <s v="Wednesday"/>
  </r>
  <r>
    <d v="2024-02-07T00:00:00"/>
    <x v="26"/>
    <s v="IAS/BAS Preparation &amp; Lodgement - Jan"/>
    <n v="0.05"/>
    <x v="96"/>
    <s v="Yes"/>
    <m/>
    <x v="1"/>
    <s v="Wednesday"/>
  </r>
  <r>
    <d v="2024-02-07T00:00:00"/>
    <x v="26"/>
    <s v="IAS/BAS Preparation &amp; Lodgement - Jan"/>
    <n v="0.05"/>
    <x v="57"/>
    <s v="Yes"/>
    <m/>
    <x v="1"/>
    <s v="Wednesday"/>
  </r>
  <r>
    <d v="2024-02-07T00:00:00"/>
    <x v="26"/>
    <s v="IAS/BAS Preparation &amp; Lodgement - Jan"/>
    <n v="0.05"/>
    <x v="23"/>
    <s v="Yes"/>
    <m/>
    <x v="1"/>
    <s v="Wednesday"/>
  </r>
  <r>
    <d v="2024-02-07T00:00:00"/>
    <x v="26"/>
    <s v="IAS/BAS Preparation &amp; Lodgement - Jan"/>
    <n v="0.05"/>
    <x v="24"/>
    <s v="No"/>
    <m/>
    <x v="1"/>
    <s v="Wednesday"/>
  </r>
  <r>
    <d v="2024-02-07T00:00:00"/>
    <x v="26"/>
    <s v="IAS/BAS Preparation &amp; Lodgement - Jan"/>
    <n v="0.05"/>
    <x v="52"/>
    <s v="Yes"/>
    <m/>
    <x v="1"/>
    <s v="Wednesday"/>
  </r>
  <r>
    <d v="2024-02-07T00:00:00"/>
    <x v="26"/>
    <s v="IAS/BAS Preparation &amp; Lodgement - Jan"/>
    <n v="0.05"/>
    <x v="52"/>
    <s v="Yes"/>
    <s v="IAS Jan 2024"/>
    <x v="1"/>
    <s v="Wednesday"/>
  </r>
  <r>
    <d v="2024-02-07T00:00:00"/>
    <x v="26"/>
    <s v="IAS/BAS Preparation &amp; Lodgement - Jan"/>
    <n v="0.05"/>
    <x v="39"/>
    <s v="Yes"/>
    <m/>
    <x v="1"/>
    <s v="Wednesday"/>
  </r>
  <r>
    <d v="2024-02-07T00:00:00"/>
    <x v="26"/>
    <s v="IAS/BAS Preparation &amp; Lodgement - Jan"/>
    <n v="7.0000000000000007E-2"/>
    <x v="24"/>
    <s v="No"/>
    <s v="Xero setUp"/>
    <x v="1"/>
    <s v="Wednesday"/>
  </r>
  <r>
    <d v="2024-02-07T00:00:00"/>
    <x v="26"/>
    <s v="IAS/BAS Preparation &amp; Lodgement - Jan"/>
    <n v="0.08"/>
    <x v="96"/>
    <s v="Yes"/>
    <s v="Jan 2024 IAS"/>
    <x v="1"/>
    <s v="Wednesday"/>
  </r>
  <r>
    <d v="2024-02-07T00:00:00"/>
    <x v="26"/>
    <s v="IAS/BAS Preparation &amp; Lodgement - Jan"/>
    <n v="0.08"/>
    <x v="72"/>
    <s v="No"/>
    <s v="Fxing XPM error.There are no outstanding activity statements for the client's TFN/ABN. Activity Statements will be available after the statement period"/>
    <x v="1"/>
    <s v="Wednesday"/>
  </r>
  <r>
    <d v="2024-02-07T00:00:00"/>
    <x v="26"/>
    <s v="IAS/BAS Preparation &amp; Lodgement - Jan"/>
    <n v="0.08"/>
    <x v="57"/>
    <s v="Yes"/>
    <s v="IAS Jan 2023"/>
    <x v="1"/>
    <s v="Wednesday"/>
  </r>
  <r>
    <d v="2024-02-07T00:00:00"/>
    <x v="26"/>
    <s v="IAS/BAS Preparation &amp; Lodgement - Jan"/>
    <n v="0.08"/>
    <x v="22"/>
    <s v="No"/>
    <s v="Fixing XPM error"/>
    <x v="1"/>
    <s v="Wednesday"/>
  </r>
  <r>
    <d v="2024-02-07T00:00:00"/>
    <x v="26"/>
    <s v="IAS/BAS Preparation &amp; Lodgement - Jan"/>
    <n v="0.08"/>
    <x v="39"/>
    <s v="Yes"/>
    <s v="Jan 2024 IAS"/>
    <x v="1"/>
    <s v="Wednesday"/>
  </r>
  <r>
    <d v="2024-02-07T00:00:00"/>
    <x v="26"/>
    <s v="IAS/BAS Preparation &amp; Lodgement - Jan"/>
    <n v="0.12"/>
    <x v="70"/>
    <s v="Yes"/>
    <s v="IAS jan 2024"/>
    <x v="1"/>
    <s v="Wednesday"/>
  </r>
  <r>
    <d v="2024-02-07T00:00:00"/>
    <x v="26"/>
    <s v="IAS/BAS Preparation &amp; Lodgement - Jan"/>
    <n v="0.13"/>
    <x v="50"/>
    <s v="Yes"/>
    <s v="Jan 2024 IAS"/>
    <x v="1"/>
    <s v="Wednesday"/>
  </r>
  <r>
    <d v="2024-02-07T00:00:00"/>
    <x v="26"/>
    <s v="IAS/BAS Preparation &amp; Lodgement - Jan"/>
    <n v="0.15"/>
    <x v="97"/>
    <s v="Yes"/>
    <s v="Jan 2024 IAS"/>
    <x v="1"/>
    <s v="Wednesday"/>
  </r>
  <r>
    <d v="2024-02-07T00:00:00"/>
    <x v="26"/>
    <s v="IAS/BAS Preparation &amp; Lodgement - Jan"/>
    <n v="0.15"/>
    <x v="98"/>
    <s v="Yes"/>
    <s v="Jan 2024 IAS"/>
    <x v="1"/>
    <s v="Wednesday"/>
  </r>
  <r>
    <d v="2024-02-07T00:00:00"/>
    <x v="26"/>
    <s v="IAS/BAS Preparation &amp; Lodgement - Jan"/>
    <n v="0.15"/>
    <x v="94"/>
    <s v="Yes"/>
    <s v="Jan 2024 IAS"/>
    <x v="1"/>
    <s v="Wednesday"/>
  </r>
  <r>
    <d v="2024-02-07T00:00:00"/>
    <x v="26"/>
    <s v="IAS/BAS Preparation &amp; Lodgement - Jan"/>
    <n v="0.15"/>
    <x v="99"/>
    <s v="Yes"/>
    <s v="IAS january 2024"/>
    <x v="1"/>
    <s v="Wednesday"/>
  </r>
  <r>
    <d v="2024-02-07T00:00:00"/>
    <x v="26"/>
    <s v="IAS/BAS Preparation &amp; Lodgement - Jan"/>
    <n v="0.15"/>
    <x v="24"/>
    <s v="Yes"/>
    <s v="IAS Jan 2024 "/>
    <x v="1"/>
    <s v="Wednesday"/>
  </r>
  <r>
    <d v="2024-02-07T00:00:00"/>
    <x v="26"/>
    <s v="IAS/BAS Preparation &amp; Lodgement - Jan"/>
    <n v="0.15"/>
    <x v="22"/>
    <s v="No"/>
    <s v="IAS, ATO and ASANA checking and validate. Error found"/>
    <x v="1"/>
    <s v="Wednesday"/>
  </r>
  <r>
    <d v="2024-02-07T00:00:00"/>
    <x v="26"/>
    <s v="IAS/BAS Preparation &amp; Lodgement - Jan"/>
    <n v="0.15"/>
    <x v="6"/>
    <s v="Yes"/>
    <s v="Jan 2024 IAS"/>
    <x v="1"/>
    <s v="Wednesday"/>
  </r>
  <r>
    <d v="2024-02-07T00:00:00"/>
    <x v="26"/>
    <s v="IAS/BAS Preparation &amp; Lodgement - Jan"/>
    <n v="0.15"/>
    <x v="100"/>
    <s v="Yes"/>
    <s v="Jan 2024 IAS"/>
    <x v="1"/>
    <s v="Wednesday"/>
  </r>
  <r>
    <d v="2024-02-07T00:00:00"/>
    <x v="26"/>
    <s v="IAS/BAS Preparation &amp; Lodgement - Jan"/>
    <n v="0.15"/>
    <x v="81"/>
    <s v="Yes"/>
    <s v="Jan 2024 IAS"/>
    <x v="1"/>
    <s v="Wednesday"/>
  </r>
  <r>
    <d v="2024-02-07T00:00:00"/>
    <x v="26"/>
    <s v="IAS/BAS Preparation &amp; Lodgement - Jan"/>
    <n v="0.17"/>
    <x v="32"/>
    <s v="Yes"/>
    <m/>
    <x v="1"/>
    <s v="Wednesday"/>
  </r>
  <r>
    <d v="2024-02-07T00:00:00"/>
    <x v="26"/>
    <s v="IAS/BAS Preparation &amp; Lodgement - Jan"/>
    <n v="0.17"/>
    <x v="23"/>
    <s v="Yes"/>
    <s v="Jan 2024 IAS"/>
    <x v="1"/>
    <s v="Wednesday"/>
  </r>
  <r>
    <d v="2024-02-07T00:00:00"/>
    <x v="26"/>
    <s v="IAS/BAS Preparation &amp; Lodgement - Jan"/>
    <n v="0.2"/>
    <x v="21"/>
    <s v="Yes"/>
    <s v="IAS prep, Xero set up and XPM fix"/>
    <x v="1"/>
    <s v="Wednesday"/>
  </r>
  <r>
    <d v="2024-02-07T00:00:00"/>
    <x v="26"/>
    <s v="IAS/BAS Preparation &amp; Lodgement - Jan"/>
    <n v="0.22"/>
    <x v="72"/>
    <s v="No"/>
    <s v="IAS Jan 2024 checking of ATO portal and email."/>
    <x v="1"/>
    <s v="Wednesday"/>
  </r>
  <r>
    <d v="2024-02-07T00:00:00"/>
    <x v="26"/>
    <s v="IAS/BAS Preparation &amp; Lodgement - Jan"/>
    <n v="0.25"/>
    <x v="67"/>
    <s v="Yes"/>
    <s v="AS process, Xero set up, XPM error and ATO validate"/>
    <x v="1"/>
    <s v="Wednesday"/>
  </r>
  <r>
    <d v="2024-02-07T00:00:00"/>
    <x v="26"/>
    <s v="IAS/BAS Preparation &amp; Lodgement - Oct-Dec"/>
    <n v="0.05"/>
    <x v="88"/>
    <s v="No"/>
    <s v="XPM update"/>
    <x v="1"/>
    <s v="Wednesday"/>
  </r>
  <r>
    <d v="2024-02-07T00:00:00"/>
    <x v="26"/>
    <s v="IAS/BAS Preparation &amp; Lodgement - Oct-Dec"/>
    <n v="7.0000000000000007E-2"/>
    <x v="35"/>
    <s v="Yes"/>
    <s v="XPM updates"/>
    <x v="1"/>
    <s v="Wednesday"/>
  </r>
  <r>
    <d v="2024-02-07T00:00:00"/>
    <x v="26"/>
    <s v="IAS/BAS Preparation &amp; Lodgement - Oct-Dec"/>
    <n v="0.1"/>
    <x v="101"/>
    <s v="No"/>
    <s v="Fixing XPM error"/>
    <x v="1"/>
    <s v="Wednesday"/>
  </r>
  <r>
    <d v="2024-02-07T00:00:00"/>
    <x v="26"/>
    <s v="IAS/BAS Preparation &amp; Lodgement - Oct-Dec"/>
    <n v="0.5"/>
    <x v="11"/>
    <s v="Yes"/>
    <m/>
    <x v="1"/>
    <s v="Wednesday"/>
  </r>
  <r>
    <d v="2024-02-07T00:00:00"/>
    <x v="26"/>
    <s v="IAS/BAS Preparation &amp; Lodgement - Oct-Dec"/>
    <n v="0.68"/>
    <x v="102"/>
    <s v="Yes"/>
    <m/>
    <x v="1"/>
    <s v="Wednesday"/>
  </r>
  <r>
    <d v="2024-02-07T00:00:00"/>
    <x v="26"/>
    <s v="IAS/BAS Preparation &amp; Lodgement - Oct-Dec"/>
    <n v="1.1299999999999999"/>
    <x v="80"/>
    <s v="Yes"/>
    <s v="Dec 2023 BAS"/>
    <x v="1"/>
    <s v="Wednesday"/>
  </r>
  <r>
    <d v="2024-02-07T00:00:00"/>
    <x v="26"/>
    <s v="Tax Admin"/>
    <n v="0.15"/>
    <x v="12"/>
    <s v="No"/>
    <s v="Asana updates"/>
    <x v="1"/>
    <s v="Wednesday"/>
  </r>
  <r>
    <d v="2024-02-07T00:00:00"/>
    <x v="26"/>
    <s v="Tax Admin"/>
    <n v="0.27"/>
    <x v="12"/>
    <s v="No"/>
    <s v="adhoc"/>
    <x v="1"/>
    <s v="Wednesday"/>
  </r>
  <r>
    <d v="2024-02-07T00:00:00"/>
    <x v="27"/>
    <s v="P&amp;C Advisory"/>
    <n v="8"/>
    <x v="19"/>
    <s v="Yes"/>
    <s v="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
    <x v="1"/>
    <s v="Wednesday"/>
  </r>
  <r>
    <d v="2024-02-07T00:00:00"/>
    <x v="28"/>
    <s v="Sick Leave"/>
    <n v="8"/>
    <x v="12"/>
    <s v="No"/>
    <m/>
    <x v="1"/>
    <s v="Wednesday"/>
  </r>
  <r>
    <d v="2024-02-07T00:00:00"/>
    <x v="29"/>
    <s v="Bookkeeping - Backlog"/>
    <n v="0.75"/>
    <x v="49"/>
    <s v="Yes"/>
    <s v="Tax Prep - Sole Trader accounts"/>
    <x v="1"/>
    <s v="Wednesday"/>
  </r>
  <r>
    <d v="2024-02-07T00:00:00"/>
    <x v="30"/>
    <s v="Debt Collection"/>
    <n v="1.5"/>
    <x v="36"/>
    <s v="Yes"/>
    <m/>
    <x v="1"/>
    <s v="Wednesday"/>
  </r>
  <r>
    <d v="2024-02-07T00:00:00"/>
    <x v="30"/>
    <s v="Debt Collection"/>
    <n v="2.5"/>
    <x v="16"/>
    <s v="Yes"/>
    <m/>
    <x v="1"/>
    <s v="Wednesday"/>
  </r>
  <r>
    <d v="2024-02-07T00:00:00"/>
    <x v="30"/>
    <s v="Debt Collection"/>
    <n v="4"/>
    <x v="12"/>
    <s v="Yes"/>
    <m/>
    <x v="1"/>
    <s v="Wednesday"/>
  </r>
  <r>
    <d v="2024-02-07T00:00:00"/>
    <x v="31"/>
    <s v="Bookkeeping"/>
    <n v="0.23"/>
    <x v="16"/>
    <s v="Yes"/>
    <s v="customer onboarding"/>
    <x v="1"/>
    <s v="Wednesday"/>
  </r>
  <r>
    <d v="2024-02-07T00:00:00"/>
    <x v="31"/>
    <s v="Bookkeeping"/>
    <n v="0.87"/>
    <x v="12"/>
    <s v="No"/>
    <s v="CF / AP - XE Payment / PL checking"/>
    <x v="1"/>
    <s v="Wednesday"/>
  </r>
  <r>
    <d v="2024-02-07T00:00:00"/>
    <x v="31"/>
    <s v="Client Meeting"/>
    <n v="0.72"/>
    <x v="12"/>
    <s v="No"/>
    <s v="call with Jun about outsourcing"/>
    <x v="1"/>
    <s v="Wednesday"/>
  </r>
  <r>
    <d v="2024-02-07T00:00:00"/>
    <x v="31"/>
    <s v="Management Reporting"/>
    <n v="0.97"/>
    <x v="16"/>
    <s v="Yes"/>
    <s v="month-end"/>
    <x v="1"/>
    <s v="Wednesday"/>
  </r>
  <r>
    <d v="2024-02-07T00:00:00"/>
    <x v="31"/>
    <s v="Management Reporting"/>
    <n v="1.92"/>
    <x v="12"/>
    <s v="No"/>
    <s v="Group month-end / updated payroll setup based on new approach"/>
    <x v="1"/>
    <s v="Wednesday"/>
  </r>
  <r>
    <d v="2024-02-07T00:00:00"/>
    <x v="31"/>
    <s v="Management Reporting"/>
    <n v="3.38"/>
    <x v="12"/>
    <s v="No"/>
    <s v="month-end"/>
    <x v="1"/>
    <s v="Wednesday"/>
  </r>
  <r>
    <d v="2024-02-07T00:00:00"/>
    <x v="32"/>
    <s v="Bookkeeping"/>
    <n v="2.0699999999999998"/>
    <x v="51"/>
    <s v="Yes"/>
    <s v="Payment uploading to CBA Prepared stripe fee report and posted manual journal Bank Reconciliation BM and LOC Inc Started the BS Recs LOC Inc"/>
    <x v="1"/>
    <s v="Wednesday"/>
  </r>
  <r>
    <d v="2024-02-07T00:00:00"/>
    <x v="32"/>
    <s v="Bookkeeping"/>
    <n v="5.43"/>
    <x v="51"/>
    <s v="Yes"/>
    <s v="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
    <x v="1"/>
    <s v="Wednesday"/>
  </r>
  <r>
    <d v="2024-02-07T00:00:00"/>
    <x v="32"/>
    <s v="General"/>
    <n v="0.5"/>
    <x v="12"/>
    <s v="No"/>
    <s v="Break"/>
    <x v="1"/>
    <s v="Wednesday"/>
  </r>
  <r>
    <d v="2024-02-07T00:00:00"/>
    <x v="33"/>
    <s v="IT"/>
    <n v="9"/>
    <x v="12"/>
    <s v="No"/>
    <s v="IT Support"/>
    <x v="1"/>
    <s v="Wednesday"/>
  </r>
  <r>
    <d v="2024-02-07T00:00:00"/>
    <x v="34"/>
    <s v="Bookkeeping"/>
    <n v="0.5"/>
    <x v="15"/>
    <s v="Yes"/>
    <m/>
    <x v="1"/>
    <s v="Wednesday"/>
  </r>
  <r>
    <d v="2024-02-07T00:00:00"/>
    <x v="34"/>
    <s v="Bookkeeping"/>
    <n v="0.87"/>
    <x v="1"/>
    <s v="Yes"/>
    <s v="Balance Sheet Recon"/>
    <x v="1"/>
    <s v="Wednesday"/>
  </r>
  <r>
    <d v="2024-02-07T00:00:00"/>
    <x v="34"/>
    <s v="Bookkeeping"/>
    <n v="1.9"/>
    <x v="52"/>
    <s v="Yes"/>
    <s v="Email Management Bills Processing  AP recon   Bank and Credit Card Recon "/>
    <x v="1"/>
    <s v="Wednesday"/>
  </r>
  <r>
    <d v="2024-02-07T00:00:00"/>
    <x v="34"/>
    <s v="Bookkeeping"/>
    <n v="3.22"/>
    <x v="15"/>
    <s v="Yes"/>
    <s v="Email Management Bills Processing Bank and Credit Card recon Submit Weekly Cash Flow Submit updated Unreconciled bank/credit card  transactions   Lodgment and Payment of Payroll Tax"/>
    <x v="1"/>
    <s v="Wednesday"/>
  </r>
  <r>
    <d v="2024-02-07T00:00:00"/>
    <x v="34"/>
    <s v="General"/>
    <n v="1.57"/>
    <x v="12"/>
    <s v="No"/>
    <s v="Reviewing Donor Handover - Month-end Process "/>
    <x v="1"/>
    <s v="Wednesday"/>
  </r>
  <r>
    <d v="2024-02-07T00:00:00"/>
    <x v="35"/>
    <s v="Accounts"/>
    <n v="0.23"/>
    <x v="12"/>
    <s v="No"/>
    <s v="Email advise for Kathryn re: Belshaw, Haydn overpayment"/>
    <x v="1"/>
    <s v="Wednesday"/>
  </r>
  <r>
    <d v="2024-02-07T00:00:00"/>
    <x v="35"/>
    <s v="Accounts"/>
    <n v="5.25"/>
    <x v="12"/>
    <s v="No"/>
    <s v="Clean up emails/Update subscriptions/accrual and other AJEs related tasks/Bills update/Reconciliation of Stripe payments"/>
    <x v="1"/>
    <s v="Wednesday"/>
  </r>
  <r>
    <d v="2024-02-07T00:00:00"/>
    <x v="35"/>
    <s v="Bookkeeping"/>
    <n v="0.65"/>
    <x v="12"/>
    <s v="No"/>
    <s v="Update bank recs"/>
    <x v="1"/>
    <s v="Wednesday"/>
  </r>
  <r>
    <d v="2024-02-07T00:00:00"/>
    <x v="35"/>
    <s v="Compliance"/>
    <n v="3.28"/>
    <x v="53"/>
    <s v="No"/>
    <s v="Prepare summary for January 2024 Government remittances and update all necessary details for SSS, PHIC and HDMF. With pending status update for RJ's HDMF. Coordinated already to RJ and Z. "/>
    <x v="1"/>
    <s v="Wednesday"/>
  </r>
  <r>
    <d v="2024-02-07T00:00:00"/>
    <x v="35"/>
    <s v="Payroll Processing"/>
    <n v="0.15"/>
    <x v="53"/>
    <s v="No"/>
    <s v="Payroll email request for BDO online approval"/>
    <x v="1"/>
    <s v="Wednesday"/>
  </r>
  <r>
    <d v="2024-02-07T00:00:00"/>
    <x v="36"/>
    <s v="Web"/>
    <n v="10"/>
    <x v="12"/>
    <s v="No"/>
    <s v="✅ deploy the tags for conversion tracking of events in forms ✅ fixing the forms in the website for the Payroll Questionnaires 🟥 edit the Payroll Services page on staging 🟥 apply the Dexterous Group Branding to the slides provided by Nick"/>
    <x v="1"/>
    <s v="Wednesday"/>
  </r>
  <r>
    <d v="2024-02-07T00:00:00"/>
    <x v="37"/>
    <s v="Bookkeeping"/>
    <n v="0.5"/>
    <x v="83"/>
    <s v="Yes"/>
    <m/>
    <x v="1"/>
    <s v="Wednesday"/>
  </r>
  <r>
    <d v="2024-02-07T00:00:00"/>
    <x v="37"/>
    <s v="Bookkeeping"/>
    <n v="0.5"/>
    <x v="85"/>
    <s v="Yes"/>
    <m/>
    <x v="1"/>
    <s v="Wednesday"/>
  </r>
  <r>
    <d v="2024-02-07T00:00:00"/>
    <x v="37"/>
    <s v="Bookkeeping"/>
    <n v="1"/>
    <x v="84"/>
    <s v="Yes"/>
    <m/>
    <x v="1"/>
    <s v="Wednesday"/>
  </r>
  <r>
    <d v="2024-02-07T00:00:00"/>
    <x v="37"/>
    <s v="Bookkeeping"/>
    <n v="1"/>
    <x v="59"/>
    <s v="Yes"/>
    <s v="processing supplier bills and bank reco"/>
    <x v="1"/>
    <s v="Wednesday"/>
  </r>
  <r>
    <d v="2024-02-07T00:00:00"/>
    <x v="37"/>
    <s v="Bookkeeping"/>
    <n v="1"/>
    <x v="19"/>
    <s v="No"/>
    <s v="Moody files and emails provided in handover .  Access to Onedrive and folders, chat with Charmie for prelim questions"/>
    <x v="1"/>
    <s v="Wednesday"/>
  </r>
  <r>
    <d v="2024-02-07T00:00:00"/>
    <x v="37"/>
    <s v="Bookkeeping"/>
    <n v="1"/>
    <x v="103"/>
    <s v="Yes"/>
    <m/>
    <x v="1"/>
    <s v="Wednesday"/>
  </r>
  <r>
    <d v="2024-02-07T00:00:00"/>
    <x v="38"/>
    <s v="Client Manager"/>
    <n v="0.23"/>
    <x v="2"/>
    <s v="No"/>
    <s v="Meeting with Aileen on insurance and manual journals"/>
    <x v="1"/>
    <s v="Wednesday"/>
  </r>
  <r>
    <d v="2024-02-07T00:00:00"/>
    <x v="38"/>
    <s v="Client Manager"/>
    <n v="1.27"/>
    <x v="2"/>
    <s v="Yes"/>
    <s v="Bas prep month end"/>
    <x v="1"/>
    <s v="Wednesday"/>
  </r>
  <r>
    <d v="2024-02-07T00:00:00"/>
    <x v="38"/>
    <s v="General"/>
    <n v="4.5"/>
    <x v="12"/>
    <s v="No"/>
    <s v="emails, teams, Asana"/>
    <x v="1"/>
    <s v="Wednesday"/>
  </r>
  <r>
    <d v="2024-02-07T00:00:00"/>
    <x v="39"/>
    <s v="Bookkeeping"/>
    <n v="0.48"/>
    <x v="14"/>
    <s v="Yes"/>
    <s v="emails Oct and queries, other debtors &amp; cash acct "/>
    <x v="1"/>
    <s v="Wednesday"/>
  </r>
  <r>
    <d v="2024-02-07T00:00:00"/>
    <x v="39"/>
    <s v="Bookkeeping"/>
    <n v="0.72"/>
    <x v="14"/>
    <s v="No"/>
    <s v="srac catch up with shalini"/>
    <x v="1"/>
    <s v="Wednesday"/>
  </r>
  <r>
    <d v="2024-02-07T00:00:00"/>
    <x v="39"/>
    <s v="Bookkeeping"/>
    <n v="0.85"/>
    <x v="55"/>
    <s v="Yes"/>
    <s v="BR and emails"/>
    <x v="1"/>
    <s v="Wednesday"/>
  </r>
  <r>
    <d v="2024-02-07T00:00:00"/>
    <x v="39"/>
    <s v="Bookkeeping"/>
    <n v="1.1000000000000001"/>
    <x v="55"/>
    <s v="Yes"/>
    <s v="BR and Martin's wages"/>
    <x v="1"/>
    <s v="Wednesday"/>
  </r>
  <r>
    <d v="2024-02-07T00:00:00"/>
    <x v="39"/>
    <s v="Bookkeeping"/>
    <n v="1.2"/>
    <x v="14"/>
    <s v="Yes"/>
    <s v="srac - lease/rents review"/>
    <x v="1"/>
    <s v="Wednesday"/>
  </r>
  <r>
    <d v="2024-02-07T00:00:00"/>
    <x v="39"/>
    <s v="Bookkeeping"/>
    <n v="1.58"/>
    <x v="55"/>
    <s v="Yes"/>
    <s v="BR"/>
    <x v="1"/>
    <s v="Wednesday"/>
  </r>
  <r>
    <d v="2024-02-07T00:00:00"/>
    <x v="39"/>
    <s v="Bookkeeping"/>
    <n v="1.98"/>
    <x v="14"/>
    <s v="Yes"/>
    <m/>
    <x v="1"/>
    <s v="Wednesday"/>
  </r>
  <r>
    <d v="2024-02-07T00:00:00"/>
    <x v="39"/>
    <s v="General"/>
    <n v="0.1"/>
    <x v="12"/>
    <s v="No"/>
    <m/>
    <x v="1"/>
    <s v="Wednesday"/>
  </r>
  <r>
    <d v="2024-02-07T00:00:00"/>
    <x v="39"/>
    <s v="General"/>
    <n v="0.18"/>
    <x v="12"/>
    <s v="No"/>
    <s v="asset with guia"/>
    <x v="1"/>
    <s v="Wednesday"/>
  </r>
  <r>
    <d v="2024-02-07T00:00:00"/>
    <x v="40"/>
    <s v="General"/>
    <n v="0.13"/>
    <x v="12"/>
    <s v="No"/>
    <s v="Dex emails"/>
    <x v="1"/>
    <s v="Wednesday"/>
  </r>
  <r>
    <d v="2024-02-07T00:00:00"/>
    <x v="40"/>
    <s v="Management Reporting"/>
    <n v="2.4300000000000002"/>
    <x v="36"/>
    <s v="Yes"/>
    <m/>
    <x v="1"/>
    <s v="Wednesday"/>
  </r>
  <r>
    <d v="2024-02-07T00:00:00"/>
    <x v="40"/>
    <s v="Payroll Processing"/>
    <n v="0.35"/>
    <x v="3"/>
    <s v="Yes"/>
    <s v="Payroll review"/>
    <x v="1"/>
    <s v="Wednesday"/>
  </r>
  <r>
    <d v="2024-02-07T00:00:00"/>
    <x v="40"/>
    <s v="Payroll Processing"/>
    <n v="5.78"/>
    <x v="36"/>
    <s v="Yes"/>
    <s v="Payroll and (month end tasks with Nica-- HCP and CHSP SSI reporting )"/>
    <x v="1"/>
    <s v="Wednesday"/>
  </r>
  <r>
    <d v="2024-02-07T00:00:00"/>
    <x v="41"/>
    <s v="General"/>
    <n v="0.27"/>
    <x v="12"/>
    <s v="No"/>
    <s v="IA interview-Aileen"/>
    <x v="1"/>
    <s v="Wednesday"/>
  </r>
  <r>
    <d v="2024-02-07T00:00:00"/>
    <x v="41"/>
    <s v="General"/>
    <n v="0.52"/>
    <x v="12"/>
    <s v="No"/>
    <s v="Admin -emails, queries, concerns"/>
    <x v="1"/>
    <s v="Wednesday"/>
  </r>
  <r>
    <d v="2024-02-07T00:00:00"/>
    <x v="41"/>
    <s v="General"/>
    <n v="0.73"/>
    <x v="12"/>
    <s v="No"/>
    <s v="Handover comms and transition update for resigning employees  Back uup planning resource  Sprout approvals"/>
    <x v="1"/>
    <s v="Wednesday"/>
  </r>
  <r>
    <d v="2024-02-07T00:00:00"/>
    <x v="41"/>
    <s v="General"/>
    <n v="1.05"/>
    <x v="12"/>
    <s v="No"/>
    <s v="Updating CPR for Nick (Dashboard) start"/>
    <x v="1"/>
    <s v="Wednesday"/>
  </r>
  <r>
    <d v="2024-02-07T00:00:00"/>
    <x v="41"/>
    <s v="General"/>
    <n v="1.1200000000000001"/>
    <x v="12"/>
    <s v="No"/>
    <s v="Staff admin TImesheet sprout review for payroll Wyzed Asana"/>
    <x v="1"/>
    <s v="Wednesday"/>
  </r>
  <r>
    <d v="2024-02-07T00:00:00"/>
    <x v="41"/>
    <s v="General"/>
    <n v="1.65"/>
    <x v="12"/>
    <s v="No"/>
    <s v="Productivity tool research"/>
    <x v="1"/>
    <s v="Wednesday"/>
  </r>
  <r>
    <d v="2024-02-07T00:00:00"/>
    <x v="41"/>
    <s v="General"/>
    <n v="1.68"/>
    <x v="12"/>
    <s v="No"/>
    <s v="PTX final review"/>
    <x v="1"/>
    <s v="Wednesday"/>
  </r>
  <r>
    <d v="2024-02-07T00:00:00"/>
    <x v="41"/>
    <s v="Meetings"/>
    <n v="0.35"/>
    <x v="12"/>
    <s v="No"/>
    <s v="1:1 sarah"/>
    <x v="1"/>
    <s v="Wednesday"/>
  </r>
  <r>
    <d v="2024-02-07T00:00:00"/>
    <x v="41"/>
    <s v="Meetings"/>
    <n v="0.43"/>
    <x v="12"/>
    <s v="No"/>
    <s v="Capacity call with Ali Ann"/>
    <x v="1"/>
    <s v="Wednesday"/>
  </r>
  <r>
    <d v="2024-02-07T00:00:00"/>
    <x v="41"/>
    <s v="Meetings"/>
    <n v="0.47"/>
    <x v="12"/>
    <s v="No"/>
    <s v="IA interview Jimwelle"/>
    <x v="1"/>
    <s v="Wednesday"/>
  </r>
  <r>
    <d v="2024-02-07T00:00:00"/>
    <x v="41"/>
    <s v="Meetings"/>
    <n v="0.47"/>
    <x v="12"/>
    <s v="No"/>
    <s v="Meeting with Nick Ali Jordan"/>
    <x v="1"/>
    <s v="Wednesday"/>
  </r>
  <r>
    <d v="2024-02-07T00:00:00"/>
    <x v="42"/>
    <s v="Bookkeeping"/>
    <n v="2.08"/>
    <x v="16"/>
    <s v="Yes"/>
    <s v="PAYROLL TAX "/>
    <x v="1"/>
    <s v="Wednesday"/>
  </r>
  <r>
    <d v="2024-02-07T00:00:00"/>
    <x v="42"/>
    <s v="Bookkeeping"/>
    <n v="6.62"/>
    <x v="16"/>
    <s v="Yes"/>
    <m/>
    <x v="1"/>
    <s v="Wednesday"/>
  </r>
  <r>
    <d v="2024-02-07T00:00:00"/>
    <x v="42"/>
    <s v="Client Meeting"/>
    <n v="0.5"/>
    <x v="16"/>
    <s v="Yes"/>
    <s v="Weekly 1:1 with James"/>
    <x v="1"/>
    <s v="Wednesday"/>
  </r>
  <r>
    <d v="2024-02-07T00:00:00"/>
    <x v="43"/>
    <s v="Annual Leave"/>
    <n v="4"/>
    <x v="12"/>
    <s v="No"/>
    <m/>
    <x v="1"/>
    <s v="Wednesday"/>
  </r>
  <r>
    <d v="2024-02-07T00:00:00"/>
    <x v="43"/>
    <s v="Bookkeeping"/>
    <n v="0.72"/>
    <x v="51"/>
    <s v="Yes"/>
    <s v="Call with Maan to check DTC bills, discuss month-end tasks and queries"/>
    <x v="1"/>
    <s v="Wednesday"/>
  </r>
  <r>
    <d v="2024-02-07T00:00:00"/>
    <x v="43"/>
    <s v="General"/>
    <n v="0.37"/>
    <x v="12"/>
    <s v="No"/>
    <s v="Emails, teams messages, update Asana"/>
    <x v="1"/>
    <s v="Wednesday"/>
  </r>
  <r>
    <d v="2024-02-07T00:00:00"/>
    <x v="43"/>
    <s v="Payroll Processing"/>
    <n v="1.33"/>
    <x v="37"/>
    <s v="Yes"/>
    <s v="Payroll updates, super for January"/>
    <x v="1"/>
    <s v="Wednesday"/>
  </r>
  <r>
    <d v="2024-02-07T00:00:00"/>
    <x v="43"/>
    <s v="Payroll Processing"/>
    <n v="1.67"/>
    <x v="16"/>
    <s v="Yes"/>
    <s v="Updating pay rate of each employee to match new EA"/>
    <x v="1"/>
    <s v="Wednesday"/>
  </r>
  <r>
    <d v="2024-02-07T00:00:00"/>
    <x v="44"/>
    <s v="FBT Return"/>
    <n v="0.25"/>
    <x v="50"/>
    <s v="Yes"/>
    <s v="Prepare draft list of transactions that will be subject to FBT for the 2022 and 2023 FBT. years and email to SK."/>
    <x v="1"/>
    <s v="Wednesday"/>
  </r>
  <r>
    <d v="2024-02-07T00:00:00"/>
    <x v="44"/>
    <s v="Out-of-Scope Services"/>
    <n v="0.6"/>
    <x v="94"/>
    <s v="Yes"/>
    <s v="Calculate current franking account balance and respond to Sylvie with franked dividend that can be paid today."/>
    <x v="1"/>
    <s v="Wednesday"/>
  </r>
  <r>
    <d v="2024-02-07T00:00:00"/>
    <x v="44"/>
    <s v="Tax Admin"/>
    <n v="0.17"/>
    <x v="12"/>
    <s v="No"/>
    <s v="Email to Tien re Upstage business name transfer and mge to Nick"/>
    <x v="1"/>
    <s v="Wednesday"/>
  </r>
  <r>
    <d v="2024-02-07T00:00:00"/>
    <x v="45"/>
    <s v="Bookkeeping"/>
    <n v="0.18"/>
    <x v="41"/>
    <s v="Yes"/>
    <s v="AP review"/>
    <x v="1"/>
    <s v="Wednesday"/>
  </r>
  <r>
    <d v="2024-02-07T00:00:00"/>
    <x v="45"/>
    <s v="Bookkeeping"/>
    <n v="0.28000000000000003"/>
    <x v="23"/>
    <s v="Yes"/>
    <s v="Wages payable reconciliation"/>
    <x v="1"/>
    <s v="Wednesday"/>
  </r>
  <r>
    <d v="2024-02-07T00:00:00"/>
    <x v="45"/>
    <s v="Bookkeeping"/>
    <n v="0.95"/>
    <x v="58"/>
    <s v="Yes"/>
    <s v="Bank rec Account review for BAS"/>
    <x v="1"/>
    <s v="Wednesday"/>
  </r>
  <r>
    <d v="2024-02-07T00:00:00"/>
    <x v="45"/>
    <s v="Bookkeeping"/>
    <n v="1.17"/>
    <x v="57"/>
    <s v="Yes"/>
    <s v="AP and bank rec Supplier statement reconciliation Cashflow update"/>
    <x v="1"/>
    <s v="Wednesday"/>
  </r>
  <r>
    <d v="2024-02-07T00:00:00"/>
    <x v="45"/>
    <s v="Bookkeeping"/>
    <n v="1.93"/>
    <x v="50"/>
    <s v="Yes"/>
    <s v="Bank rec AP run Inbox mgmt"/>
    <x v="1"/>
    <s v="Wednesday"/>
  </r>
  <r>
    <d v="2024-02-07T00:00:00"/>
    <x v="45"/>
    <s v="General"/>
    <n v="0.5"/>
    <x v="12"/>
    <s v="No"/>
    <s v="Paid break"/>
    <x v="1"/>
    <s v="Wednesday"/>
  </r>
  <r>
    <d v="2024-02-07T00:00:00"/>
    <x v="45"/>
    <s v="IAS/BAS Preparation &amp; Lodgement - Jan"/>
    <n v="0.05"/>
    <x v="24"/>
    <s v="Yes"/>
    <s v="Prepare payroll report"/>
    <x v="1"/>
    <s v="Wednesday"/>
  </r>
  <r>
    <d v="2024-02-07T00:00:00"/>
    <x v="45"/>
    <s v="IAS/BAS Preparation &amp; Lodgement - Jan"/>
    <n v="0.08"/>
    <x v="23"/>
    <s v="Yes"/>
    <s v="Prepare payroll reports"/>
    <x v="1"/>
    <s v="Wednesday"/>
  </r>
  <r>
    <d v="2024-02-07T00:00:00"/>
    <x v="45"/>
    <s v="IAS/BAS Preparation &amp; Lodgement - Jan"/>
    <n v="0.18"/>
    <x v="21"/>
    <s v="Yes"/>
    <s v="Prepare payroll report"/>
    <x v="1"/>
    <s v="Wednesday"/>
  </r>
  <r>
    <d v="2024-02-07T00:00:00"/>
    <x v="45"/>
    <s v="IAS/BAS Preparation &amp; Lodgement - Jan"/>
    <n v="0.18"/>
    <x v="22"/>
    <s v="Yes"/>
    <s v="Prepare payroll report"/>
    <x v="1"/>
    <s v="Wednesday"/>
  </r>
  <r>
    <d v="2024-02-07T00:00:00"/>
    <x v="45"/>
    <s v="Meetings"/>
    <n v="0.35"/>
    <x v="12"/>
    <s v="No"/>
    <s v="Catch up with Ralph"/>
    <x v="1"/>
    <s v="Wednesday"/>
  </r>
  <r>
    <d v="2024-02-07T00:00:00"/>
    <x v="45"/>
    <s v="Payroll Processing"/>
    <n v="0.08"/>
    <x v="22"/>
    <s v="Yes"/>
    <s v="Plot leaves"/>
    <x v="1"/>
    <s v="Wednesday"/>
  </r>
  <r>
    <d v="2024-02-07T00:00:00"/>
    <x v="45"/>
    <s v="Payroll Processing"/>
    <n v="0.1"/>
    <x v="21"/>
    <s v="Yes"/>
    <s v="Export reports and ABA and send to client"/>
    <x v="1"/>
    <s v="Wednesday"/>
  </r>
  <r>
    <d v="2024-02-07T00:00:00"/>
    <x v="45"/>
    <s v="Payroll Processing"/>
    <n v="0.12"/>
    <x v="21"/>
    <s v="Yes"/>
    <s v="Process payroll"/>
    <x v="1"/>
    <s v="Wednesday"/>
  </r>
  <r>
    <d v="2024-02-07T00:00:00"/>
    <x v="45"/>
    <s v="Payroll Processing"/>
    <n v="0.18"/>
    <x v="60"/>
    <s v="Yes"/>
    <s v="Process payroll"/>
    <x v="1"/>
    <s v="Wednesday"/>
  </r>
  <r>
    <d v="2024-02-07T00:00:00"/>
    <x v="45"/>
    <s v="Payroll Processing"/>
    <n v="0.33"/>
    <x v="21"/>
    <s v="Yes"/>
    <s v="Post payroll journals"/>
    <x v="1"/>
    <s v="Wednesday"/>
  </r>
  <r>
    <d v="2024-02-07T00:00:00"/>
    <x v="45"/>
    <s v="Payroll Processing"/>
    <n v="0.45"/>
    <x v="22"/>
    <s v="Yes"/>
    <s v="Process payroll"/>
    <x v="1"/>
    <s v="Wednesday"/>
  </r>
  <r>
    <d v="2024-02-07T00:00:00"/>
    <x v="45"/>
    <s v="Payroll Processing"/>
    <n v="0.45"/>
    <x v="22"/>
    <s v="Yes"/>
    <s v="Revert and delete timesheets so Kate can re-export"/>
    <x v="1"/>
    <s v="Wednesday"/>
  </r>
  <r>
    <d v="2024-02-07T00:00:00"/>
    <x v="45"/>
    <s v="Payroll Processing"/>
    <n v="0.6"/>
    <x v="24"/>
    <s v="Yes"/>
    <s v="Set up new employee"/>
    <x v="1"/>
    <s v="Wednesday"/>
  </r>
  <r>
    <d v="2024-02-07T00:00:00"/>
    <x v="45"/>
    <s v="Payroll Processing - Senior"/>
    <n v="0.05"/>
    <x v="41"/>
    <s v="Yes"/>
    <s v="Payroll review"/>
    <x v="1"/>
    <s v="Wednesday"/>
  </r>
  <r>
    <d v="2024-02-07T00:00:00"/>
    <x v="46"/>
    <s v="Client Manager"/>
    <n v="0.25"/>
    <x v="88"/>
    <s v="Yes"/>
    <s v="Send copy of lodged IAS for Jan 2024 to David for payment"/>
    <x v="1"/>
    <s v="Wednesday"/>
  </r>
  <r>
    <d v="2024-02-07T00:00:00"/>
    <x v="46"/>
    <s v="Client Manager"/>
    <n v="0.5"/>
    <x v="70"/>
    <s v="Yes"/>
    <s v="Server login issues, liaising with IT etc"/>
    <x v="1"/>
    <s v="Wednesday"/>
  </r>
  <r>
    <d v="2024-02-07T00:00:00"/>
    <x v="46"/>
    <s v="Client Manager"/>
    <n v="0.5"/>
    <x v="103"/>
    <s v="Yes"/>
    <s v="Attend to email from Neeti re sale of business. Line up meeting with Li-Ann. Coordinate with James. Advise TL re client leaving"/>
    <x v="1"/>
    <s v="Wednesday"/>
  </r>
  <r>
    <d v="2024-02-07T00:00:00"/>
    <x v="46"/>
    <s v="Client Manager"/>
    <n v="0.75"/>
    <x v="14"/>
    <s v="Yes"/>
    <s v="Weekly hurdles meeting with team"/>
    <x v="1"/>
    <s v="Wednesday"/>
  </r>
  <r>
    <d v="2024-02-07T00:00:00"/>
    <x v="46"/>
    <s v="Client Manager"/>
    <n v="1"/>
    <x v="70"/>
    <s v="Yes"/>
    <s v="Download GST reports for Dec 2023 quarter, start with BAS preparation"/>
    <x v="1"/>
    <s v="Wednesday"/>
  </r>
  <r>
    <d v="2024-02-07T00:00:00"/>
    <x v="46"/>
    <s v="General"/>
    <n v="0.5"/>
    <x v="12"/>
    <s v="No"/>
    <s v="Potential client meeting (with Barnaby)"/>
    <x v="1"/>
    <s v="Wednesday"/>
  </r>
  <r>
    <d v="2024-02-07T00:00:00"/>
    <x v="46"/>
    <s v="General"/>
    <n v="1"/>
    <x v="12"/>
    <s v="No"/>
    <s v="Update monthly reporting for CET. Send email to Ali re client survey and process for CET to update monthly. "/>
    <x v="1"/>
    <s v="Wednesday"/>
  </r>
  <r>
    <d v="2024-02-07T00:00:00"/>
    <x v="46"/>
    <s v="General"/>
    <n v="2.5"/>
    <x v="12"/>
    <s v="No"/>
    <s v="BAS and IAS workflows, follow up with team, Xero subs for Timbertime, attend to emails from James, go through post mail from ATO, coordinate with Gen re digital copes., debtors, update, Mel queires, etc"/>
    <x v="1"/>
    <s v="Wednesday"/>
  </r>
  <r>
    <d v="2024-02-07T00:00:00"/>
    <x v="46"/>
    <s v="IAS/BAS Preparation &amp; Lodgement - Jan"/>
    <n v="0.17"/>
    <x v="90"/>
    <s v="Yes"/>
    <s v="Jan 2024 IAS review and lodgement"/>
    <x v="1"/>
    <s v="Wednesday"/>
  </r>
  <r>
    <d v="2024-02-07T00:00:00"/>
    <x v="46"/>
    <s v="IAS/BAS Preparation &amp; Lodgement - Jan"/>
    <n v="0.17"/>
    <x v="59"/>
    <s v="Yes"/>
    <s v="Jan 2024 IAS review and lodgement"/>
    <x v="1"/>
    <s v="Wednesday"/>
  </r>
  <r>
    <d v="2024-02-07T00:00:00"/>
    <x v="46"/>
    <s v="IAS/BAS Preparation &amp; Lodgement - Jan"/>
    <n v="0.17"/>
    <x v="80"/>
    <s v="Yes"/>
    <s v="Jan 2024 IAS review and lodgement"/>
    <x v="1"/>
    <s v="Wednesday"/>
  </r>
  <r>
    <d v="2024-02-07T00:00:00"/>
    <x v="46"/>
    <s v="IAS/BAS Preparation &amp; Lodgement - Jan"/>
    <n v="0.17"/>
    <x v="25"/>
    <s v="Yes"/>
    <s v="Jan 2024 IAS review and lodgement"/>
    <x v="1"/>
    <s v="Wednesday"/>
  </r>
  <r>
    <d v="2024-02-07T00:00:00"/>
    <x v="46"/>
    <s v="IAS/BAS Preparation &amp; Lodgement - Jan"/>
    <n v="0.17"/>
    <x v="88"/>
    <s v="Yes"/>
    <s v="Jan 2024 IAS review and lodgement"/>
    <x v="1"/>
    <s v="Wednesday"/>
  </r>
  <r>
    <d v="2024-02-07T00:00:00"/>
    <x v="46"/>
    <s v="IAS/BAS Preparation &amp; Lodgement - Jan"/>
    <n v="0.17"/>
    <x v="18"/>
    <s v="Yes"/>
    <s v="Jan 2024 IAS review and lodgement"/>
    <x v="1"/>
    <s v="Wednesday"/>
  </r>
  <r>
    <d v="2024-02-07T00:00:00"/>
    <x v="47"/>
    <s v="Bookkeeping"/>
    <n v="0.2"/>
    <x v="64"/>
    <s v="Yes"/>
    <s v="Tim's email re recoding some exp"/>
    <x v="1"/>
    <s v="Wednesday"/>
  </r>
  <r>
    <d v="2024-02-07T00:00:00"/>
    <x v="47"/>
    <s v="Bookkeeping"/>
    <n v="0.6"/>
    <x v="50"/>
    <s v="Yes"/>
    <s v="Leave prov BAM and BELCR, LTI prov BASS"/>
    <x v="1"/>
    <s v="Wednesday"/>
  </r>
  <r>
    <d v="2024-02-07T00:00:00"/>
    <x v="47"/>
    <s v="Bookkeeping"/>
    <n v="1"/>
    <x v="50"/>
    <s v="Yes"/>
    <s v="calculate franking credit BELCR, liaise with Sam"/>
    <x v="1"/>
    <s v="Wednesday"/>
  </r>
  <r>
    <d v="2024-02-07T00:00:00"/>
    <x v="47"/>
    <s v="Bookkeeping"/>
    <n v="1.5"/>
    <x v="50"/>
    <s v="Yes"/>
    <s v="BLM - BS rec"/>
    <x v="1"/>
    <s v="Wednesday"/>
  </r>
  <r>
    <d v="2024-02-07T00:00:00"/>
    <x v="47"/>
    <s v="Client Admin"/>
    <n v="0.2"/>
    <x v="12"/>
    <s v="No"/>
    <s v="Discuss ASIC fees for RIL with Nick &amp; Shalini"/>
    <x v="1"/>
    <s v="Wednesday"/>
  </r>
  <r>
    <d v="2024-02-07T00:00:00"/>
    <x v="47"/>
    <s v="Client Manager"/>
    <n v="0.4"/>
    <x v="50"/>
    <s v="Yes"/>
    <s v="email, teams"/>
    <x v="1"/>
    <s v="Wednesday"/>
  </r>
  <r>
    <d v="2024-02-07T00:00:00"/>
    <x v="47"/>
    <s v="Client Meeting"/>
    <n v="0.8"/>
    <x v="64"/>
    <s v="Yes"/>
    <s v="Tim &amp; Nick"/>
    <x v="1"/>
    <s v="Wednesday"/>
  </r>
  <r>
    <d v="2024-02-07T00:00:00"/>
    <x v="47"/>
    <s v="General"/>
    <n v="0.3"/>
    <x v="12"/>
    <s v="No"/>
    <s v="timesheet, asana "/>
    <x v="1"/>
    <s v="Wednesday"/>
  </r>
  <r>
    <d v="2024-02-07T00:00:00"/>
    <x v="47"/>
    <s v="IAS/BAS Preparation &amp; Lodgement - Oct-Dec"/>
    <n v="1"/>
    <x v="50"/>
    <s v="Yes"/>
    <s v="BAM BAS - BAS check list and GST review, email re Dec PAYG"/>
    <x v="1"/>
    <s v="Wednesday"/>
  </r>
  <r>
    <d v="2024-02-07T00:00:00"/>
    <x v="47"/>
    <s v="Meetings"/>
    <n v="0.9"/>
    <x v="12"/>
    <s v="No"/>
    <s v="Catch up Ali"/>
    <x v="1"/>
    <s v="Wednesday"/>
  </r>
  <r>
    <d v="2024-02-07T00:00:00"/>
    <x v="48"/>
    <s v="General"/>
    <n v="8"/>
    <x v="12"/>
    <s v="No"/>
    <s v="- revise reminder re conflict of interest register email and register form - coordinate Guia's promotion (seek approvla and prepare letter) - check CM's requirements, confirm starting date - coordinate new HMO ID to Intellicare AM - respond to general queries"/>
    <x v="1"/>
    <s v="Wednesday"/>
  </r>
  <r>
    <d v="2024-02-08T00:00:00"/>
    <x v="0"/>
    <s v="Bookkeeping"/>
    <n v="0.03"/>
    <x v="4"/>
    <s v="Yes"/>
    <s v="Email"/>
    <x v="1"/>
    <s v="Thursday"/>
  </r>
  <r>
    <d v="2024-02-08T00:00:00"/>
    <x v="0"/>
    <s v="Bookkeeping"/>
    <n v="0.08"/>
    <x v="7"/>
    <s v="Yes"/>
    <s v="Bank Reconciliation"/>
    <x v="1"/>
    <s v="Thursday"/>
  </r>
  <r>
    <d v="2024-02-08T00:00:00"/>
    <x v="0"/>
    <s v="Bookkeeping"/>
    <n v="0.08"/>
    <x v="13"/>
    <s v="Yes"/>
    <s v="Email"/>
    <x v="1"/>
    <s v="Thursday"/>
  </r>
  <r>
    <d v="2024-02-08T00:00:00"/>
    <x v="0"/>
    <s v="Bookkeeping"/>
    <n v="0.08"/>
    <x v="2"/>
    <s v="Yes"/>
    <s v="Emails"/>
    <x v="1"/>
    <s v="Thursday"/>
  </r>
  <r>
    <d v="2024-02-08T00:00:00"/>
    <x v="0"/>
    <s v="Bookkeeping"/>
    <n v="0.1"/>
    <x v="4"/>
    <s v="Yes"/>
    <s v="Bank Reconciliation"/>
    <x v="1"/>
    <s v="Thursday"/>
  </r>
  <r>
    <d v="2024-02-08T00:00:00"/>
    <x v="0"/>
    <s v="Bookkeeping"/>
    <n v="0.1"/>
    <x v="4"/>
    <s v="Yes"/>
    <s v="Email/Inbox Management"/>
    <x v="1"/>
    <s v="Thursday"/>
  </r>
  <r>
    <d v="2024-02-08T00:00:00"/>
    <x v="0"/>
    <s v="Bookkeeping"/>
    <n v="0.2"/>
    <x v="6"/>
    <s v="Yes"/>
    <s v="Email"/>
    <x v="1"/>
    <s v="Thursday"/>
  </r>
  <r>
    <d v="2024-02-08T00:00:00"/>
    <x v="0"/>
    <s v="Bookkeeping"/>
    <n v="0.2"/>
    <x v="3"/>
    <s v="Yes"/>
    <s v="Clear AP inbox and Submit bill for approval in Xero"/>
    <x v="1"/>
    <s v="Thursday"/>
  </r>
  <r>
    <d v="2024-02-08T00:00:00"/>
    <x v="0"/>
    <s v="Bookkeeping"/>
    <n v="0.22"/>
    <x v="4"/>
    <s v="Yes"/>
    <s v="AP and Manual Journal"/>
    <x v="1"/>
    <s v="Thursday"/>
  </r>
  <r>
    <d v="2024-02-08T00:00:00"/>
    <x v="0"/>
    <s v="Bookkeeping"/>
    <n v="0.22"/>
    <x v="3"/>
    <s v="Yes"/>
    <s v="Submit bills for approval in Xero"/>
    <x v="1"/>
    <s v="Thursday"/>
  </r>
  <r>
    <d v="2024-02-08T00:00:00"/>
    <x v="0"/>
    <s v="Bookkeeping"/>
    <n v="0.23"/>
    <x v="11"/>
    <s v="Yes"/>
    <s v="Bank Reconciliation"/>
    <x v="1"/>
    <s v="Thursday"/>
  </r>
  <r>
    <d v="2024-02-08T00:00:00"/>
    <x v="0"/>
    <s v="Bookkeeping"/>
    <n v="0.27"/>
    <x v="2"/>
    <s v="Yes"/>
    <s v="AP and Manual Journals"/>
    <x v="1"/>
    <s v="Thursday"/>
  </r>
  <r>
    <d v="2024-02-08T00:00:00"/>
    <x v="0"/>
    <s v="Bookkeeping"/>
    <n v="0.28000000000000003"/>
    <x v="4"/>
    <s v="Yes"/>
    <s v="Accounts Payable"/>
    <x v="1"/>
    <s v="Thursday"/>
  </r>
  <r>
    <d v="2024-02-08T00:00:00"/>
    <x v="0"/>
    <s v="Bookkeeping"/>
    <n v="0.32"/>
    <x v="6"/>
    <s v="Yes"/>
    <s v="AP and Email/Inbox Management"/>
    <x v="1"/>
    <s v="Thursday"/>
  </r>
  <r>
    <d v="2024-02-08T00:00:00"/>
    <x v="0"/>
    <s v="Bookkeeping"/>
    <n v="0.45"/>
    <x v="9"/>
    <s v="Yes"/>
    <s v="Bank Reconciliation"/>
    <x v="1"/>
    <s v="Thursday"/>
  </r>
  <r>
    <d v="2024-02-08T00:00:00"/>
    <x v="0"/>
    <s v="Bookkeeping"/>
    <n v="0.65"/>
    <x v="2"/>
    <s v="Yes"/>
    <s v="Add new account in CoA, Email/Inbox Management and Manual Journals"/>
    <x v="1"/>
    <s v="Thursday"/>
  </r>
  <r>
    <d v="2024-02-08T00:00:00"/>
    <x v="0"/>
    <s v="Bookkeeping"/>
    <n v="1"/>
    <x v="62"/>
    <s v="Yes"/>
    <s v="Emails and Re-code Transactions"/>
    <x v="1"/>
    <s v="Thursday"/>
  </r>
  <r>
    <d v="2024-02-08T00:00:00"/>
    <x v="0"/>
    <s v="Client Meeting"/>
    <n v="0.87"/>
    <x v="2"/>
    <s v="No"/>
    <s v="Meeting with Nicole"/>
    <x v="1"/>
    <s v="Thursday"/>
  </r>
  <r>
    <d v="2024-02-08T00:00:00"/>
    <x v="0"/>
    <s v="General"/>
    <n v="0.08"/>
    <x v="12"/>
    <s v="No"/>
    <s v="Set automatic replies in Outlook and Complete timesheet in XPM"/>
    <x v="1"/>
    <s v="Thursday"/>
  </r>
  <r>
    <d v="2024-02-08T00:00:00"/>
    <x v="0"/>
    <s v="General"/>
    <n v="0.25"/>
    <x v="12"/>
    <s v="No"/>
    <s v="Afternoon Break"/>
    <x v="1"/>
    <s v="Thursday"/>
  </r>
  <r>
    <d v="2024-02-08T00:00:00"/>
    <x v="0"/>
    <s v="General"/>
    <n v="0.25"/>
    <x v="12"/>
    <s v="No"/>
    <s v="Morning Break"/>
    <x v="1"/>
    <s v="Thursday"/>
  </r>
  <r>
    <d v="2024-02-08T00:00:00"/>
    <x v="0"/>
    <s v="General"/>
    <n v="0.5"/>
    <x v="12"/>
    <s v="No"/>
    <s v="Engagement Activity"/>
    <x v="1"/>
    <s v="Thursday"/>
  </r>
  <r>
    <d v="2024-02-08T00:00:00"/>
    <x v="0"/>
    <s v="Meetings"/>
    <n v="1.23"/>
    <x v="12"/>
    <s v="No"/>
    <s v="Team Huddle"/>
    <x v="1"/>
    <s v="Thursday"/>
  </r>
  <r>
    <d v="2024-02-08T00:00:00"/>
    <x v="0"/>
    <s v="Payroll Processing"/>
    <n v="0.3"/>
    <x v="8"/>
    <s v="Yes"/>
    <m/>
    <x v="1"/>
    <s v="Thursday"/>
  </r>
  <r>
    <d v="2024-02-08T00:00:00"/>
    <x v="49"/>
    <s v="P&amp;C Advisory - Group"/>
    <n v="1"/>
    <x v="63"/>
    <s v="Yes"/>
    <s v="Review of Guide Us for Global HR policies and communication to the business re. required adherance Email introduction re. recruitment"/>
    <x v="1"/>
    <s v="Thursday"/>
  </r>
  <r>
    <d v="2024-02-08T00:00:00"/>
    <x v="49"/>
    <s v="P&amp;C Advisory - Nordfab"/>
    <n v="1"/>
    <x v="63"/>
    <s v="Yes"/>
    <s v="Coordinate interview - Warehouse role Correspondence re. email accounts for warehouse team Onboarding process for newhire"/>
    <x v="1"/>
    <s v="Thursday"/>
  </r>
  <r>
    <d v="2024-02-08T00:00:00"/>
    <x v="1"/>
    <s v="Bookkeeping"/>
    <n v="0.22"/>
    <x v="64"/>
    <s v="Yes"/>
    <s v="setup external teams with Capspace team"/>
    <x v="1"/>
    <s v="Thursday"/>
  </r>
  <r>
    <d v="2024-02-08T00:00:00"/>
    <x v="1"/>
    <s v="Bookkeeping"/>
    <n v="0.4"/>
    <x v="64"/>
    <s v="Yes"/>
    <s v="email, unit register rec"/>
    <x v="1"/>
    <s v="Thursday"/>
  </r>
  <r>
    <d v="2024-02-08T00:00:00"/>
    <x v="1"/>
    <s v="Bookkeeping"/>
    <n v="0.6"/>
    <x v="64"/>
    <s v="Yes"/>
    <s v="month end "/>
    <x v="1"/>
    <s v="Thursday"/>
  </r>
  <r>
    <d v="2024-02-08T00:00:00"/>
    <x v="1"/>
    <s v="Bookkeeping"/>
    <n v="1.35"/>
    <x v="64"/>
    <s v="Yes"/>
    <s v="loans rec, units register rec, double check files received"/>
    <x v="1"/>
    <s v="Thursday"/>
  </r>
  <r>
    <d v="2024-02-08T00:00:00"/>
    <x v="1"/>
    <s v="Bookkeeping"/>
    <n v="1.45"/>
    <x v="64"/>
    <s v="Yes"/>
    <s v="unit register rec"/>
    <x v="1"/>
    <s v="Thursday"/>
  </r>
  <r>
    <d v="2024-02-08T00:00:00"/>
    <x v="1"/>
    <s v="General"/>
    <n v="0.32"/>
    <x v="12"/>
    <s v="No"/>
    <s v="chats, emails, Asana"/>
    <x v="1"/>
    <s v="Thursday"/>
  </r>
  <r>
    <d v="2024-02-08T00:00:00"/>
    <x v="1"/>
    <s v="General"/>
    <n v="0.37"/>
    <x v="12"/>
    <s v="No"/>
    <s v="check Irish's deliverables next week and confirm back ups, as required, check BAS, etc"/>
    <x v="1"/>
    <s v="Thursday"/>
  </r>
  <r>
    <d v="2024-02-08T00:00:00"/>
    <x v="1"/>
    <s v="General"/>
    <n v="0.45"/>
    <x v="12"/>
    <s v="No"/>
    <s v="break"/>
    <x v="1"/>
    <s v="Thursday"/>
  </r>
  <r>
    <d v="2024-02-08T00:00:00"/>
    <x v="1"/>
    <s v="General"/>
    <n v="0.48"/>
    <x v="12"/>
    <s v="No"/>
    <s v="Engagement Activity"/>
    <x v="1"/>
    <s v="Thursday"/>
  </r>
  <r>
    <d v="2024-02-08T00:00:00"/>
    <x v="1"/>
    <s v="General"/>
    <n v="0.9"/>
    <x v="12"/>
    <s v="No"/>
    <s v="chats, update weekly huddle file, emails, capacity, etc"/>
    <x v="1"/>
    <s v="Thursday"/>
  </r>
  <r>
    <d v="2024-02-08T00:00:00"/>
    <x v="1"/>
    <s v="Meetings"/>
    <n v="1.48"/>
    <x v="12"/>
    <s v="No"/>
    <s v="Weekly huddle"/>
    <x v="1"/>
    <s v="Thursday"/>
  </r>
  <r>
    <d v="2024-02-08T00:00:00"/>
    <x v="2"/>
    <s v="Bookkeeping"/>
    <n v="0.27"/>
    <x v="74"/>
    <s v="Yes"/>
    <s v="Checking supplier and account"/>
    <x v="1"/>
    <s v="Thursday"/>
  </r>
  <r>
    <d v="2024-02-08T00:00:00"/>
    <x v="2"/>
    <s v="Bookkeeping"/>
    <n v="0.82"/>
    <x v="72"/>
    <s v="Yes"/>
    <s v="Entering bills and recon"/>
    <x v="1"/>
    <s v="Thursday"/>
  </r>
  <r>
    <d v="2024-02-08T00:00:00"/>
    <x v="2"/>
    <s v="Bookkeeping"/>
    <n v="3.37"/>
    <x v="74"/>
    <s v="Yes"/>
    <s v="Exporting bank transactions for updating bank recon."/>
    <x v="1"/>
    <s v="Thursday"/>
  </r>
  <r>
    <d v="2024-02-08T00:00:00"/>
    <x v="2"/>
    <s v="General"/>
    <n v="2.12"/>
    <x v="12"/>
    <s v="No"/>
    <s v="Checking ASANA and other Admin task"/>
    <x v="1"/>
    <s v="Thursday"/>
  </r>
  <r>
    <d v="2024-02-08T00:00:00"/>
    <x v="2"/>
    <s v="Meetings"/>
    <n v="0.67"/>
    <x v="12"/>
    <s v="No"/>
    <s v="Weekly Huddle "/>
    <x v="1"/>
    <s v="Thursday"/>
  </r>
  <r>
    <d v="2024-02-08T00:00:00"/>
    <x v="2"/>
    <s v="Meetings"/>
    <n v="0.77"/>
    <x v="12"/>
    <s v="No"/>
    <s v="February Engagement Activity."/>
    <x v="1"/>
    <s v="Thursday"/>
  </r>
  <r>
    <d v="2024-02-08T00:00:00"/>
    <x v="3"/>
    <s v="Business Development"/>
    <n v="8"/>
    <x v="12"/>
    <s v="No"/>
    <s v="meetings and finalizing multiple flows"/>
    <x v="1"/>
    <s v="Thursday"/>
  </r>
  <r>
    <d v="2024-02-08T00:00:00"/>
    <x v="4"/>
    <s v="Business Development"/>
    <n v="6"/>
    <x v="12"/>
    <s v="No"/>
    <m/>
    <x v="1"/>
    <s v="Thursday"/>
  </r>
  <r>
    <d v="2024-02-08T00:00:00"/>
    <x v="4"/>
    <s v="CFO Advisory"/>
    <n v="1.5"/>
    <x v="34"/>
    <s v="Yes"/>
    <s v="Second CFO session to walk through business priority areas and future plan. Elena and Carly attended. Only charge for one person."/>
    <x v="1"/>
    <s v="Thursday"/>
  </r>
  <r>
    <d v="2024-02-08T00:00:00"/>
    <x v="5"/>
    <s v="Bookkeeping"/>
    <n v="1.4"/>
    <x v="16"/>
    <s v="Yes"/>
    <s v="Email Management "/>
    <x v="1"/>
    <s v="Thursday"/>
  </r>
  <r>
    <d v="2024-02-08T00:00:00"/>
    <x v="5"/>
    <s v="Bookkeeping"/>
    <n v="2.27"/>
    <x v="16"/>
    <s v="Yes"/>
    <s v="AP Processing"/>
    <x v="1"/>
    <s v="Thursday"/>
  </r>
  <r>
    <d v="2024-02-08T00:00:00"/>
    <x v="5"/>
    <s v="Bookkeeping"/>
    <n v="2.8"/>
    <x v="16"/>
    <s v="Yes"/>
    <s v="Simpro vs Xero Reconciliation"/>
    <x v="1"/>
    <s v="Thursday"/>
  </r>
  <r>
    <d v="2024-02-08T00:00:00"/>
    <x v="5"/>
    <s v="Meetings"/>
    <n v="1"/>
    <x v="12"/>
    <s v="No"/>
    <s v="Team Ann weekly huddle "/>
    <x v="1"/>
    <s v="Thursday"/>
  </r>
  <r>
    <d v="2024-02-08T00:00:00"/>
    <x v="5"/>
    <s v="Meetings"/>
    <n v="1"/>
    <x v="12"/>
    <s v="No"/>
    <s v="Valentine's Day Theme Trivia (Social Clubs) "/>
    <x v="1"/>
    <s v="Thursday"/>
  </r>
  <r>
    <d v="2024-02-08T00:00:00"/>
    <x v="6"/>
    <s v="Sick Leave"/>
    <n v="8"/>
    <x v="12"/>
    <s v="No"/>
    <m/>
    <x v="1"/>
    <s v="Thursday"/>
  </r>
  <r>
    <d v="2024-02-08T00:00:00"/>
    <x v="7"/>
    <s v="Automations"/>
    <n v="9.6"/>
    <x v="12"/>
    <s v="No"/>
    <m/>
    <x v="1"/>
    <s v="Thursday"/>
  </r>
  <r>
    <d v="2024-02-08T00:00:00"/>
    <x v="10"/>
    <s v="Automations"/>
    <n v="9.0299999999999994"/>
    <x v="12"/>
    <s v="No"/>
    <s v="Alliance Report Automation Development"/>
    <x v="1"/>
    <s v="Thursday"/>
  </r>
  <r>
    <d v="2024-02-08T00:00:00"/>
    <x v="11"/>
    <s v="Bookkeeping"/>
    <n v="0.17"/>
    <x v="25"/>
    <s v="No"/>
    <s v="checking client account"/>
    <x v="1"/>
    <s v="Thursday"/>
  </r>
  <r>
    <d v="2024-02-08T00:00:00"/>
    <x v="11"/>
    <s v="Bookkeeping"/>
    <n v="0.17"/>
    <x v="42"/>
    <s v="No"/>
    <s v="checking client account"/>
    <x v="1"/>
    <s v="Thursday"/>
  </r>
  <r>
    <d v="2024-02-08T00:00:00"/>
    <x v="11"/>
    <s v="Bookkeeping"/>
    <n v="1.75"/>
    <x v="42"/>
    <s v="Yes"/>
    <s v="Emails, loading bills, bank recon, AP file"/>
    <x v="1"/>
    <s v="Thursday"/>
  </r>
  <r>
    <d v="2024-02-08T00:00:00"/>
    <x v="11"/>
    <s v="Bookkeeping"/>
    <n v="5.17"/>
    <x v="25"/>
    <s v="Yes"/>
    <s v="Emails, loading bills, bank recon, weekly reports, AP payment"/>
    <x v="1"/>
    <s v="Thursday"/>
  </r>
  <r>
    <d v="2024-02-08T00:00:00"/>
    <x v="11"/>
    <s v="General"/>
    <n v="0.5"/>
    <x v="12"/>
    <s v="No"/>
    <s v="break"/>
    <x v="1"/>
    <s v="Thursday"/>
  </r>
  <r>
    <d v="2024-02-08T00:00:00"/>
    <x v="11"/>
    <s v="Payroll Processing"/>
    <n v="0.25"/>
    <x v="25"/>
    <s v="Yes"/>
    <s v="weekly payroll"/>
    <x v="1"/>
    <s v="Thursday"/>
  </r>
  <r>
    <d v="2024-02-08T00:00:00"/>
    <x v="12"/>
    <s v="CFO Advisory"/>
    <n v="2"/>
    <x v="34"/>
    <s v="Yes"/>
    <s v="Attend second CFO meeting. Follow-up email to the client with requirements"/>
    <x v="1"/>
    <s v="Thursday"/>
  </r>
  <r>
    <d v="2024-02-08T00:00:00"/>
    <x v="12"/>
    <s v="CFO Advisory"/>
    <n v="4.25"/>
    <x v="1"/>
    <s v="Yes"/>
    <s v="Update BIMAH project tracking Meeting with Eli re: aligning P&amp;L reporting to trust deed + options Update FY24 TGSF forecast, amend Xero for clarity, discuss draft with Eli, make further changes + resubmit"/>
    <x v="1"/>
    <s v="Thursday"/>
  </r>
  <r>
    <d v="2024-02-08T00:00:00"/>
    <x v="13"/>
    <s v="Financial Statements"/>
    <n v="0.57999999999999996"/>
    <x v="104"/>
    <s v="Yes"/>
    <s v="preparation of 2023 F/S and send to Rebecca for review; finalise billings "/>
    <x v="1"/>
    <s v="Thursday"/>
  </r>
  <r>
    <d v="2024-02-08T00:00:00"/>
    <x v="13"/>
    <s v="Financial Statements"/>
    <n v="0.57999999999999996"/>
    <x v="105"/>
    <s v="Yes"/>
    <s v="preparation of 2023 F/S and send to Rebecca for review; finalise billings "/>
    <x v="1"/>
    <s v="Thursday"/>
  </r>
  <r>
    <d v="2024-02-08T00:00:00"/>
    <x v="13"/>
    <s v="Trust Tax Returns"/>
    <n v="3"/>
    <x v="106"/>
    <s v="Yes"/>
    <s v="phone call with James regarding his meeting discussions with Anthony\ draft an email for James to email to Anthony which includes relevant law, fact, and questions to ask Anthony regarding losses, PSI and BRE rates. "/>
    <x v="1"/>
    <s v="Thursday"/>
  </r>
  <r>
    <d v="2024-02-08T00:00:00"/>
    <x v="14"/>
    <s v="Bookkeeping"/>
    <n v="0.22"/>
    <x v="8"/>
    <s v="Yes"/>
    <s v="accts review"/>
    <x v="1"/>
    <s v="Thursday"/>
  </r>
  <r>
    <d v="2024-02-08T00:00:00"/>
    <x v="14"/>
    <s v="Bookkeeping"/>
    <n v="0.48"/>
    <x v="34"/>
    <s v="Yes"/>
    <s v="outstanding bills"/>
    <x v="1"/>
    <s v="Thursday"/>
  </r>
  <r>
    <d v="2024-02-08T00:00:00"/>
    <x v="14"/>
    <s v="Bookkeeping"/>
    <n v="1.5"/>
    <x v="42"/>
    <s v="Yes"/>
    <s v="MET"/>
    <x v="1"/>
    <s v="Thursday"/>
  </r>
  <r>
    <d v="2024-02-08T00:00:00"/>
    <x v="14"/>
    <s v="General"/>
    <n v="0.47"/>
    <x v="12"/>
    <s v="No"/>
    <s v="check emails/teams, team reminders"/>
    <x v="1"/>
    <s v="Thursday"/>
  </r>
  <r>
    <d v="2024-02-08T00:00:00"/>
    <x v="14"/>
    <s v="Meetings"/>
    <n v="0.53"/>
    <x v="12"/>
    <s v="No"/>
    <s v="VALENTINE'S DAY THEME TRIVIA - February Engagement Activity"/>
    <x v="1"/>
    <s v="Thursday"/>
  </r>
  <r>
    <d v="2024-02-08T00:00:00"/>
    <x v="14"/>
    <s v="Meetings"/>
    <n v="1.45"/>
    <x v="12"/>
    <s v="No"/>
    <s v="team Ann"/>
    <x v="1"/>
    <s v="Thursday"/>
  </r>
  <r>
    <d v="2024-02-08T00:00:00"/>
    <x v="14"/>
    <s v="Payroll Processing"/>
    <n v="0.15"/>
    <x v="16"/>
    <s v="Yes"/>
    <s v="queries"/>
    <x v="1"/>
    <s v="Thursday"/>
  </r>
  <r>
    <d v="2024-02-08T00:00:00"/>
    <x v="14"/>
    <s v="Payroll Processing"/>
    <n v="0.45"/>
    <x v="16"/>
    <s v="Yes"/>
    <s v="upload &amp; approval"/>
    <x v="1"/>
    <s v="Thursday"/>
  </r>
  <r>
    <d v="2024-02-08T00:00:00"/>
    <x v="14"/>
    <s v="Payroll Processing"/>
    <n v="0.53"/>
    <x v="16"/>
    <s v="Yes"/>
    <s v="bank approval"/>
    <x v="1"/>
    <s v="Thursday"/>
  </r>
  <r>
    <d v="2024-02-08T00:00:00"/>
    <x v="14"/>
    <s v="Payroll Processing"/>
    <n v="0.82"/>
    <x v="16"/>
    <s v="Yes"/>
    <m/>
    <x v="1"/>
    <s v="Thursday"/>
  </r>
  <r>
    <d v="2024-02-08T00:00:00"/>
    <x v="14"/>
    <s v="Payroll Processing"/>
    <n v="1.52"/>
    <x v="16"/>
    <s v="Yes"/>
    <s v="review"/>
    <x v="1"/>
    <s v="Thursday"/>
  </r>
  <r>
    <d v="2024-02-08T00:00:00"/>
    <x v="15"/>
    <s v="General"/>
    <n v="9.73"/>
    <x v="12"/>
    <s v="No"/>
    <e v="#NAME?"/>
    <x v="1"/>
    <s v="Thursday"/>
  </r>
  <r>
    <d v="2024-02-08T00:00:00"/>
    <x v="16"/>
    <s v="Bookkeeping"/>
    <n v="0.32"/>
    <x v="32"/>
    <s v="Yes"/>
    <s v="ap payment"/>
    <x v="1"/>
    <s v="Thursday"/>
  </r>
  <r>
    <d v="2024-02-08T00:00:00"/>
    <x v="16"/>
    <s v="Bookkeeping"/>
    <n v="0.56999999999999995"/>
    <x v="32"/>
    <s v="Yes"/>
    <s v="bank recon"/>
    <x v="1"/>
    <s v="Thursday"/>
  </r>
  <r>
    <d v="2024-02-08T00:00:00"/>
    <x v="16"/>
    <s v="Bookkeeping"/>
    <n v="1.7"/>
    <x v="32"/>
    <s v="No"/>
    <s v="Review BS recon"/>
    <x v="1"/>
    <s v="Thursday"/>
  </r>
  <r>
    <d v="2024-02-08T00:00:00"/>
    <x v="16"/>
    <s v="Bookkeeping - AP"/>
    <n v="2.4300000000000002"/>
    <x v="33"/>
    <s v="Yes"/>
    <s v="approve ap invoice process ap invoice from inbox"/>
    <x v="1"/>
    <s v="Thursday"/>
  </r>
  <r>
    <d v="2024-02-08T00:00:00"/>
    <x v="16"/>
    <s v="General"/>
    <n v="0.5"/>
    <x v="12"/>
    <s v="No"/>
    <s v="break"/>
    <x v="1"/>
    <s v="Thursday"/>
  </r>
  <r>
    <d v="2024-02-08T00:00:00"/>
    <x v="16"/>
    <s v="Meetings"/>
    <n v="0.5"/>
    <x v="12"/>
    <s v="No"/>
    <m/>
    <x v="1"/>
    <s v="Thursday"/>
  </r>
  <r>
    <d v="2024-02-08T00:00:00"/>
    <x v="16"/>
    <s v="Meetings"/>
    <n v="0.5"/>
    <x v="12"/>
    <s v="No"/>
    <s v="call with Ms.Rose (hand over)"/>
    <x v="1"/>
    <s v="Thursday"/>
  </r>
  <r>
    <d v="2024-02-08T00:00:00"/>
    <x v="16"/>
    <s v="Meetings"/>
    <n v="1.48"/>
    <x v="12"/>
    <s v="No"/>
    <s v="team huddle"/>
    <x v="1"/>
    <s v="Thursday"/>
  </r>
  <r>
    <d v="2024-02-08T00:00:00"/>
    <x v="17"/>
    <s v="Bookkeeping"/>
    <n v="0.3"/>
    <x v="107"/>
    <s v="Yes"/>
    <s v="Bank recs"/>
    <x v="1"/>
    <s v="Thursday"/>
  </r>
  <r>
    <d v="2024-02-08T00:00:00"/>
    <x v="17"/>
    <s v="General"/>
    <n v="1"/>
    <x v="12"/>
    <s v="No"/>
    <s v="Checking asana tasks and creating a list of tasks for next week due to leave"/>
    <x v="1"/>
    <s v="Thursday"/>
  </r>
  <r>
    <d v="2024-02-08T00:00:00"/>
    <x v="17"/>
    <s v="Management Reporting"/>
    <n v="0.4"/>
    <x v="34"/>
    <s v="Yes"/>
    <s v="Cashflow update"/>
    <x v="1"/>
    <s v="Thursday"/>
  </r>
  <r>
    <d v="2024-02-08T00:00:00"/>
    <x v="17"/>
    <s v="Management Reporting"/>
    <n v="1"/>
    <x v="34"/>
    <s v="Yes"/>
    <s v="BS Recs"/>
    <x v="1"/>
    <s v="Thursday"/>
  </r>
  <r>
    <d v="2024-02-08T00:00:00"/>
    <x v="17"/>
    <s v="Management Reporting"/>
    <n v="1"/>
    <x v="107"/>
    <s v="Yes"/>
    <s v="BS Recs"/>
    <x v="1"/>
    <s v="Thursday"/>
  </r>
  <r>
    <d v="2024-02-08T00:00:00"/>
    <x v="17"/>
    <s v="Management Reporting"/>
    <n v="1.18"/>
    <x v="107"/>
    <s v="Yes"/>
    <s v="BS Rec"/>
    <x v="1"/>
    <s v="Thursday"/>
  </r>
  <r>
    <d v="2024-02-08T00:00:00"/>
    <x v="17"/>
    <s v="Management Reporting"/>
    <n v="1.25"/>
    <x v="34"/>
    <s v="Yes"/>
    <s v="BS Rec"/>
    <x v="1"/>
    <s v="Thursday"/>
  </r>
  <r>
    <d v="2024-02-08T00:00:00"/>
    <x v="17"/>
    <s v="Meetings"/>
    <n v="0.45"/>
    <x v="12"/>
    <s v="No"/>
    <s v="Team Engagement activity"/>
    <x v="1"/>
    <s v="Thursday"/>
  </r>
  <r>
    <d v="2024-02-08T00:00:00"/>
    <x v="17"/>
    <s v="Meetings"/>
    <n v="1.48"/>
    <x v="12"/>
    <s v="No"/>
    <s v="Team Huddle"/>
    <x v="1"/>
    <s v="Thursday"/>
  </r>
  <r>
    <d v="2024-02-08T00:00:00"/>
    <x v="17"/>
    <s v="Payroll Processing"/>
    <n v="0.18"/>
    <x v="37"/>
    <s v="Yes"/>
    <s v="Clearing payroll inbox"/>
    <x v="1"/>
    <s v="Thursday"/>
  </r>
  <r>
    <d v="2024-02-08T00:00:00"/>
    <x v="17"/>
    <s v="Payroll Processing"/>
    <n v="0.45"/>
    <x v="14"/>
    <s v="Yes"/>
    <s v="AL/LSL accrual"/>
    <x v="1"/>
    <s v="Thursday"/>
  </r>
  <r>
    <d v="2024-02-08T00:00:00"/>
    <x v="17"/>
    <s v="Payroll Processing"/>
    <n v="0.62"/>
    <x v="37"/>
    <s v="Yes"/>
    <s v="Checking emails and reports"/>
    <x v="1"/>
    <s v="Thursday"/>
  </r>
  <r>
    <d v="2024-02-08T00:00:00"/>
    <x v="17"/>
    <s v="Payroll Processing"/>
    <n v="0.88"/>
    <x v="37"/>
    <s v="Yes"/>
    <s v="Exporting &amp; saving Payroll reports, PAYG Rec"/>
    <x v="1"/>
    <s v="Thursday"/>
  </r>
  <r>
    <d v="2024-02-08T00:00:00"/>
    <x v="17"/>
    <s v="Payroll Processing"/>
    <n v="1"/>
    <x v="14"/>
    <s v="Yes"/>
    <s v="Payroll journals"/>
    <x v="1"/>
    <s v="Thursday"/>
  </r>
  <r>
    <d v="2024-02-08T00:00:00"/>
    <x v="18"/>
    <s v="General"/>
    <n v="0.2"/>
    <x v="12"/>
    <s v="No"/>
    <s v="chat with Rac, holdsworth month end"/>
    <x v="1"/>
    <s v="Thursday"/>
  </r>
  <r>
    <d v="2024-02-08T00:00:00"/>
    <x v="18"/>
    <s v="General"/>
    <n v="0.22"/>
    <x v="12"/>
    <s v="No"/>
    <s v="emails/ asana and XPM"/>
    <x v="1"/>
    <s v="Thursday"/>
  </r>
  <r>
    <d v="2024-02-08T00:00:00"/>
    <x v="18"/>
    <s v="General"/>
    <n v="0.87"/>
    <x v="12"/>
    <s v="No"/>
    <s v="complete self review"/>
    <x v="1"/>
    <s v="Thursday"/>
  </r>
  <r>
    <d v="2024-02-08T00:00:00"/>
    <x v="18"/>
    <s v="General"/>
    <n v="1.03"/>
    <x v="12"/>
    <s v="No"/>
    <s v="review process flows provided by Ali"/>
    <x v="1"/>
    <s v="Thursday"/>
  </r>
  <r>
    <d v="2024-02-08T00:00:00"/>
    <x v="18"/>
    <s v="General"/>
    <n v="1.6"/>
    <x v="12"/>
    <s v="No"/>
    <s v="continue reviewing process flows"/>
    <x v="1"/>
    <s v="Thursday"/>
  </r>
  <r>
    <d v="2024-02-08T00:00:00"/>
    <x v="18"/>
    <s v="General"/>
    <n v="3.77"/>
    <x v="12"/>
    <s v="No"/>
    <s v="review process flows"/>
    <x v="1"/>
    <s v="Thursday"/>
  </r>
  <r>
    <d v="2024-02-08T00:00:00"/>
    <x v="18"/>
    <s v="Management Reporting"/>
    <n v="1"/>
    <x v="36"/>
    <s v="No"/>
    <s v="assist Rac management reporting - dashboard"/>
    <x v="1"/>
    <s v="Thursday"/>
  </r>
  <r>
    <d v="2024-02-08T00:00:00"/>
    <x v="18"/>
    <s v="Meetings"/>
    <n v="0.45"/>
    <x v="12"/>
    <s v="No"/>
    <s v="enaggement activity"/>
    <x v="1"/>
    <s v="Thursday"/>
  </r>
  <r>
    <d v="2024-02-08T00:00:00"/>
    <x v="18"/>
    <s v="Payroll Processing"/>
    <n v="0.3"/>
    <x v="36"/>
    <s v="No"/>
    <s v="assist Rac on payroll"/>
    <x v="1"/>
    <s v="Thursday"/>
  </r>
  <r>
    <d v="2024-02-08T00:00:00"/>
    <x v="19"/>
    <s v="Bookkeeping"/>
    <n v="0.75"/>
    <x v="36"/>
    <s v="Yes"/>
    <s v="Forgot to Time stamp"/>
    <x v="1"/>
    <s v="Thursday"/>
  </r>
  <r>
    <d v="2024-02-08T00:00:00"/>
    <x v="19"/>
    <s v="Bookkeeping"/>
    <n v="6.08"/>
    <x v="36"/>
    <s v="Yes"/>
    <m/>
    <x v="1"/>
    <s v="Thursday"/>
  </r>
  <r>
    <d v="2024-02-08T00:00:00"/>
    <x v="19"/>
    <s v="Meetings"/>
    <n v="0.47"/>
    <x v="12"/>
    <s v="No"/>
    <s v="Engagement"/>
    <x v="1"/>
    <s v="Thursday"/>
  </r>
  <r>
    <d v="2024-02-08T00:00:00"/>
    <x v="19"/>
    <s v="Meetings"/>
    <n v="0.62"/>
    <x v="12"/>
    <s v="No"/>
    <s v="Team RJ"/>
    <x v="1"/>
    <s v="Thursday"/>
  </r>
  <r>
    <d v="2024-02-08T00:00:00"/>
    <x v="20"/>
    <s v="P&amp;C Advisory"/>
    <n v="0.25"/>
    <x v="37"/>
    <s v="Yes"/>
    <s v="Phone screen - Finance role"/>
    <x v="1"/>
    <s v="Thursday"/>
  </r>
  <r>
    <d v="2024-02-08T00:00:00"/>
    <x v="20"/>
    <s v="P&amp;C Advisory"/>
    <n v="0.5"/>
    <x v="37"/>
    <s v="Yes"/>
    <s v="Phone screen x 1"/>
    <x v="1"/>
    <s v="Thursday"/>
  </r>
  <r>
    <d v="2024-02-08T00:00:00"/>
    <x v="20"/>
    <s v="P&amp;C Advisory"/>
    <n v="2.2000000000000002"/>
    <x v="38"/>
    <s v="Yes"/>
    <s v="Contracts x 3 Addendum x 1 Letter of support - visa/sponsorship Pavan Soma "/>
    <x v="1"/>
    <s v="Thursday"/>
  </r>
  <r>
    <d v="2024-02-08T00:00:00"/>
    <x v="20"/>
    <s v="P&amp;C Advisory"/>
    <n v="2.4500000000000002"/>
    <x v="37"/>
    <s v="Yes"/>
    <s v="Phone screens Finance Role"/>
    <x v="1"/>
    <s v="Thursday"/>
  </r>
  <r>
    <d v="2024-02-08T00:00:00"/>
    <x v="20"/>
    <s v="P&amp;C Advisory"/>
    <n v="3"/>
    <x v="38"/>
    <s v="Yes"/>
    <s v="Mgt with Head HR Mtg with Head HR &amp; COO Phone Screen - Abhishek "/>
    <x v="1"/>
    <s v="Thursday"/>
  </r>
  <r>
    <d v="2024-02-08T00:00:00"/>
    <x v="21"/>
    <s v="Bookkeeping"/>
    <n v="0.5"/>
    <x v="39"/>
    <s v="Yes"/>
    <s v="AP items, bank recon"/>
    <x v="1"/>
    <s v="Thursday"/>
  </r>
  <r>
    <d v="2024-02-08T00:00:00"/>
    <x v="21"/>
    <s v="Bookkeeping"/>
    <n v="0.72"/>
    <x v="41"/>
    <s v="Yes"/>
    <s v="Finishing up all reconciling item sent by client for January 2024"/>
    <x v="1"/>
    <s v="Thursday"/>
  </r>
  <r>
    <d v="2024-02-08T00:00:00"/>
    <x v="21"/>
    <s v="Bookkeeping"/>
    <n v="1.18"/>
    <x v="41"/>
    <s v="Yes"/>
    <s v="CC Recon, AP Emails, Emails queries"/>
    <x v="1"/>
    <s v="Thursday"/>
  </r>
  <r>
    <d v="2024-02-08T00:00:00"/>
    <x v="21"/>
    <s v="Bookkeeping"/>
    <n v="1.25"/>
    <x v="28"/>
    <s v="Yes"/>
    <s v="Finalise BS Recon for Livwire &amp; Fintech sent to Shalini for review."/>
    <x v="1"/>
    <s v="Thursday"/>
  </r>
  <r>
    <d v="2024-02-08T00:00:00"/>
    <x v="21"/>
    <s v="Bookkeeping"/>
    <n v="2"/>
    <x v="36"/>
    <s v="Yes"/>
    <s v="AP Bills Review"/>
    <x v="1"/>
    <s v="Thursday"/>
  </r>
  <r>
    <d v="2024-02-08T00:00:00"/>
    <x v="21"/>
    <s v="General"/>
    <n v="0.56999999999999995"/>
    <x v="12"/>
    <s v="No"/>
    <s v="VALENTINE'S DAY THEME TRIVIA - February Engagement Activity"/>
    <x v="1"/>
    <s v="Thursday"/>
  </r>
  <r>
    <d v="2024-02-08T00:00:00"/>
    <x v="21"/>
    <s v="Meetings"/>
    <n v="0.6"/>
    <x v="12"/>
    <s v="No"/>
    <s v="Team weekly catch-up"/>
    <x v="1"/>
    <s v="Thursday"/>
  </r>
  <r>
    <d v="2024-02-08T00:00:00"/>
    <x v="21"/>
    <s v="Meetings"/>
    <n v="1.27"/>
    <x v="12"/>
    <s v="No"/>
    <m/>
    <x v="1"/>
    <s v="Thursday"/>
  </r>
  <r>
    <d v="2024-02-08T00:00:00"/>
    <x v="22"/>
    <s v="Automations"/>
    <n v="8"/>
    <x v="12"/>
    <s v="No"/>
    <s v="Fintech Equity Pty Ltd - Bank Reconciliation Automation"/>
    <x v="1"/>
    <s v="Thursday"/>
  </r>
  <r>
    <d v="2024-02-08T00:00:00"/>
    <x v="23"/>
    <s v="Automations"/>
    <n v="8"/>
    <x v="12"/>
    <s v="No"/>
    <m/>
    <x v="1"/>
    <s v="Thursday"/>
  </r>
  <r>
    <d v="2024-02-08T00:00:00"/>
    <x v="24"/>
    <s v="Automations"/>
    <n v="8"/>
    <x v="12"/>
    <s v="No"/>
    <s v="Run: LOC Part 1 and 2 Testing: Email Trigger Automation BIT Meeting Conduct Weekly Commit in GitHub"/>
    <x v="1"/>
    <s v="Thursday"/>
  </r>
  <r>
    <d v="2024-02-08T00:00:00"/>
    <x v="25"/>
    <s v="Bookkeeping"/>
    <n v="0.3"/>
    <x v="42"/>
    <s v="Yes"/>
    <s v="Nine / Ten accounts reveiw"/>
    <x v="1"/>
    <s v="Thursday"/>
  </r>
  <r>
    <d v="2024-02-08T00:00:00"/>
    <x v="25"/>
    <s v="Bookkeeping"/>
    <n v="0.33"/>
    <x v="43"/>
    <s v="Yes"/>
    <s v="SEt up new VA and pay via Airwallex plus Azariah payment"/>
    <x v="1"/>
    <s v="Thursday"/>
  </r>
  <r>
    <d v="2024-02-08T00:00:00"/>
    <x v="25"/>
    <s v="Bookkeeping"/>
    <n v="0.75"/>
    <x v="42"/>
    <s v="Yes"/>
    <m/>
    <x v="1"/>
    <s v="Thursday"/>
  </r>
  <r>
    <d v="2024-02-08T00:00:00"/>
    <x v="25"/>
    <s v="Bookkeeping"/>
    <n v="1.2"/>
    <x v="42"/>
    <s v="Yes"/>
    <s v="Determine accounts and process for Nine / Ten payments"/>
    <x v="1"/>
    <s v="Thursday"/>
  </r>
  <r>
    <d v="2024-02-08T00:00:00"/>
    <x v="25"/>
    <s v="Client Admin"/>
    <n v="0.05"/>
    <x v="12"/>
    <s v="No"/>
    <s v="Call to Emma Mulhollland re fees - VM"/>
    <x v="1"/>
    <s v="Thursday"/>
  </r>
  <r>
    <d v="2024-02-08T00:00:00"/>
    <x v="25"/>
    <s v="Client Admin"/>
    <n v="0.7"/>
    <x v="12"/>
    <s v="No"/>
    <s v="Emails, review PHG ff proposal, teams message"/>
    <x v="1"/>
    <s v="Thursday"/>
  </r>
  <r>
    <d v="2024-02-08T00:00:00"/>
    <x v="25"/>
    <s v="Client Meeting"/>
    <n v="0.25"/>
    <x v="42"/>
    <s v="Yes"/>
    <s v="Call with client re Nine / Ten advertiting"/>
    <x v="1"/>
    <s v="Thursday"/>
  </r>
  <r>
    <d v="2024-02-08T00:00:00"/>
    <x v="25"/>
    <s v="Client Meeting"/>
    <n v="0.33"/>
    <x v="42"/>
    <s v="Yes"/>
    <s v="Catch up meeting wtth client"/>
    <x v="1"/>
    <s v="Thursday"/>
  </r>
  <r>
    <d v="2024-02-08T00:00:00"/>
    <x v="25"/>
    <s v="General"/>
    <n v="0.18"/>
    <x v="12"/>
    <s v="No"/>
    <s v="Emails, teams"/>
    <x v="1"/>
    <s v="Thursday"/>
  </r>
  <r>
    <d v="2024-02-08T00:00:00"/>
    <x v="25"/>
    <s v="General"/>
    <n v="0.25"/>
    <x v="12"/>
    <s v="No"/>
    <s v="Teams messages and check email"/>
    <x v="1"/>
    <s v="Thursday"/>
  </r>
  <r>
    <d v="2024-02-08T00:00:00"/>
    <x v="25"/>
    <s v="General"/>
    <n v="0.25"/>
    <x v="12"/>
    <s v="No"/>
    <s v="Teams, update to OneFocus group re handover to Nicole."/>
    <x v="1"/>
    <s v="Thursday"/>
  </r>
  <r>
    <d v="2024-02-08T00:00:00"/>
    <x v="25"/>
    <s v="General"/>
    <n v="0.57999999999999996"/>
    <x v="12"/>
    <s v="No"/>
    <s v="Social event"/>
    <x v="1"/>
    <s v="Thursday"/>
  </r>
  <r>
    <d v="2024-02-08T00:00:00"/>
    <x v="25"/>
    <s v="IAS/BAS Preparation &amp; Lodgement - Oct-Dec"/>
    <n v="0.27"/>
    <x v="52"/>
    <s v="Yes"/>
    <s v="BAS checklist and send to team"/>
    <x v="1"/>
    <s v="Thursday"/>
  </r>
  <r>
    <d v="2024-02-08T00:00:00"/>
    <x v="25"/>
    <s v="Meetings"/>
    <n v="0.83"/>
    <x v="12"/>
    <s v="No"/>
    <s v="Meeting with Ali"/>
    <x v="1"/>
    <s v="Thursday"/>
  </r>
  <r>
    <d v="2024-02-08T00:00:00"/>
    <x v="25"/>
    <s v="Payroll Processing"/>
    <n v="1.75"/>
    <x v="37"/>
    <s v="Yes"/>
    <s v="Review costing issues"/>
    <x v="1"/>
    <s v="Thursday"/>
  </r>
  <r>
    <d v="2024-02-08T00:00:00"/>
    <x v="25"/>
    <s v="Payroll Processing"/>
    <n v="3.23"/>
    <x v="37"/>
    <s v="Yes"/>
    <s v="Creation of budget FY2025 template - not strictly in scope of service but given errors identified in journals include as part of fixed fee."/>
    <x v="1"/>
    <s v="Thursday"/>
  </r>
  <r>
    <d v="2024-02-08T00:00:00"/>
    <x v="51"/>
    <s v="General"/>
    <n v="0.08"/>
    <x v="12"/>
    <s v="No"/>
    <s v="Conflict of Interest Form (None) - Dexterous"/>
    <x v="1"/>
    <s v="Thursday"/>
  </r>
  <r>
    <d v="2024-02-08T00:00:00"/>
    <x v="51"/>
    <s v="General"/>
    <n v="0.5"/>
    <x v="12"/>
    <s v="No"/>
    <s v="Test Login 'CV Check' &amp; Manager Approvals - Ze"/>
    <x v="1"/>
    <s v="Thursday"/>
  </r>
  <r>
    <d v="2024-02-08T00:00:00"/>
    <x v="51"/>
    <s v="Meetings"/>
    <n v="0.5"/>
    <x v="12"/>
    <s v="No"/>
    <s v="Discuss 'CV Check' Process &amp; Compliance Protocols (William) - Ze"/>
    <x v="1"/>
    <s v="Thursday"/>
  </r>
  <r>
    <d v="2024-02-08T00:00:00"/>
    <x v="51"/>
    <s v="Meetings"/>
    <n v="0.5"/>
    <x v="12"/>
    <s v="No"/>
    <s v="Trivia - February 2024 Engagement Activity - Dexterous"/>
    <x v="1"/>
    <s v="Thursday"/>
  </r>
  <r>
    <d v="2024-02-08T00:00:00"/>
    <x v="51"/>
    <s v="P&amp;C Advisory - Group"/>
    <n v="1"/>
    <x v="63"/>
    <s v="Yes"/>
    <s v="Obtain Qualifications &amp; Police Check Permission (William) - Accountant - Nederman - Alison &amp; Ze"/>
    <x v="1"/>
    <s v="Thursday"/>
  </r>
  <r>
    <d v="2024-02-08T00:00:00"/>
    <x v="51"/>
    <s v="P&amp;C Advisory - Nordfab"/>
    <n v="0.17"/>
    <x v="63"/>
    <s v="Yes"/>
    <s v="Adjust Start Date 19/02/2024 (Zeljko) - Workshop Hand/Storeperson - VIC - Nordfab - Alison_x0009_"/>
    <x v="1"/>
    <s v="Thursday"/>
  </r>
  <r>
    <d v="2024-02-08T00:00:00"/>
    <x v="51"/>
    <s v="P&amp;C Advisory - Nordfab"/>
    <n v="0.17"/>
    <x v="63"/>
    <s v="Yes"/>
    <s v="Schedule &amp; Confirm Face-to-Face Interview (David) - Factory Hand/Warehouse Assistant - NSW - Nordfab - Alison"/>
    <x v="1"/>
    <s v="Thursday"/>
  </r>
  <r>
    <d v="2024-02-08T00:00:00"/>
    <x v="51"/>
    <s v="P&amp;C Advisory - Nordfab"/>
    <n v="0.25"/>
    <x v="63"/>
    <s v="Yes"/>
    <s v="Review Seek Applications - Sheet Metal Worker - NSW - Nordfab - Alison"/>
    <x v="1"/>
    <s v="Thursday"/>
  </r>
  <r>
    <d v="2024-02-08T00:00:00"/>
    <x v="51"/>
    <s v="P&amp;C Advisory - Nordfab"/>
    <n v="0.25"/>
    <x v="63"/>
    <s v="Yes"/>
    <s v="Telephone Screen - Sheet Metal Worker (Younes) - NSW - Nordfab - Alison"/>
    <x v="1"/>
    <s v="Thursday"/>
  </r>
  <r>
    <d v="2024-02-08T00:00:00"/>
    <x v="26"/>
    <s v="Client Meeting"/>
    <n v="0.08"/>
    <x v="107"/>
    <s v="Yes"/>
    <s v="Responding to Irish's query"/>
    <x v="1"/>
    <s v="Thursday"/>
  </r>
  <r>
    <d v="2024-02-08T00:00:00"/>
    <x v="26"/>
    <s v="Client Meeting"/>
    <n v="0.1"/>
    <x v="107"/>
    <s v="Yes"/>
    <s v="Catch up with Irish"/>
    <x v="1"/>
    <s v="Thursday"/>
  </r>
  <r>
    <d v="2024-02-08T00:00:00"/>
    <x v="26"/>
    <s v="Client Meeting"/>
    <n v="0.13"/>
    <x v="22"/>
    <s v="No"/>
    <s v="Attending to Gen's queries and Shalini too."/>
    <x v="1"/>
    <s v="Thursday"/>
  </r>
  <r>
    <d v="2024-02-08T00:00:00"/>
    <x v="26"/>
    <s v="Client Meeting"/>
    <n v="0.2"/>
    <x v="107"/>
    <s v="Yes"/>
    <s v="Attending to Irish Queries and generating reports"/>
    <x v="1"/>
    <s v="Thursday"/>
  </r>
  <r>
    <d v="2024-02-08T00:00:00"/>
    <x v="26"/>
    <s v="Client Meeting"/>
    <n v="0.3"/>
    <x v="52"/>
    <s v="Yes"/>
    <s v="Meeting with MaryAnne"/>
    <x v="1"/>
    <s v="Thursday"/>
  </r>
  <r>
    <d v="2024-02-08T00:00:00"/>
    <x v="26"/>
    <s v="Client Meeting"/>
    <n v="0.73"/>
    <x v="12"/>
    <s v="No"/>
    <s v="Catch up meeting with Finance Team"/>
    <x v="1"/>
    <s v="Thursday"/>
  </r>
  <r>
    <d v="2024-02-08T00:00:00"/>
    <x v="26"/>
    <s v="General"/>
    <n v="0.03"/>
    <x v="12"/>
    <s v="No"/>
    <s v="XPM"/>
    <x v="1"/>
    <s v="Thursday"/>
  </r>
  <r>
    <d v="2024-02-08T00:00:00"/>
    <x v="26"/>
    <s v="General"/>
    <n v="0.25"/>
    <x v="12"/>
    <s v="No"/>
    <s v="15 mins coffee breaks as paid per Labor Code of the Philippines, Article 85. ( Afternoon Break )  "/>
    <x v="1"/>
    <s v="Thursday"/>
  </r>
  <r>
    <d v="2024-02-08T00:00:00"/>
    <x v="26"/>
    <s v="General"/>
    <n v="0.25"/>
    <x v="12"/>
    <s v="No"/>
    <s v="15 mins coffee breaks as paid per Labor Code of the Philippines, Article 85. ( Morning Break ) "/>
    <x v="1"/>
    <s v="Thursday"/>
  </r>
  <r>
    <d v="2024-02-08T00:00:00"/>
    <x v="26"/>
    <s v="IAS/BAS Preparation &amp; Lodgement - Jan"/>
    <n v="0.05"/>
    <x v="34"/>
    <s v="Yes"/>
    <s v="XPM updates"/>
    <x v="1"/>
    <s v="Thursday"/>
  </r>
  <r>
    <d v="2024-02-08T00:00:00"/>
    <x v="26"/>
    <s v="IAS/BAS Preparation &amp; Lodgement - Jan"/>
    <n v="7.0000000000000007E-2"/>
    <x v="34"/>
    <s v="Yes"/>
    <s v="Xero updates"/>
    <x v="1"/>
    <s v="Thursday"/>
  </r>
  <r>
    <d v="2024-02-08T00:00:00"/>
    <x v="26"/>
    <s v="IAS/BAS Preparation &amp; Lodgement - Oct-Dec"/>
    <n v="0.08"/>
    <x v="62"/>
    <s v="No"/>
    <s v="Recieved email from Sylie regarding BAS under THE TRUSTEE FOR CAPSPACEPRIVATE DEBT FUND"/>
    <x v="1"/>
    <s v="Thursday"/>
  </r>
  <r>
    <d v="2024-02-08T00:00:00"/>
    <x v="26"/>
    <s v="IAS/BAS Preparation &amp; Lodgement - Oct-Dec"/>
    <n v="0.3"/>
    <x v="80"/>
    <s v="Yes"/>
    <m/>
    <x v="1"/>
    <s v="Thursday"/>
  </r>
  <r>
    <d v="2024-02-08T00:00:00"/>
    <x v="26"/>
    <s v="IAS/BAS Preparation &amp; Lodgement - Oct-Dec"/>
    <n v="0.52"/>
    <x v="52"/>
    <s v="Yes"/>
    <s v="Variance Further digging"/>
    <x v="1"/>
    <s v="Thursday"/>
  </r>
  <r>
    <d v="2024-02-08T00:00:00"/>
    <x v="26"/>
    <s v="IAS/BAS Preparation &amp; Lodgement - Oct-Dec"/>
    <n v="0.52"/>
    <x v="11"/>
    <s v="Yes"/>
    <m/>
    <x v="1"/>
    <s v="Thursday"/>
  </r>
  <r>
    <d v="2024-02-08T00:00:00"/>
    <x v="26"/>
    <s v="IAS/BAS Preparation &amp; Lodgement - Oct-Dec"/>
    <n v="1.58"/>
    <x v="52"/>
    <s v="No"/>
    <s v="Dec. 2023 BAS"/>
    <x v="1"/>
    <s v="Thursday"/>
  </r>
  <r>
    <d v="2024-02-08T00:00:00"/>
    <x v="26"/>
    <s v="IT"/>
    <n v="0.37"/>
    <x v="12"/>
    <s v="No"/>
    <s v="ASANA slow moving and downtime"/>
    <x v="1"/>
    <s v="Thursday"/>
  </r>
  <r>
    <d v="2024-02-08T00:00:00"/>
    <x v="26"/>
    <s v="IT"/>
    <n v="1"/>
    <x v="12"/>
    <s v="No"/>
    <s v="&gt;Morning email &gt;Asana Troubleshooting &gt;ReUpdating Asana &gt;Slow internet connection"/>
    <x v="1"/>
    <s v="Thursday"/>
  </r>
  <r>
    <d v="2024-02-08T00:00:00"/>
    <x v="26"/>
    <s v="Meetings"/>
    <n v="0.57999999999999996"/>
    <x v="12"/>
    <s v="No"/>
    <s v="Team Activity"/>
    <x v="1"/>
    <s v="Thursday"/>
  </r>
  <r>
    <d v="2024-02-08T00:00:00"/>
    <x v="26"/>
    <s v="Tax Admin"/>
    <n v="0.17"/>
    <x v="12"/>
    <s v="No"/>
    <s v="Other adhoc"/>
    <x v="1"/>
    <s v="Thursday"/>
  </r>
  <r>
    <d v="2024-02-08T00:00:00"/>
    <x v="26"/>
    <s v="Tax Admin"/>
    <n v="0.7"/>
    <x v="12"/>
    <s v="No"/>
    <s v="&gt;BAS/IAS transition &gt;Responding to queries &gt;Sent an email to Dex team &gt;Updates Asana"/>
    <x v="1"/>
    <s v="Thursday"/>
  </r>
  <r>
    <d v="2024-02-08T00:00:00"/>
    <x v="27"/>
    <s v="Meetings"/>
    <n v="0.5"/>
    <x v="12"/>
    <s v="No"/>
    <s v="Team Global meeting"/>
    <x v="1"/>
    <s v="Thursday"/>
  </r>
  <r>
    <d v="2024-02-08T00:00:00"/>
    <x v="27"/>
    <s v="P&amp;C Advisory"/>
    <n v="7.5"/>
    <x v="19"/>
    <s v="Yes"/>
    <s v="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
    <x v="1"/>
    <s v="Thursday"/>
  </r>
  <r>
    <d v="2024-02-08T00:00:00"/>
    <x v="28"/>
    <s v="Bookkeeping"/>
    <n v="1.57"/>
    <x v="49"/>
    <s v="Yes"/>
    <m/>
    <x v="1"/>
    <s v="Thursday"/>
  </r>
  <r>
    <d v="2024-02-08T00:00:00"/>
    <x v="28"/>
    <s v="Bookkeeping"/>
    <n v="4.53"/>
    <x v="16"/>
    <s v="Yes"/>
    <m/>
    <x v="1"/>
    <s v="Thursday"/>
  </r>
  <r>
    <d v="2024-02-08T00:00:00"/>
    <x v="28"/>
    <s v="General"/>
    <n v="0.25"/>
    <x v="12"/>
    <s v="No"/>
    <s v="Inbox clean up"/>
    <x v="1"/>
    <s v="Thursday"/>
  </r>
  <r>
    <d v="2024-02-08T00:00:00"/>
    <x v="28"/>
    <s v="Meetings"/>
    <n v="0.5"/>
    <x v="12"/>
    <s v="No"/>
    <s v="Event - Feb 2024"/>
    <x v="1"/>
    <s v="Thursday"/>
  </r>
  <r>
    <d v="2024-02-08T00:00:00"/>
    <x v="28"/>
    <s v="Meetings"/>
    <n v="0.65"/>
    <x v="12"/>
    <s v="No"/>
    <s v="1:1 with Ralph"/>
    <x v="1"/>
    <s v="Thursday"/>
  </r>
  <r>
    <d v="2024-02-08T00:00:00"/>
    <x v="28"/>
    <s v="Meetings"/>
    <n v="0.87"/>
    <x v="12"/>
    <s v="No"/>
    <s v="Team Huddle, includes emails/inbox clean up and Asana"/>
    <x v="1"/>
    <s v="Thursday"/>
  </r>
  <r>
    <d v="2024-02-08T00:00:00"/>
    <x v="29"/>
    <s v="Bookkeeping"/>
    <n v="1"/>
    <x v="49"/>
    <s v="Yes"/>
    <s v="Meeting to discuss tax follow up email with James Livingston review ATO accounts Msg Gen re: GIC  Check BAS &amp; pass onto Tim for prep"/>
    <x v="1"/>
    <s v="Thursday"/>
  </r>
  <r>
    <d v="2024-02-08T00:00:00"/>
    <x v="30"/>
    <s v="Debt Collection"/>
    <n v="0.5"/>
    <x v="36"/>
    <s v="Yes"/>
    <m/>
    <x v="1"/>
    <s v="Thursday"/>
  </r>
  <r>
    <d v="2024-02-08T00:00:00"/>
    <x v="30"/>
    <s v="Debt Collection"/>
    <n v="2.5"/>
    <x v="12"/>
    <s v="Yes"/>
    <m/>
    <x v="1"/>
    <s v="Thursday"/>
  </r>
  <r>
    <d v="2024-02-08T00:00:00"/>
    <x v="30"/>
    <s v="Debt Collection"/>
    <n v="3"/>
    <x v="16"/>
    <s v="Yes"/>
    <m/>
    <x v="1"/>
    <s v="Thursday"/>
  </r>
  <r>
    <d v="2024-02-08T00:00:00"/>
    <x v="30"/>
    <s v="Meetings"/>
    <n v="0.5"/>
    <x v="12"/>
    <s v="No"/>
    <s v="Team activity"/>
    <x v="1"/>
    <s v="Thursday"/>
  </r>
  <r>
    <d v="2024-02-08T00:00:00"/>
    <x v="30"/>
    <s v="Meetings"/>
    <n v="1.5"/>
    <x v="12"/>
    <s v="No"/>
    <s v="Huddle"/>
    <x v="1"/>
    <s v="Thursday"/>
  </r>
  <r>
    <d v="2024-02-08T00:00:00"/>
    <x v="31"/>
    <s v="Bookkeeping"/>
    <n v="0.92"/>
    <x v="12"/>
    <s v="No"/>
    <s v="Compliance - 2316 checking / signature"/>
    <x v="1"/>
    <s v="Thursday"/>
  </r>
  <r>
    <d v="2024-02-08T00:00:00"/>
    <x v="31"/>
    <s v="Client Meeting"/>
    <n v="0.6"/>
    <x v="12"/>
    <s v="No"/>
    <s v="team activity"/>
    <x v="1"/>
    <s v="Thursday"/>
  </r>
  <r>
    <d v="2024-02-08T00:00:00"/>
    <x v="31"/>
    <s v="Client Meeting"/>
    <n v="1.1299999999999999"/>
    <x v="12"/>
    <s v="No"/>
    <s v="emails / payroll approval / AP booking"/>
    <x v="1"/>
    <s v="Thursday"/>
  </r>
  <r>
    <d v="2024-02-08T00:00:00"/>
    <x v="31"/>
    <s v="Client Meeting"/>
    <n v="1.18"/>
    <x v="12"/>
    <s v="No"/>
    <s v="admin catch up"/>
    <x v="1"/>
    <s v="Thursday"/>
  </r>
  <r>
    <d v="2024-02-08T00:00:00"/>
    <x v="31"/>
    <s v="Management Reporting"/>
    <n v="1.07"/>
    <x v="16"/>
    <s v="Yes"/>
    <m/>
    <x v="1"/>
    <s v="Thursday"/>
  </r>
  <r>
    <d v="2024-02-08T00:00:00"/>
    <x v="31"/>
    <s v="Management Reporting"/>
    <n v="1.63"/>
    <x v="12"/>
    <s v="No"/>
    <s v="month-end"/>
    <x v="1"/>
    <s v="Thursday"/>
  </r>
  <r>
    <d v="2024-02-08T00:00:00"/>
    <x v="31"/>
    <s v="Management Reporting"/>
    <n v="2.15"/>
    <x v="12"/>
    <s v="No"/>
    <s v="month-end / consolidation / online request to add Ali in BDO online banking / AU payroll dispute form"/>
    <x v="1"/>
    <s v="Thursday"/>
  </r>
  <r>
    <d v="2024-02-08T00:00:00"/>
    <x v="32"/>
    <s v="Bookkeeping"/>
    <n v="0.23"/>
    <x v="108"/>
    <s v="Yes"/>
    <s v="Bank reconciliation"/>
    <x v="1"/>
    <s v="Thursday"/>
  </r>
  <r>
    <d v="2024-02-08T00:00:00"/>
    <x v="32"/>
    <s v="Bookkeeping"/>
    <n v="0.35"/>
    <x v="51"/>
    <s v="Yes"/>
    <s v="Balance Sheet Reconciliation BM"/>
    <x v="1"/>
    <s v="Thursday"/>
  </r>
  <r>
    <d v="2024-02-08T00:00:00"/>
    <x v="32"/>
    <s v="Bookkeeping"/>
    <n v="5.77"/>
    <x v="51"/>
    <s v="Yes"/>
    <s v="Continuation of BS Recs for LOC Inc Email Management Bills raise to Xero Bank Reconciliation Loc Inc and BM Approving sales to a2x Balance Sheet reconciliation BM"/>
    <x v="1"/>
    <s v="Thursday"/>
  </r>
  <r>
    <d v="2024-02-08T00:00:00"/>
    <x v="32"/>
    <s v="General"/>
    <n v="0.5"/>
    <x v="12"/>
    <s v="No"/>
    <s v="Break"/>
    <x v="1"/>
    <s v="Thursday"/>
  </r>
  <r>
    <d v="2024-02-08T00:00:00"/>
    <x v="32"/>
    <s v="Meetings"/>
    <n v="0.53"/>
    <x v="12"/>
    <s v="No"/>
    <s v="Social Clubs - Engagement Activity"/>
    <x v="1"/>
    <s v="Thursday"/>
  </r>
  <r>
    <d v="2024-02-08T00:00:00"/>
    <x v="32"/>
    <s v="Meetings"/>
    <n v="0.63"/>
    <x v="12"/>
    <s v="No"/>
    <s v="Team Huddle"/>
    <x v="1"/>
    <s v="Thursday"/>
  </r>
  <r>
    <d v="2024-02-08T00:00:00"/>
    <x v="33"/>
    <s v="IT"/>
    <n v="9"/>
    <x v="12"/>
    <s v="No"/>
    <s v="Support with team"/>
    <x v="1"/>
    <s v="Thursday"/>
  </r>
  <r>
    <d v="2024-02-08T00:00:00"/>
    <x v="34"/>
    <s v="Bookkeeping"/>
    <n v="0.28000000000000003"/>
    <x v="6"/>
    <s v="Yes"/>
    <s v="Balance Sheet Recon "/>
    <x v="1"/>
    <s v="Thursday"/>
  </r>
  <r>
    <d v="2024-02-08T00:00:00"/>
    <x v="34"/>
    <s v="Bookkeeping"/>
    <n v="1.65"/>
    <x v="52"/>
    <s v="Yes"/>
    <s v="Email Management Bills Processing Bank and Credit Card Recon"/>
    <x v="1"/>
    <s v="Thursday"/>
  </r>
  <r>
    <d v="2024-02-08T00:00:00"/>
    <x v="34"/>
    <s v="Bookkeeping"/>
    <n v="3.4"/>
    <x v="15"/>
    <s v="Yes"/>
    <s v="Bills Processing Supplier's Batch Payment  Bank Recon"/>
    <x v="1"/>
    <s v="Thursday"/>
  </r>
  <r>
    <d v="2024-02-08T00:00:00"/>
    <x v="34"/>
    <s v="General"/>
    <n v="0.13"/>
    <x v="12"/>
    <s v="No"/>
    <s v="Call meeting with LM re: Richbox BAS  Email Management Asana Task clean up  Dexterous Team Engagement Activity "/>
    <x v="1"/>
    <s v="Thursday"/>
  </r>
  <r>
    <d v="2024-02-08T00:00:00"/>
    <x v="34"/>
    <s v="General"/>
    <n v="1.1000000000000001"/>
    <x v="12"/>
    <s v="No"/>
    <m/>
    <x v="1"/>
    <s v="Thursday"/>
  </r>
  <r>
    <d v="2024-02-08T00:00:00"/>
    <x v="34"/>
    <s v="Meetings"/>
    <n v="1.45"/>
    <x v="12"/>
    <s v="No"/>
    <s v="Team Ann Weekly Huddle meeting"/>
    <x v="1"/>
    <s v="Thursday"/>
  </r>
  <r>
    <d v="2024-02-08T00:00:00"/>
    <x v="35"/>
    <s v="Accounts"/>
    <n v="0.88"/>
    <x v="12"/>
    <s v="No"/>
    <s v="Update Asana tasks"/>
    <x v="1"/>
    <s v="Thursday"/>
  </r>
  <r>
    <d v="2024-02-08T00:00:00"/>
    <x v="35"/>
    <s v="Accounts"/>
    <n v="0.98"/>
    <x v="53"/>
    <s v="No"/>
    <s v="AP Run for the week, prepare BDO files and request to Nick"/>
    <x v="1"/>
    <s v="Thursday"/>
  </r>
  <r>
    <d v="2024-02-08T00:00:00"/>
    <x v="35"/>
    <s v="Accounts"/>
    <n v="2.75"/>
    <x v="12"/>
    <s v="No"/>
    <s v="Catch up emails./bank recs update/process bills also."/>
    <x v="1"/>
    <s v="Thursday"/>
  </r>
  <r>
    <d v="2024-02-08T00:00:00"/>
    <x v="35"/>
    <s v="Compliance"/>
    <n v="0.62"/>
    <x v="53"/>
    <s v="No"/>
    <s v="BIR working file preparation for 0619E and 1601C for January 2024 and initial filing (for review) - RO - done 05 Feb 2024"/>
    <x v="1"/>
    <s v="Thursday"/>
  </r>
  <r>
    <d v="2024-02-08T00:00:00"/>
    <x v="35"/>
    <s v="Compliance"/>
    <n v="0.83"/>
    <x v="53"/>
    <s v="No"/>
    <s v="BIR working file preparation for 0619E and 1601C for the month of January 2024 and initial filing (for review) - PH Branch - done 05 Feb 2024"/>
    <x v="1"/>
    <s v="Thursday"/>
  </r>
  <r>
    <d v="2024-02-08T00:00:00"/>
    <x v="35"/>
    <s v="General"/>
    <n v="0.55000000000000004"/>
    <x v="12"/>
    <s v="No"/>
    <s v="Valentine's Day Trivia"/>
    <x v="1"/>
    <s v="Thursday"/>
  </r>
  <r>
    <d v="2024-02-08T00:00:00"/>
    <x v="35"/>
    <s v="Payroll Processing"/>
    <n v="1.42"/>
    <x v="53"/>
    <s v="No"/>
    <s v="Coordination, checking, reuploading and email Nick/Con  for the status"/>
    <x v="1"/>
    <s v="Thursday"/>
  </r>
  <r>
    <d v="2024-02-08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
    <x v="1"/>
    <s v="Thursday"/>
  </r>
  <r>
    <d v="2024-02-08T00:00:00"/>
    <x v="37"/>
    <s v="Bookkeeping"/>
    <n v="0.25"/>
    <x v="103"/>
    <s v="Yes"/>
    <m/>
    <x v="1"/>
    <s v="Thursday"/>
  </r>
  <r>
    <d v="2024-02-08T00:00:00"/>
    <x v="37"/>
    <s v="Bookkeeping"/>
    <n v="0.5"/>
    <x v="84"/>
    <s v="Yes"/>
    <s v="bank reco and supplier bills"/>
    <x v="1"/>
    <s v="Thursday"/>
  </r>
  <r>
    <d v="2024-02-08T00:00:00"/>
    <x v="37"/>
    <s v="Bookkeeping"/>
    <n v="0.5"/>
    <x v="83"/>
    <s v="Yes"/>
    <m/>
    <x v="1"/>
    <s v="Thursday"/>
  </r>
  <r>
    <d v="2024-02-08T00:00:00"/>
    <x v="37"/>
    <s v="Bookkeeping"/>
    <n v="0.5"/>
    <x v="59"/>
    <s v="Yes"/>
    <m/>
    <x v="1"/>
    <s v="Thursday"/>
  </r>
  <r>
    <d v="2024-02-08T00:00:00"/>
    <x v="37"/>
    <s v="Bookkeeping"/>
    <n v="0.5"/>
    <x v="85"/>
    <s v="Yes"/>
    <m/>
    <x v="1"/>
    <s v="Thursday"/>
  </r>
  <r>
    <d v="2024-02-08T00:00:00"/>
    <x v="37"/>
    <s v="Bookkeeping"/>
    <n v="1"/>
    <x v="19"/>
    <s v="No"/>
    <s v="watching video"/>
    <x v="1"/>
    <s v="Thursday"/>
  </r>
  <r>
    <d v="2024-02-08T00:00:00"/>
    <x v="37"/>
    <s v="IAS/BAS Preparation &amp; Lodgement - Feb"/>
    <n v="0.25"/>
    <x v="59"/>
    <s v="Yes"/>
    <m/>
    <x v="1"/>
    <s v="Thursday"/>
  </r>
  <r>
    <d v="2024-02-08T00:00:00"/>
    <x v="37"/>
    <s v="Management Reporting"/>
    <n v="0.25"/>
    <x v="59"/>
    <s v="Yes"/>
    <s v="review PL and follow up on invoices"/>
    <x v="1"/>
    <s v="Thursday"/>
  </r>
  <r>
    <d v="2024-02-08T00:00:00"/>
    <x v="37"/>
    <s v="Management Reporting"/>
    <n v="1.5"/>
    <x v="59"/>
    <s v="Yes"/>
    <s v="stripe reco"/>
    <x v="1"/>
    <s v="Thursday"/>
  </r>
  <r>
    <d v="2024-02-08T00:00:00"/>
    <x v="37"/>
    <s v="Payroll Processing"/>
    <n v="0.25"/>
    <x v="84"/>
    <s v="Yes"/>
    <s v="Bne and BGS filing to ato and payslips"/>
    <x v="1"/>
    <s v="Thursday"/>
  </r>
  <r>
    <d v="2024-02-08T00:00:00"/>
    <x v="38"/>
    <s v="Client Manager"/>
    <n v="0.4"/>
    <x v="54"/>
    <s v="Yes"/>
    <s v="Review of new marketing strategy"/>
    <x v="1"/>
    <s v="Thursday"/>
  </r>
  <r>
    <d v="2024-02-08T00:00:00"/>
    <x v="38"/>
    <s v="Client Manager"/>
    <n v="0.87"/>
    <x v="2"/>
    <s v="No"/>
    <s v="Meeting with Aileen on insurance and manual journals and checks from AgriCHain"/>
    <x v="1"/>
    <s v="Thursday"/>
  </r>
  <r>
    <d v="2024-02-08T00:00:00"/>
    <x v="38"/>
    <s v="Client Manager"/>
    <n v="2.3199999999999998"/>
    <x v="2"/>
    <s v="Yes"/>
    <s v="emails, teams, Asana follow up on month end"/>
    <x v="1"/>
    <s v="Thursday"/>
  </r>
  <r>
    <d v="2024-02-08T00:00:00"/>
    <x v="38"/>
    <s v="Client Meeting"/>
    <n v="0.97"/>
    <x v="2"/>
    <s v="Yes"/>
    <s v="Meeting with Stuart on month end"/>
    <x v="1"/>
    <s v="Thursday"/>
  </r>
  <r>
    <d v="2024-02-08T00:00:00"/>
    <x v="38"/>
    <s v="General"/>
    <n v="0.95"/>
    <x v="12"/>
    <s v="No"/>
    <s v="emails, teams, Asana"/>
    <x v="1"/>
    <s v="Thursday"/>
  </r>
  <r>
    <d v="2024-02-08T00:00:00"/>
    <x v="38"/>
    <s v="Meetings"/>
    <n v="0.5"/>
    <x v="12"/>
    <s v="No"/>
    <s v="monthly engagement meeting"/>
    <x v="1"/>
    <s v="Thursday"/>
  </r>
  <r>
    <d v="2024-02-08T00:00:00"/>
    <x v="39"/>
    <s v="Bookkeeping"/>
    <n v="0.48"/>
    <x v="55"/>
    <s v="Yes"/>
    <m/>
    <x v="1"/>
    <s v="Thursday"/>
  </r>
  <r>
    <d v="2024-02-08T00:00:00"/>
    <x v="39"/>
    <s v="Bookkeeping"/>
    <n v="1.22"/>
    <x v="55"/>
    <s v="Yes"/>
    <s v="Supplier Recs January"/>
    <x v="1"/>
    <s v="Thursday"/>
  </r>
  <r>
    <d v="2024-02-08T00:00:00"/>
    <x v="39"/>
    <s v="Bookkeeping"/>
    <n v="3.05"/>
    <x v="55"/>
    <s v="Yes"/>
    <s v="AP, emails and Supplier Recs "/>
    <x v="1"/>
    <s v="Thursday"/>
  </r>
  <r>
    <d v="2024-02-08T00:00:00"/>
    <x v="39"/>
    <s v="General"/>
    <n v="0.12"/>
    <x v="12"/>
    <s v="No"/>
    <s v="sending email invite and asana"/>
    <x v="1"/>
    <s v="Thursday"/>
  </r>
  <r>
    <d v="2024-02-08T00:00:00"/>
    <x v="39"/>
    <s v="General"/>
    <n v="0.32"/>
    <x v="12"/>
    <s v="No"/>
    <s v="wyzed"/>
    <x v="1"/>
    <s v="Thursday"/>
  </r>
  <r>
    <d v="2024-02-08T00:00:00"/>
    <x v="39"/>
    <s v="General"/>
    <n v="0.72"/>
    <x v="12"/>
    <s v="No"/>
    <s v="Dext - wyzed"/>
    <x v="1"/>
    <s v="Thursday"/>
  </r>
  <r>
    <d v="2024-02-08T00:00:00"/>
    <x v="39"/>
    <s v="Meetings"/>
    <n v="0.53"/>
    <x v="12"/>
    <s v="No"/>
    <s v="Engagement Activity"/>
    <x v="1"/>
    <s v="Thursday"/>
  </r>
  <r>
    <d v="2024-02-08T00:00:00"/>
    <x v="39"/>
    <s v="Meetings"/>
    <n v="1.48"/>
    <x v="12"/>
    <s v="No"/>
    <s v="Team Ann huddle"/>
    <x v="1"/>
    <s v="Thursday"/>
  </r>
  <r>
    <d v="2024-02-08T00:00:00"/>
    <x v="40"/>
    <s v="General"/>
    <n v="0.3"/>
    <x v="12"/>
    <s v="No"/>
    <s v="Dex emails"/>
    <x v="1"/>
    <s v="Thursday"/>
  </r>
  <r>
    <d v="2024-02-08T00:00:00"/>
    <x v="40"/>
    <s v="Management Reporting"/>
    <n v="1.98"/>
    <x v="36"/>
    <s v="Yes"/>
    <m/>
    <x v="1"/>
    <s v="Thursday"/>
  </r>
  <r>
    <d v="2024-02-08T00:00:00"/>
    <x v="40"/>
    <s v="Meetings"/>
    <n v="0.57999999999999996"/>
    <x v="12"/>
    <s v="No"/>
    <s v="Team huddle"/>
    <x v="1"/>
    <s v="Thursday"/>
  </r>
  <r>
    <d v="2024-02-08T00:00:00"/>
    <x v="40"/>
    <s v="Payroll Processing"/>
    <n v="0.85"/>
    <x v="36"/>
    <s v="Yes"/>
    <s v="Updates payroll changes in casuals"/>
    <x v="1"/>
    <s v="Thursday"/>
  </r>
  <r>
    <d v="2024-02-08T00:00:00"/>
    <x v="40"/>
    <s v="Payroll Processing"/>
    <n v="5.87"/>
    <x v="36"/>
    <s v="Yes"/>
    <m/>
    <x v="1"/>
    <s v="Thursday"/>
  </r>
  <r>
    <d v="2024-02-08T00:00:00"/>
    <x v="41"/>
    <s v="General"/>
    <n v="0.12"/>
    <x v="12"/>
    <s v="No"/>
    <s v="Emails - admin matters Asana Wyzed"/>
    <x v="1"/>
    <s v="Thursday"/>
  </r>
  <r>
    <d v="2024-02-08T00:00:00"/>
    <x v="41"/>
    <s v="General"/>
    <n v="1.4"/>
    <x v="12"/>
    <s v="No"/>
    <s v="Performance pro for regularisation Client profitabilty dashboard"/>
    <x v="1"/>
    <s v="Thursday"/>
  </r>
  <r>
    <d v="2024-02-08T00:00:00"/>
    <x v="41"/>
    <s v="General"/>
    <n v="1.6"/>
    <x v="12"/>
    <s v="No"/>
    <s v="Staff prep for holiday New updates for XPM reporting from Nick Asana weekly team review Sprout approvals"/>
    <x v="1"/>
    <s v="Thursday"/>
  </r>
  <r>
    <d v="2024-02-08T00:00:00"/>
    <x v="41"/>
    <s v="General"/>
    <n v="3.32"/>
    <x v="12"/>
    <s v="No"/>
    <s v="Revising CPR and billable report Quickbooks cert Xero cert"/>
    <x v="1"/>
    <s v="Thursday"/>
  </r>
  <r>
    <d v="2024-02-08T00:00:00"/>
    <x v="41"/>
    <s v="Meetings"/>
    <n v="0.5"/>
    <x v="12"/>
    <s v="No"/>
    <s v="Dex engagement activirty"/>
    <x v="1"/>
    <s v="Thursday"/>
  </r>
  <r>
    <d v="2024-02-08T00:00:00"/>
    <x v="41"/>
    <s v="Meetings"/>
    <n v="0.5"/>
    <x v="12"/>
    <s v="No"/>
    <s v="regular catch-up with Ali"/>
    <x v="1"/>
    <s v="Thursday"/>
  </r>
  <r>
    <d v="2024-02-08T00:00:00"/>
    <x v="41"/>
    <s v="Meetings"/>
    <n v="0.75"/>
    <x v="12"/>
    <s v="No"/>
    <s v="monthly 1:1 Lindsay"/>
    <x v="1"/>
    <s v="Thursday"/>
  </r>
  <r>
    <d v="2024-02-08T00:00:00"/>
    <x v="41"/>
    <s v="Meetings"/>
    <n v="3.6"/>
    <x v="12"/>
    <s v="No"/>
    <s v="Weekly team huddle"/>
    <x v="1"/>
    <s v="Thursday"/>
  </r>
  <r>
    <d v="2024-02-08T00:00:00"/>
    <x v="42"/>
    <s v="Bookkeeping"/>
    <n v="1.1299999999999999"/>
    <x v="16"/>
    <s v="Yes"/>
    <s v="Average receivable days report"/>
    <x v="1"/>
    <s v="Thursday"/>
  </r>
  <r>
    <d v="2024-02-08T00:00:00"/>
    <x v="42"/>
    <s v="Bookkeeping"/>
    <n v="6.35"/>
    <x v="16"/>
    <s v="Yes"/>
    <m/>
    <x v="1"/>
    <s v="Thursday"/>
  </r>
  <r>
    <d v="2024-02-08T00:00:00"/>
    <x v="42"/>
    <s v="Meetings"/>
    <n v="0.63"/>
    <x v="12"/>
    <s v="No"/>
    <m/>
    <x v="1"/>
    <s v="Thursday"/>
  </r>
  <r>
    <d v="2024-02-08T00:00:00"/>
    <x v="43"/>
    <s v="Bookkeeping"/>
    <n v="0.52"/>
    <x v="74"/>
    <s v="Yes"/>
    <s v="Call with Ge to give overview of the tasks and client"/>
    <x v="1"/>
    <s v="Thursday"/>
  </r>
  <r>
    <d v="2024-02-08T00:00:00"/>
    <x v="43"/>
    <s v="Bookkeeping"/>
    <n v="0.72"/>
    <x v="19"/>
    <s v="Yes"/>
    <s v="Book bills for Shirley"/>
    <x v="1"/>
    <s v="Thursday"/>
  </r>
  <r>
    <d v="2024-02-08T00:00:00"/>
    <x v="43"/>
    <s v="Bookkeeping"/>
    <n v="0.82"/>
    <x v="51"/>
    <s v="Yes"/>
    <s v="Month end - call with Maan to fix variance in FAR"/>
    <x v="1"/>
    <s v="Thursday"/>
  </r>
  <r>
    <d v="2024-02-08T00:00:00"/>
    <x v="43"/>
    <s v="General"/>
    <n v="0.5"/>
    <x v="12"/>
    <s v="No"/>
    <s v="Break"/>
    <x v="1"/>
    <s v="Thursday"/>
  </r>
  <r>
    <d v="2024-02-08T00:00:00"/>
    <x v="43"/>
    <s v="Meetings"/>
    <n v="0.57999999999999996"/>
    <x v="12"/>
    <s v="No"/>
    <s v="Feb engagement activity"/>
    <x v="1"/>
    <s v="Thursday"/>
  </r>
  <r>
    <d v="2024-02-08T00:00:00"/>
    <x v="43"/>
    <s v="Meetings"/>
    <n v="0.63"/>
    <x v="12"/>
    <s v="No"/>
    <s v="Huddle"/>
    <x v="1"/>
    <s v="Thursday"/>
  </r>
  <r>
    <d v="2024-02-08T00:00:00"/>
    <x v="43"/>
    <s v="Payroll Processing"/>
    <n v="7.0000000000000007E-2"/>
    <x v="72"/>
    <s v="Yes"/>
    <s v="Review payroll, load payment, email Dominic"/>
    <x v="1"/>
    <s v="Thursday"/>
  </r>
  <r>
    <d v="2024-02-08T00:00:00"/>
    <x v="43"/>
    <s v="Payroll Processing"/>
    <n v="0.4"/>
    <x v="37"/>
    <s v="Yes"/>
    <s v="Review payroll journlals"/>
    <x v="1"/>
    <s v="Thursday"/>
  </r>
  <r>
    <d v="2024-02-08T00:00:00"/>
    <x v="43"/>
    <s v="Payroll Processing"/>
    <n v="0.43"/>
    <x v="37"/>
    <s v="Yes"/>
    <s v="Payroll journal reports export and send to Edz for automation"/>
    <x v="1"/>
    <s v="Thursday"/>
  </r>
  <r>
    <d v="2024-02-08T00:00:00"/>
    <x v="43"/>
    <s v="Payroll Processing"/>
    <n v="0.55000000000000004"/>
    <x v="16"/>
    <s v="Yes"/>
    <s v="Hours worked report FY19 to FY23"/>
    <x v="1"/>
    <s v="Thursday"/>
  </r>
  <r>
    <d v="2024-02-08T00:00:00"/>
    <x v="43"/>
    <s v="Payroll Processing"/>
    <n v="2.92"/>
    <x v="16"/>
    <s v="Yes"/>
    <s v="Payroll processing and peer review"/>
    <x v="1"/>
    <s v="Thursday"/>
  </r>
  <r>
    <d v="2024-02-08T00:00:00"/>
    <x v="44"/>
    <s v="Out-of-Scope Services"/>
    <n v="0.25"/>
    <x v="83"/>
    <s v="Yes"/>
    <s v="Review Max's query on FBT and check CCH guidance Request Shalini for contact number for Max to outline FBT"/>
    <x v="1"/>
    <s v="Thursday"/>
  </r>
  <r>
    <d v="2024-02-08T00:00:00"/>
    <x v="44"/>
    <s v="Tax Admin"/>
    <n v="0.12"/>
    <x v="12"/>
    <s v="No"/>
    <s v="Add CAPSPACE PRIVATE DEBT FUND to portal and email Sylvie re o/s BAS"/>
    <x v="1"/>
    <s v="Thursday"/>
  </r>
  <r>
    <d v="2024-02-08T00:00:00"/>
    <x v="45"/>
    <s v="Bookkeeping"/>
    <n v="0.25"/>
    <x v="58"/>
    <s v="Yes"/>
    <s v="Post AL and LSL journal"/>
    <x v="1"/>
    <s v="Thursday"/>
  </r>
  <r>
    <d v="2024-02-08T00:00:00"/>
    <x v="45"/>
    <s v="Bookkeeping"/>
    <n v="0.6"/>
    <x v="58"/>
    <s v="Yes"/>
    <s v="Bank rec"/>
    <x v="1"/>
    <s v="Thursday"/>
  </r>
  <r>
    <d v="2024-02-08T00:00:00"/>
    <x v="45"/>
    <s v="Bookkeeping"/>
    <n v="0.75"/>
    <x v="50"/>
    <s v="Yes"/>
    <s v="AR, AP Inbox mgmt"/>
    <x v="1"/>
    <s v="Thursday"/>
  </r>
  <r>
    <d v="2024-02-08T00:00:00"/>
    <x v="45"/>
    <s v="Bookkeeping"/>
    <n v="0.93"/>
    <x v="57"/>
    <s v="Yes"/>
    <s v="AR, AP, and bank rec Cashflow update"/>
    <x v="1"/>
    <s v="Thursday"/>
  </r>
  <r>
    <d v="2024-02-08T00:00:00"/>
    <x v="45"/>
    <s v="Bookkeeping"/>
    <n v="1.1200000000000001"/>
    <x v="57"/>
    <s v="Yes"/>
    <s v="AP run and cashflow file update"/>
    <x v="1"/>
    <s v="Thursday"/>
  </r>
  <r>
    <d v="2024-02-08T00:00:00"/>
    <x v="45"/>
    <s v="General"/>
    <n v="0.5"/>
    <x v="12"/>
    <s v="No"/>
    <s v="Paid break"/>
    <x v="1"/>
    <s v="Thursday"/>
  </r>
  <r>
    <d v="2024-02-08T00:00:00"/>
    <x v="45"/>
    <s v="Management Reporting"/>
    <n v="1.73"/>
    <x v="71"/>
    <s v="Yes"/>
    <s v="Review accounts Balance sheet rec"/>
    <x v="1"/>
    <s v="Thursday"/>
  </r>
  <r>
    <d v="2024-02-08T00:00:00"/>
    <x v="45"/>
    <s v="Meetings"/>
    <n v="0.6"/>
    <x v="12"/>
    <s v="No"/>
    <s v="Engagement activity"/>
    <x v="1"/>
    <s v="Thursday"/>
  </r>
  <r>
    <d v="2024-02-08T00:00:00"/>
    <x v="45"/>
    <s v="Meetings"/>
    <n v="0.67"/>
    <x v="12"/>
    <s v="No"/>
    <s v="Team Ralph huddle"/>
    <x v="1"/>
    <s v="Thursday"/>
  </r>
  <r>
    <d v="2024-02-08T00:00:00"/>
    <x v="45"/>
    <s v="Payroll Processing"/>
    <n v="0.85"/>
    <x v="22"/>
    <s v="Yes"/>
    <s v="Review payroll Send report and bank file to Ash"/>
    <x v="1"/>
    <s v="Thursday"/>
  </r>
  <r>
    <d v="2024-02-08T00:00:00"/>
    <x v="46"/>
    <s v="Client Manager"/>
    <n v="0.5"/>
    <x v="49"/>
    <s v="Yes"/>
    <s v="Catch-up with Logika re update, GST issues, tax returns, next course of action etc"/>
    <x v="1"/>
    <s v="Thursday"/>
  </r>
  <r>
    <d v="2024-02-08T00:00:00"/>
    <x v="46"/>
    <s v="Client Manager"/>
    <n v="1"/>
    <x v="59"/>
    <s v="Yes"/>
    <s v="Upload payables, email Zoe. Calls to Bendigo bank and Suncorp re cc for business, process etc. Send information to Zoe"/>
    <x v="1"/>
    <s v="Thursday"/>
  </r>
  <r>
    <d v="2024-02-08T00:00:00"/>
    <x v="46"/>
    <s v="General"/>
    <n v="0.75"/>
    <x v="12"/>
    <s v="No"/>
    <s v="Various internal emails, Mel, team etc"/>
    <x v="1"/>
    <s v="Thursday"/>
  </r>
  <r>
    <d v="2024-02-08T00:00:00"/>
    <x v="46"/>
    <s v="IAS/BAS Preparation &amp; Lodgement - Jan"/>
    <n v="0.17"/>
    <x v="97"/>
    <s v="Yes"/>
    <s v="Jan 2024 IAS review and lodgement"/>
    <x v="1"/>
    <s v="Thursday"/>
  </r>
  <r>
    <d v="2024-02-08T00:00:00"/>
    <x v="46"/>
    <s v="IAS/BAS Preparation &amp; Lodgement - Jan"/>
    <n v="0.17"/>
    <x v="50"/>
    <s v="Yes"/>
    <s v="Jan 2024 IAS review and lodgement"/>
    <x v="1"/>
    <s v="Thursday"/>
  </r>
  <r>
    <d v="2024-02-08T00:00:00"/>
    <x v="46"/>
    <s v="IAS/BAS Preparation &amp; Lodgement - Jan"/>
    <n v="0.17"/>
    <x v="94"/>
    <s v="Yes"/>
    <s v="Jan 2024 IAS review and lodgement"/>
    <x v="1"/>
    <s v="Thursday"/>
  </r>
  <r>
    <d v="2024-02-08T00:00:00"/>
    <x v="46"/>
    <s v="IAS/BAS Preparation &amp; Lodgement - Jan"/>
    <n v="0.17"/>
    <x v="64"/>
    <s v="Yes"/>
    <s v="Jan 2024 IAS review and lodgement"/>
    <x v="1"/>
    <s v="Thursday"/>
  </r>
  <r>
    <d v="2024-02-08T00:00:00"/>
    <x v="46"/>
    <s v="IAS/BAS Preparation &amp; Lodgement - Jan"/>
    <n v="0.17"/>
    <x v="83"/>
    <s v="Yes"/>
    <s v="Jan 2024 IAS review and lodgement"/>
    <x v="1"/>
    <s v="Thursday"/>
  </r>
  <r>
    <d v="2024-02-08T00:00:00"/>
    <x v="46"/>
    <s v="IAS/BAS Preparation &amp; Lodgement - Jan"/>
    <n v="0.17"/>
    <x v="35"/>
    <s v="Yes"/>
    <s v="Jan 2024 IAS review and lodgement"/>
    <x v="1"/>
    <s v="Thursday"/>
  </r>
  <r>
    <d v="2024-02-08T00:00:00"/>
    <x v="46"/>
    <s v="IAS/BAS Preparation &amp; Lodgement - Jan"/>
    <n v="0.17"/>
    <x v="12"/>
    <s v="No"/>
    <s v="Jan 2024 IAS review and lodgement"/>
    <x v="1"/>
    <s v="Thursday"/>
  </r>
  <r>
    <d v="2024-02-08T00:00:00"/>
    <x v="46"/>
    <s v="IAS/BAS Preparation &amp; Lodgement - Jan"/>
    <n v="0.17"/>
    <x v="32"/>
    <s v="Yes"/>
    <s v="Jan 2024 IAS review and lodgement"/>
    <x v="1"/>
    <s v="Thursday"/>
  </r>
  <r>
    <d v="2024-02-08T00:00:00"/>
    <x v="46"/>
    <s v="IAS/BAS Preparation &amp; Lodgement - Jan"/>
    <n v="0.17"/>
    <x v="96"/>
    <s v="Yes"/>
    <s v="Jan 2024 IAS review and lodgement"/>
    <x v="1"/>
    <s v="Thursday"/>
  </r>
  <r>
    <d v="2024-02-08T00:00:00"/>
    <x v="46"/>
    <s v="IAS/BAS Preparation &amp; Lodgement - Jan"/>
    <n v="0.17"/>
    <x v="34"/>
    <s v="Yes"/>
    <s v="Jan 2024 IAS review and lodgement"/>
    <x v="1"/>
    <s v="Thursday"/>
  </r>
  <r>
    <d v="2024-02-08T00:00:00"/>
    <x v="46"/>
    <s v="IAS/BAS Preparation &amp; Lodgement - Jan"/>
    <n v="0.17"/>
    <x v="57"/>
    <s v="Yes"/>
    <s v="Jan 2024 IAS review and lodgement"/>
    <x v="1"/>
    <s v="Thursday"/>
  </r>
  <r>
    <d v="2024-02-08T00:00:00"/>
    <x v="46"/>
    <s v="IAS/BAS Preparation &amp; Lodgement - Jan"/>
    <n v="0.17"/>
    <x v="28"/>
    <s v="Yes"/>
    <s v="Jan 2024 IAS review and lodgement"/>
    <x v="1"/>
    <s v="Thursday"/>
  </r>
  <r>
    <d v="2024-02-08T00:00:00"/>
    <x v="46"/>
    <s v="IAS/BAS Preparation &amp; Lodgement - Jan"/>
    <n v="0.17"/>
    <x v="70"/>
    <s v="Yes"/>
    <s v="Jan 2024 IAS review and lodgement"/>
    <x v="1"/>
    <s v="Thursday"/>
  </r>
  <r>
    <d v="2024-02-08T00:00:00"/>
    <x v="46"/>
    <s v="IAS/BAS Preparation &amp; Lodgement - Jan"/>
    <n v="0.17"/>
    <x v="99"/>
    <s v="Yes"/>
    <s v="Jan 2024 IAS review and lodgement"/>
    <x v="1"/>
    <s v="Thursday"/>
  </r>
  <r>
    <d v="2024-02-08T00:00:00"/>
    <x v="46"/>
    <s v="IAS/BAS Preparation &amp; Lodgement - Jan"/>
    <n v="0.17"/>
    <x v="23"/>
    <s v="Yes"/>
    <s v="Jan 2024 IAS review and lodgement"/>
    <x v="1"/>
    <s v="Thursday"/>
  </r>
  <r>
    <d v="2024-02-08T00:00:00"/>
    <x v="46"/>
    <s v="IAS/BAS Preparation &amp; Lodgement - Jan"/>
    <n v="0.17"/>
    <x v="24"/>
    <s v="Yes"/>
    <s v="Jan 2024 IAS review and lodgement"/>
    <x v="1"/>
    <s v="Thursday"/>
  </r>
  <r>
    <d v="2024-02-08T00:00:00"/>
    <x v="46"/>
    <s v="IAS/BAS Preparation &amp; Lodgement - Jan"/>
    <n v="0.17"/>
    <x v="21"/>
    <s v="Yes"/>
    <s v="Jan 2024 IAS review and lodgement"/>
    <x v="1"/>
    <s v="Thursday"/>
  </r>
  <r>
    <d v="2024-02-08T00:00:00"/>
    <x v="46"/>
    <s v="IAS/BAS Preparation &amp; Lodgement - Jan"/>
    <n v="0.17"/>
    <x v="22"/>
    <s v="Yes"/>
    <s v="Jan 2024 IAS review and lodgement"/>
    <x v="1"/>
    <s v="Thursday"/>
  </r>
  <r>
    <d v="2024-02-08T00:00:00"/>
    <x v="46"/>
    <s v="IAS/BAS Preparation &amp; Lodgement - Jan"/>
    <n v="0.17"/>
    <x v="60"/>
    <s v="Yes"/>
    <s v="Jan 2024 IAS review and lodgement"/>
    <x v="1"/>
    <s v="Thursday"/>
  </r>
  <r>
    <d v="2024-02-08T00:00:00"/>
    <x v="46"/>
    <s v="IAS/BAS Preparation &amp; Lodgement - Jan"/>
    <n v="0.17"/>
    <x v="52"/>
    <s v="Yes"/>
    <s v="Jan 2024 IAS review and lodgement"/>
    <x v="1"/>
    <s v="Thursday"/>
  </r>
  <r>
    <d v="2024-02-08T00:00:00"/>
    <x v="46"/>
    <s v="IAS/BAS Preparation &amp; Lodgement - Jan"/>
    <n v="0.17"/>
    <x v="91"/>
    <s v="Yes"/>
    <s v="Jan 2024 IAS review and lodgement"/>
    <x v="1"/>
    <s v="Thursday"/>
  </r>
  <r>
    <d v="2024-02-08T00:00:00"/>
    <x v="46"/>
    <s v="IAS/BAS Preparation &amp; Lodgement - Jan"/>
    <n v="0.17"/>
    <x v="39"/>
    <s v="Yes"/>
    <s v="Jan 2024 IAS review and lodgement"/>
    <x v="1"/>
    <s v="Thursday"/>
  </r>
  <r>
    <d v="2024-02-08T00:00:00"/>
    <x v="46"/>
    <s v="IAS/BAS Preparation &amp; Lodgement - Jan"/>
    <n v="0.17"/>
    <x v="44"/>
    <s v="Yes"/>
    <s v="Jan 2024 IAS review and lodgement"/>
    <x v="1"/>
    <s v="Thursday"/>
  </r>
  <r>
    <d v="2024-02-08T00:00:00"/>
    <x v="46"/>
    <s v="IAS/BAS Preparation &amp; Lodgement - Jan"/>
    <n v="0.17"/>
    <x v="14"/>
    <s v="Yes"/>
    <s v="Jan 2024 IAS review and lodgement"/>
    <x v="1"/>
    <s v="Thursday"/>
  </r>
  <r>
    <d v="2024-02-08T00:00:00"/>
    <x v="46"/>
    <s v="IAS/BAS Preparation &amp; Lodgement - Jan"/>
    <n v="0.17"/>
    <x v="100"/>
    <s v="Yes"/>
    <s v="Jan 2024 IAS review and lodgement"/>
    <x v="1"/>
    <s v="Thursday"/>
  </r>
  <r>
    <d v="2024-02-08T00:00:00"/>
    <x v="46"/>
    <s v="IAS/BAS Preparation &amp; Lodgement - Jan"/>
    <n v="0.17"/>
    <x v="1"/>
    <s v="Yes"/>
    <s v="Jan 2024 IAS review and lodgement"/>
    <x v="1"/>
    <s v="Thursday"/>
  </r>
  <r>
    <d v="2024-02-08T00:00:00"/>
    <x v="46"/>
    <s v="IAS/BAS Preparation &amp; Lodgement - Jan"/>
    <n v="0.17"/>
    <x v="81"/>
    <s v="Yes"/>
    <s v="Jan 2024 IAS review and lodgement"/>
    <x v="1"/>
    <s v="Thursday"/>
  </r>
  <r>
    <d v="2024-02-08T00:00:00"/>
    <x v="46"/>
    <s v="IAS/BAS Preparation &amp; Lodgement - Jan"/>
    <n v="0.17"/>
    <x v="11"/>
    <s v="Yes"/>
    <s v="Jan 2024 IAS review and lodgement"/>
    <x v="1"/>
    <s v="Thursday"/>
  </r>
  <r>
    <d v="2024-02-08T00:00:00"/>
    <x v="46"/>
    <s v="IAS/BAS Preparation &amp; Lodgement - Jan"/>
    <n v="0.25"/>
    <x v="72"/>
    <s v="No"/>
    <s v="Liaise with Gen and Rose re GST and PAYG Withholding cancellation etc"/>
    <x v="1"/>
    <s v="Thursday"/>
  </r>
  <r>
    <d v="2024-02-08T00:00:00"/>
    <x v="46"/>
    <s v="IAS/BAS Preparation &amp; Lodgement - Jan"/>
    <n v="0.33"/>
    <x v="98"/>
    <s v="Yes"/>
    <s v="Jan 2024 IAS review and lodgement"/>
    <x v="1"/>
    <s v="Thursday"/>
  </r>
  <r>
    <d v="2024-02-08T00:00:00"/>
    <x v="46"/>
    <s v="Meetings"/>
    <n v="0.5"/>
    <x v="12"/>
    <s v="No"/>
    <s v="Social team event"/>
    <x v="1"/>
    <s v="Thursday"/>
  </r>
  <r>
    <d v="2024-02-08T00:00:00"/>
    <x v="47"/>
    <s v="Bookkeeping"/>
    <n v="0.6"/>
    <x v="64"/>
    <s v="Yes"/>
    <s v="discuss with Ann  month end recs"/>
    <x v="1"/>
    <s v="Thursday"/>
  </r>
  <r>
    <d v="2024-02-08T00:00:00"/>
    <x v="47"/>
    <s v="Bookkeeping"/>
    <n v="0.6"/>
    <x v="64"/>
    <s v="Yes"/>
    <s v="queries AP- GST for CPDF- "/>
    <x v="1"/>
    <s v="Thursday"/>
  </r>
  <r>
    <d v="2024-02-08T00:00:00"/>
    <x v="47"/>
    <s v="Bookkeeping"/>
    <n v="0.8"/>
    <x v="50"/>
    <s v="Yes"/>
    <s v="Call ATO re GIC - email Stephen &amp; Sam"/>
    <x v="1"/>
    <s v="Thursday"/>
  </r>
  <r>
    <d v="2024-02-08T00:00:00"/>
    <x v="47"/>
    <s v="Bookkeeping"/>
    <n v="1"/>
    <x v="50"/>
    <s v="Yes"/>
    <s v="AP emails, allocate labels in accounts, general emails"/>
    <x v="1"/>
    <s v="Thursday"/>
  </r>
  <r>
    <d v="2024-02-08T00:00:00"/>
    <x v="47"/>
    <s v="Client Admin"/>
    <n v="0.2"/>
    <x v="12"/>
    <s v="No"/>
    <s v="Inform clients of PH Philippines"/>
    <x v="1"/>
    <s v="Thursday"/>
  </r>
  <r>
    <d v="2024-02-08T00:00:00"/>
    <x v="47"/>
    <s v="Client Manager"/>
    <n v="0.5"/>
    <x v="50"/>
    <s v="Yes"/>
    <s v="emails Stephen and nick re ASIC deregistration fees"/>
    <x v="1"/>
    <s v="Thursday"/>
  </r>
  <r>
    <d v="2024-02-08T00:00:00"/>
    <x v="47"/>
    <s v="Client Manager"/>
    <n v="0.5"/>
    <x v="4"/>
    <s v="Yes"/>
    <s v="emails, IAS process, review AP"/>
    <x v="1"/>
    <s v="Thursday"/>
  </r>
  <r>
    <d v="2024-02-08T00:00:00"/>
    <x v="47"/>
    <s v="Client Manager"/>
    <n v="0.7"/>
    <x v="50"/>
    <s v="Yes"/>
    <s v="ASIC deregistration RIL x 2- fee &amp; process proposal"/>
    <x v="1"/>
    <s v="Thursday"/>
  </r>
  <r>
    <d v="2024-02-08T00:00:00"/>
    <x v="47"/>
    <s v="Client Manager"/>
    <n v="0.7"/>
    <x v="64"/>
    <s v="Yes"/>
    <s v="Scope review, email Shalini"/>
    <x v="1"/>
    <s v="Thursday"/>
  </r>
  <r>
    <d v="2024-02-08T00:00:00"/>
    <x v="47"/>
    <s v="Client Manager"/>
    <n v="0.8"/>
    <x v="64"/>
    <s v="Yes"/>
    <s v="CPDF - Nil BAS - nominate Dext as ASIC agent, liaise with shalini and Tim"/>
    <x v="1"/>
    <s v="Thursday"/>
  </r>
  <r>
    <d v="2024-02-08T00:00:00"/>
    <x v="47"/>
    <s v="Client Manager"/>
    <n v="0.8"/>
    <x v="64"/>
    <s v="Yes"/>
    <s v="Liaise with Ann re month end - Mark B re Teams- new teams group for Capspace"/>
    <x v="1"/>
    <s v="Thursday"/>
  </r>
  <r>
    <d v="2024-02-08T00:00:00"/>
    <x v="47"/>
    <s v="General"/>
    <n v="0.7"/>
    <x v="12"/>
    <s v="No"/>
    <s v="teams, emails, update Asana, timesheet"/>
    <x v="1"/>
    <s v="Thursday"/>
  </r>
  <r>
    <d v="2024-02-08T00:00:00"/>
    <x v="47"/>
    <s v="Management Reporting"/>
    <n v="1.5"/>
    <x v="50"/>
    <s v="Yes"/>
    <s v="Fathom"/>
    <x v="1"/>
    <s v="Thursday"/>
  </r>
  <r>
    <d v="2024-02-08T00:00:00"/>
    <x v="52"/>
    <s v="Automations"/>
    <n v="3"/>
    <x v="12"/>
    <s v="No"/>
    <s v="BAS Automation"/>
    <x v="1"/>
    <s v="Thursday"/>
  </r>
  <r>
    <d v="2024-02-08T00:00:00"/>
    <x v="48"/>
    <s v="General"/>
    <n v="4"/>
    <x v="12"/>
    <s v="No"/>
    <s v="- follow up confirmation of CN to Intellicare - communicate Police Check to Kim and Jordan - check competencies on PerfPro for TLs and Gen - finalize promotion letters - "/>
    <x v="1"/>
    <s v="Thursday"/>
  </r>
  <r>
    <d v="2024-02-08T00:00:00"/>
    <x v="48"/>
    <s v="HR/Recuitment"/>
    <n v="3"/>
    <x v="12"/>
    <s v="No"/>
    <s v="- check Sherly's requirements - post job advert for Payroll Specialist and AP Specialist - review applications sent on Seek - draft IA promotion letters"/>
    <x v="1"/>
    <s v="Thursday"/>
  </r>
  <r>
    <d v="2024-02-08T00:00:00"/>
    <x v="48"/>
    <s v="Meetings"/>
    <n v="1"/>
    <x v="12"/>
    <s v="No"/>
    <e v="#NAME?"/>
    <x v="1"/>
    <s v="Thursday"/>
  </r>
  <r>
    <d v="2024-02-09T00:00:00"/>
    <x v="0"/>
    <s v="Public Holiday - Leave"/>
    <n v="8"/>
    <x v="12"/>
    <s v="No"/>
    <s v="PH Holiday - Chinese New Year"/>
    <x v="1"/>
    <s v="Friday"/>
  </r>
  <r>
    <d v="2024-02-09T00:00:00"/>
    <x v="49"/>
    <s v="P&amp;C Advisory - Group"/>
    <n v="1.42"/>
    <x v="63"/>
    <s v="Yes"/>
    <s v="Australian Management Committee meeting"/>
    <x v="1"/>
    <s v="Friday"/>
  </r>
  <r>
    <d v="2024-02-09T00:00:00"/>
    <x v="49"/>
    <s v="P&amp;C Advisory - Nederman Mikropul"/>
    <n v="0.42"/>
    <x v="63"/>
    <s v="Yes"/>
    <s v="Correspondence and call with Accounting Manager re. staff concerns Call with manager re. employee attendance concerns"/>
    <x v="1"/>
    <s v="Friday"/>
  </r>
  <r>
    <d v="2024-02-09T00:00:00"/>
    <x v="49"/>
    <s v="P&amp;C Advisory - Nordfab"/>
    <n v="0.33"/>
    <x v="63"/>
    <s v="Yes"/>
    <s v="Correspondence re. performance reviews Correspondence re. IT setup for warehouse staff"/>
    <x v="1"/>
    <s v="Friday"/>
  </r>
  <r>
    <d v="2024-02-09T00:00:00"/>
    <x v="1"/>
    <s v="Public Holiday - Leave"/>
    <n v="8"/>
    <x v="12"/>
    <s v="No"/>
    <s v="Ph holiday"/>
    <x v="1"/>
    <s v="Friday"/>
  </r>
  <r>
    <d v="2024-02-09T00:00:00"/>
    <x v="2"/>
    <s v="Public Holiday - Leave"/>
    <n v="8"/>
    <x v="12"/>
    <s v="No"/>
    <m/>
    <x v="1"/>
    <s v="Friday"/>
  </r>
  <r>
    <d v="2024-02-09T00:00:00"/>
    <x v="3"/>
    <s v="Public Holiday - Leave"/>
    <n v="8"/>
    <x v="12"/>
    <s v="No"/>
    <s v="Chinese New Year"/>
    <x v="1"/>
    <s v="Friday"/>
  </r>
  <r>
    <d v="2024-02-09T00:00:00"/>
    <x v="4"/>
    <s v="Business Development"/>
    <n v="8"/>
    <x v="12"/>
    <s v="No"/>
    <m/>
    <x v="1"/>
    <s v="Friday"/>
  </r>
  <r>
    <d v="2024-02-09T00:00:00"/>
    <x v="5"/>
    <s v="Public Holiday - Leave"/>
    <n v="8"/>
    <x v="12"/>
    <s v="No"/>
    <m/>
    <x v="1"/>
    <s v="Friday"/>
  </r>
  <r>
    <d v="2024-02-09T00:00:00"/>
    <x v="6"/>
    <s v="Public Holiday - Leave"/>
    <n v="8"/>
    <x v="12"/>
    <s v="No"/>
    <m/>
    <x v="1"/>
    <s v="Friday"/>
  </r>
  <r>
    <d v="2024-02-09T00:00:00"/>
    <x v="7"/>
    <s v="Public Holiday - Leave"/>
    <n v="8"/>
    <x v="12"/>
    <s v="No"/>
    <m/>
    <x v="1"/>
    <s v="Friday"/>
  </r>
  <r>
    <d v="2024-02-09T00:00:00"/>
    <x v="9"/>
    <s v="Automations"/>
    <n v="2"/>
    <x v="12"/>
    <s v="No"/>
    <s v="Run four Alliance automations + AP automation"/>
    <x v="1"/>
    <s v="Friday"/>
  </r>
  <r>
    <d v="2024-02-09T00:00:00"/>
    <x v="10"/>
    <s v="Public Holiday - Leave"/>
    <n v="9"/>
    <x v="12"/>
    <s v="No"/>
    <m/>
    <x v="1"/>
    <s v="Friday"/>
  </r>
  <r>
    <d v="2024-02-09T00:00:00"/>
    <x v="11"/>
    <s v="Public Holiday - Leave"/>
    <n v="8"/>
    <x v="12"/>
    <s v="No"/>
    <s v="PH holiday - Chinese New Year"/>
    <x v="1"/>
    <s v="Friday"/>
  </r>
  <r>
    <d v="2024-02-09T00:00:00"/>
    <x v="14"/>
    <s v="Public Holiday - Leave"/>
    <n v="8"/>
    <x v="12"/>
    <s v="No"/>
    <m/>
    <x v="1"/>
    <s v="Friday"/>
  </r>
  <r>
    <d v="2024-02-09T00:00:00"/>
    <x v="15"/>
    <s v="Public Holiday - Leave"/>
    <n v="8"/>
    <x v="12"/>
    <s v="No"/>
    <m/>
    <x v="1"/>
    <s v="Friday"/>
  </r>
  <r>
    <d v="2024-02-09T00:00:00"/>
    <x v="16"/>
    <s v="Bookkeeping"/>
    <n v="0.8"/>
    <x v="32"/>
    <s v="Yes"/>
    <s v="inbox process ap invoices emails"/>
    <x v="1"/>
    <s v="Friday"/>
  </r>
  <r>
    <d v="2024-02-09T00:00:00"/>
    <x v="16"/>
    <s v="Bookkeeping - AP"/>
    <n v="3.2"/>
    <x v="33"/>
    <s v="Yes"/>
    <s v="ap report export aba file emails"/>
    <x v="1"/>
    <s v="Friday"/>
  </r>
  <r>
    <d v="2024-02-09T00:00:00"/>
    <x v="16"/>
    <s v="Public Holiday - Leave"/>
    <n v="4"/>
    <x v="12"/>
    <s v="No"/>
    <m/>
    <x v="1"/>
    <s v="Friday"/>
  </r>
  <r>
    <d v="2024-02-09T00:00:00"/>
    <x v="17"/>
    <s v="Public Holiday - Leave"/>
    <n v="8"/>
    <x v="12"/>
    <s v="No"/>
    <s v="Holiday"/>
    <x v="1"/>
    <s v="Friday"/>
  </r>
  <r>
    <d v="2024-02-09T00:00:00"/>
    <x v="18"/>
    <s v="Public Holiday - Leave"/>
    <n v="8"/>
    <x v="12"/>
    <s v="No"/>
    <s v="Philippines Public Holiday"/>
    <x v="1"/>
    <s v="Friday"/>
  </r>
  <r>
    <d v="2024-02-09T00:00:00"/>
    <x v="19"/>
    <s v="Public Holiday - Leave"/>
    <n v="8"/>
    <x v="12"/>
    <s v="No"/>
    <s v="PH Holiday"/>
    <x v="1"/>
    <s v="Friday"/>
  </r>
  <r>
    <d v="2024-02-09T00:00:00"/>
    <x v="21"/>
    <s v="Public Holiday - Leave"/>
    <n v="8"/>
    <x v="12"/>
    <s v="No"/>
    <s v="PH Holiday"/>
    <x v="1"/>
    <s v="Friday"/>
  </r>
  <r>
    <d v="2024-02-09T00:00:00"/>
    <x v="22"/>
    <s v="Public Holiday - Leave"/>
    <n v="8"/>
    <x v="12"/>
    <s v="No"/>
    <s v="PHILIPPINE HOLIDAY:  Chinese New Year"/>
    <x v="1"/>
    <s v="Friday"/>
  </r>
  <r>
    <d v="2024-02-09T00:00:00"/>
    <x v="23"/>
    <s v="Public Holiday - Leave"/>
    <n v="8"/>
    <x v="12"/>
    <s v="No"/>
    <m/>
    <x v="1"/>
    <s v="Friday"/>
  </r>
  <r>
    <d v="2024-02-09T00:00:00"/>
    <x v="24"/>
    <s v="Public Holiday - Leave"/>
    <n v="8"/>
    <x v="12"/>
    <s v="No"/>
    <s v="Philippine Public Holiday"/>
    <x v="1"/>
    <s v="Friday"/>
  </r>
  <r>
    <d v="2024-02-09T00:00:00"/>
    <x v="25"/>
    <s v="Bookkeeping"/>
    <n v="0.47"/>
    <x v="9"/>
    <s v="No"/>
    <s v="Call and resoluation for E Poland super overpaymetn Not billable"/>
    <x v="1"/>
    <s v="Friday"/>
  </r>
  <r>
    <d v="2024-02-09T00:00:00"/>
    <x v="25"/>
    <s v="Bookkeeping"/>
    <n v="0.56999999999999995"/>
    <x v="9"/>
    <s v="Yes"/>
    <s v="Review BS and email client "/>
    <x v="1"/>
    <s v="Friday"/>
  </r>
  <r>
    <d v="2024-02-09T00:00:00"/>
    <x v="25"/>
    <s v="Bookkeeping"/>
    <n v="0.78"/>
    <x v="42"/>
    <s v="Yes"/>
    <s v="Nine Ten reconciliaiton "/>
    <x v="1"/>
    <s v="Friday"/>
  </r>
  <r>
    <d v="2024-02-09T00:00:00"/>
    <x v="25"/>
    <s v="Bookkeeping"/>
    <n v="0.9"/>
    <x v="42"/>
    <s v="Yes"/>
    <s v="Load payments to bank Load AMex payment and ATO payment Gen's email re Director info for ASIC and email to Lucia Complete 3H group cancellation of GST group and email to Lucia"/>
    <x v="1"/>
    <s v="Friday"/>
  </r>
  <r>
    <d v="2024-02-09T00:00:00"/>
    <x v="25"/>
    <s v="Bookkeeping"/>
    <n v="1"/>
    <x v="42"/>
    <s v="Yes"/>
    <m/>
    <x v="1"/>
    <s v="Friday"/>
  </r>
  <r>
    <d v="2024-02-09T00:00:00"/>
    <x v="25"/>
    <s v="Business Development"/>
    <n v="0.57999999999999996"/>
    <x v="12"/>
    <s v="Yes"/>
    <s v="Luminary mindset - review info, email re access  to accountant for docs"/>
    <x v="1"/>
    <s v="Friday"/>
  </r>
  <r>
    <d v="2024-02-09T00:00:00"/>
    <x v="25"/>
    <s v="Business Development"/>
    <n v="0.67"/>
    <x v="12"/>
    <s v="Yes"/>
    <s v="Meeting with Nick / Zoe from Luminary Mindset"/>
    <x v="1"/>
    <s v="Friday"/>
  </r>
  <r>
    <d v="2024-02-09T00:00:00"/>
    <x v="25"/>
    <s v="General"/>
    <n v="0.18"/>
    <x v="12"/>
    <s v="No"/>
    <s v="Check Asana tasks - send client feedback surveys"/>
    <x v="1"/>
    <s v="Friday"/>
  </r>
  <r>
    <d v="2024-02-09T00:00:00"/>
    <x v="25"/>
    <s v="General"/>
    <n v="0.25"/>
    <x v="12"/>
    <s v="No"/>
    <s v="Emails, add OOO to Prime build"/>
    <x v="1"/>
    <s v="Friday"/>
  </r>
  <r>
    <d v="2024-02-09T00:00:00"/>
    <x v="25"/>
    <s v="General"/>
    <n v="0.52"/>
    <x v="12"/>
    <s v="No"/>
    <s v="Emails, teams messages"/>
    <x v="1"/>
    <s v="Friday"/>
  </r>
  <r>
    <d v="2024-02-09T00:00:00"/>
    <x v="25"/>
    <s v="IAS/BAS Preparation &amp; Lodgement - Dec"/>
    <n v="0.55000000000000004"/>
    <x v="42"/>
    <s v="Yes"/>
    <s v="Monthly BAS checklist and review"/>
    <x v="1"/>
    <s v="Friday"/>
  </r>
  <r>
    <d v="2024-02-09T00:00:00"/>
    <x v="25"/>
    <s v="IAS/BAS Preparation &amp; Lodgement - Jan"/>
    <n v="0.08"/>
    <x v="44"/>
    <s v="Yes"/>
    <s v="Add journal to Xero and email client for paymetn"/>
    <x v="1"/>
    <s v="Friday"/>
  </r>
  <r>
    <d v="2024-02-09T00:00:00"/>
    <x v="25"/>
    <s v="IAS/BAS Preparation &amp; Lodgement - Jan"/>
    <n v="0.15"/>
    <x v="52"/>
    <s v="Yes"/>
    <s v=" Add journal, email client for payment"/>
    <x v="1"/>
    <s v="Friday"/>
  </r>
  <r>
    <d v="2024-02-09T00:00:00"/>
    <x v="25"/>
    <s v="IAS/BAS Preparation &amp; Lodgement - Oct-Dec"/>
    <n v="0.1"/>
    <x v="52"/>
    <s v="Yes"/>
    <s v="Check adjustment "/>
    <x v="1"/>
    <s v="Friday"/>
  </r>
  <r>
    <d v="2024-02-09T00:00:00"/>
    <x v="51"/>
    <s v="P&amp;C Advisory - Nordfab"/>
    <n v="0.17"/>
    <x v="63"/>
    <s v="Yes"/>
    <s v="Candidate Enquiry (David) - Factory Hand/Warehouse Assistant - NSW - Nordfab - Alison_x0009_"/>
    <x v="1"/>
    <s v="Friday"/>
  </r>
  <r>
    <d v="2024-02-09T00:00:00"/>
    <x v="26"/>
    <s v="Client Meeting"/>
    <n v="0.08"/>
    <x v="12"/>
    <s v="No"/>
    <s v="Chat message with Shalini"/>
    <x v="1"/>
    <s v="Friday"/>
  </r>
  <r>
    <d v="2024-02-09T00:00:00"/>
    <x v="26"/>
    <s v="Client Meeting"/>
    <n v="0.2"/>
    <x v="52"/>
    <s v="Yes"/>
    <s v="Attending to Shalini's queries"/>
    <x v="1"/>
    <s v="Friday"/>
  </r>
  <r>
    <d v="2024-02-09T00:00:00"/>
    <x v="26"/>
    <s v="General"/>
    <n v="0.25"/>
    <x v="12"/>
    <s v="No"/>
    <s v="15 mins coffee breaks as paid per Labor Code of the Philippines, Article 85. ( Afternoon Break ) "/>
    <x v="1"/>
    <s v="Friday"/>
  </r>
  <r>
    <d v="2024-02-09T00:00:00"/>
    <x v="26"/>
    <s v="General"/>
    <n v="0.25"/>
    <x v="12"/>
    <s v="No"/>
    <s v="15 mins coffee breaks as paid per Labor Code of the Philippines, Article 85. ( Morning Break ) "/>
    <x v="1"/>
    <s v="Friday"/>
  </r>
  <r>
    <d v="2024-02-09T00:00:00"/>
    <x v="26"/>
    <s v="General"/>
    <n v="0.37"/>
    <x v="12"/>
    <s v="No"/>
    <s v="Fixing XPM and Asana updates"/>
    <x v="1"/>
    <s v="Friday"/>
  </r>
  <r>
    <d v="2024-02-09T00:00:00"/>
    <x v="26"/>
    <s v="General"/>
    <n v="1.05"/>
    <x v="12"/>
    <s v="No"/>
    <s v="&gt;_x0009_Organizing folders in Outlook for each client. &gt;_x0009_Adding labels to keep things neat and tidy per client. &gt;_x0009_Doing some email spring cleaning and other odds and ends. &gt;_x0009_Keeping up with tasks on Asana. "/>
    <x v="1"/>
    <s v="Friday"/>
  </r>
  <r>
    <d v="2024-02-09T00:00:00"/>
    <x v="26"/>
    <s v="IAS/BAS Preparation &amp; Lodgement - Jan"/>
    <n v="0.05"/>
    <x v="22"/>
    <s v="No"/>
    <s v="Xero setting and XPM updates"/>
    <x v="1"/>
    <s v="Friday"/>
  </r>
  <r>
    <d v="2024-02-09T00:00:00"/>
    <x v="26"/>
    <s v="IAS/BAS Preparation &amp; Lodgement - Jan"/>
    <n v="0.08"/>
    <x v="22"/>
    <s v="Yes"/>
    <s v="IAS Jan 2024"/>
    <x v="1"/>
    <s v="Friday"/>
  </r>
  <r>
    <d v="2024-02-09T00:00:00"/>
    <x v="26"/>
    <s v="IAS/BAS Preparation &amp; Lodgement - Oct-Dec"/>
    <n v="0.05"/>
    <x v="22"/>
    <s v="Yes"/>
    <s v="Asana updates and checking emails"/>
    <x v="1"/>
    <s v="Friday"/>
  </r>
  <r>
    <d v="2024-02-09T00:00:00"/>
    <x v="26"/>
    <s v="IAS/BAS Preparation &amp; Lodgement - Oct-Dec"/>
    <n v="0.35"/>
    <x v="97"/>
    <s v="No"/>
    <s v="Xero setting and fixing XPM. "/>
    <x v="1"/>
    <s v="Friday"/>
  </r>
  <r>
    <d v="2024-02-09T00:00:00"/>
    <x v="26"/>
    <s v="IAS/BAS Preparation &amp; Lodgement - Oct-Dec"/>
    <n v="0.37"/>
    <x v="52"/>
    <s v="Yes"/>
    <s v="Reupdates due to adjustments"/>
    <x v="1"/>
    <s v="Friday"/>
  </r>
  <r>
    <d v="2024-02-09T00:00:00"/>
    <x v="26"/>
    <s v="IAS/BAS Preparation &amp; Lodgement - Oct-Dec"/>
    <n v="0.47"/>
    <x v="50"/>
    <s v="Yes"/>
    <m/>
    <x v="1"/>
    <s v="Friday"/>
  </r>
  <r>
    <d v="2024-02-09T00:00:00"/>
    <x v="26"/>
    <s v="IAS/BAS Preparation &amp; Lodgement - Oct-Dec"/>
    <n v="0.52"/>
    <x v="6"/>
    <s v="No"/>
    <s v="Digging of variances. "/>
    <x v="1"/>
    <s v="Friday"/>
  </r>
  <r>
    <d v="2024-02-09T00:00:00"/>
    <x v="26"/>
    <s v="IAS/BAS Preparation &amp; Lodgement - Oct-Dec"/>
    <n v="0.52"/>
    <x v="6"/>
    <s v="Yes"/>
    <m/>
    <x v="1"/>
    <s v="Friday"/>
  </r>
  <r>
    <d v="2024-02-09T00:00:00"/>
    <x v="26"/>
    <s v="IAS/BAS Preparation &amp; Lodgement - Oct-Dec"/>
    <n v="0.88"/>
    <x v="18"/>
    <s v="Yes"/>
    <s v="Dec 2023 BAS"/>
    <x v="1"/>
    <s v="Friday"/>
  </r>
  <r>
    <d v="2024-02-09T00:00:00"/>
    <x v="26"/>
    <s v="IAS/BAS Preparation &amp; Lodgement - Oct-Dec"/>
    <n v="1.02"/>
    <x v="97"/>
    <s v="Yes"/>
    <s v="Dec 2023 BAS"/>
    <x v="1"/>
    <s v="Friday"/>
  </r>
  <r>
    <d v="2024-02-09T00:00:00"/>
    <x v="26"/>
    <s v="IAS/BAS Preparation &amp; Lodgement - Oct-Dec"/>
    <n v="1.03"/>
    <x v="101"/>
    <s v="Yes"/>
    <s v="BAS process, XPM error, Email checking, Xero setting"/>
    <x v="1"/>
    <s v="Friday"/>
  </r>
  <r>
    <d v="2024-02-09T00:00:00"/>
    <x v="26"/>
    <s v="Tax Admin"/>
    <n v="0.47"/>
    <x v="12"/>
    <s v="No"/>
    <s v="Outstanding Balance ATO recon for all clients. ( Initial Review )"/>
    <x v="1"/>
    <s v="Friday"/>
  </r>
  <r>
    <d v="2024-02-09T00:00:00"/>
    <x v="28"/>
    <s v="Public Holiday - Leave"/>
    <n v="8"/>
    <x v="12"/>
    <s v="No"/>
    <m/>
    <x v="1"/>
    <s v="Friday"/>
  </r>
  <r>
    <d v="2024-02-09T00:00:00"/>
    <x v="30"/>
    <s v="Public Holiday - Leave"/>
    <n v="8"/>
    <x v="12"/>
    <s v="No"/>
    <m/>
    <x v="1"/>
    <s v="Friday"/>
  </r>
  <r>
    <d v="2024-02-09T00:00:00"/>
    <x v="31"/>
    <s v="Client Meeting"/>
    <n v="0.4"/>
    <x v="12"/>
    <s v="No"/>
    <s v="emails"/>
    <x v="1"/>
    <s v="Friday"/>
  </r>
  <r>
    <d v="2024-02-09T00:00:00"/>
    <x v="31"/>
    <s v="Client Meeting"/>
    <n v="0.42"/>
    <x v="16"/>
    <s v="Yes"/>
    <s v="weekly meeting / emails"/>
    <x v="1"/>
    <s v="Friday"/>
  </r>
  <r>
    <d v="2024-02-09T00:00:00"/>
    <x v="31"/>
    <s v="Client Meeting"/>
    <n v="0.57999999999999996"/>
    <x v="16"/>
    <s v="Yes"/>
    <s v="call with Rejie"/>
    <x v="1"/>
    <s v="Friday"/>
  </r>
  <r>
    <d v="2024-02-09T00:00:00"/>
    <x v="31"/>
    <s v="Management Reporting"/>
    <n v="1.38"/>
    <x v="16"/>
    <s v="Yes"/>
    <s v="month-end"/>
    <x v="1"/>
    <s v="Friday"/>
  </r>
  <r>
    <d v="2024-02-09T00:00:00"/>
    <x v="31"/>
    <s v="Management Reporting"/>
    <n v="2.13"/>
    <x v="16"/>
    <s v="Yes"/>
    <s v="month-end journals, AL, SL, WIP / customer onboarding "/>
    <x v="1"/>
    <s v="Friday"/>
  </r>
  <r>
    <d v="2024-02-09T00:00:00"/>
    <x v="31"/>
    <s v="Public Holiday - Leave"/>
    <n v="4"/>
    <x v="12"/>
    <s v="No"/>
    <m/>
    <x v="1"/>
    <s v="Friday"/>
  </r>
  <r>
    <d v="2024-02-09T00:00:00"/>
    <x v="32"/>
    <s v="Public Holiday - Leave"/>
    <n v="8"/>
    <x v="12"/>
    <s v="No"/>
    <s v="Public Holiday Leave"/>
    <x v="1"/>
    <s v="Friday"/>
  </r>
  <r>
    <d v="2024-02-09T00:00:00"/>
    <x v="33"/>
    <s v="Public Holiday - Leave"/>
    <n v="9"/>
    <x v="12"/>
    <s v="No"/>
    <s v="PH Holiday"/>
    <x v="1"/>
    <s v="Friday"/>
  </r>
  <r>
    <d v="2024-02-09T00:00:00"/>
    <x v="34"/>
    <s v="Public Holiday - Leave"/>
    <n v="8"/>
    <x v="12"/>
    <s v="No"/>
    <m/>
    <x v="1"/>
    <s v="Friday"/>
  </r>
  <r>
    <d v="2024-02-09T00:00:00"/>
    <x v="35"/>
    <s v="Payroll Processing"/>
    <n v="2"/>
    <x v="53"/>
    <s v="No"/>
    <s v="Send emails re: CY2023 BIR Form 2316 to all employees "/>
    <x v="1"/>
    <s v="Friday"/>
  </r>
  <r>
    <d v="2024-02-09T00:00:00"/>
    <x v="35"/>
    <s v="Public Holiday - Leave"/>
    <n v="6"/>
    <x v="12"/>
    <s v="No"/>
    <s v="Holiday"/>
    <x v="1"/>
    <s v="Friday"/>
  </r>
  <r>
    <d v="2024-02-09T00:00:00"/>
    <x v="36"/>
    <s v="Public Holiday - Leave"/>
    <n v="8"/>
    <x v="12"/>
    <s v="No"/>
    <m/>
    <x v="1"/>
    <s v="Friday"/>
  </r>
  <r>
    <d v="2024-02-09T00:00:00"/>
    <x v="37"/>
    <s v="Bookkeeping"/>
    <n v="0.25"/>
    <x v="103"/>
    <s v="Yes"/>
    <m/>
    <x v="1"/>
    <s v="Friday"/>
  </r>
  <r>
    <d v="2024-02-09T00:00:00"/>
    <x v="37"/>
    <s v="Bookkeeping"/>
    <n v="0.5"/>
    <x v="84"/>
    <s v="Yes"/>
    <s v="processing supplier bills"/>
    <x v="1"/>
    <s v="Friday"/>
  </r>
  <r>
    <d v="2024-02-09T00:00:00"/>
    <x v="37"/>
    <s v="Bookkeeping"/>
    <n v="0.5"/>
    <x v="85"/>
    <s v="Yes"/>
    <m/>
    <x v="1"/>
    <s v="Friday"/>
  </r>
  <r>
    <d v="2024-02-09T00:00:00"/>
    <x v="37"/>
    <s v="Bookkeeping"/>
    <n v="0.75"/>
    <x v="84"/>
    <s v="Yes"/>
    <s v="processing payments "/>
    <x v="1"/>
    <s v="Friday"/>
  </r>
  <r>
    <d v="2024-02-09T00:00:00"/>
    <x v="37"/>
    <s v="Bookkeeping"/>
    <n v="1"/>
    <x v="19"/>
    <s v="No"/>
    <s v="watching bank rec &amp; rev video"/>
    <x v="1"/>
    <s v="Friday"/>
  </r>
  <r>
    <d v="2024-02-09T00:00:00"/>
    <x v="37"/>
    <s v="General"/>
    <n v="0.5"/>
    <x v="12"/>
    <s v="No"/>
    <s v="watching moody wex files"/>
    <x v="1"/>
    <s v="Friday"/>
  </r>
  <r>
    <d v="2024-02-09T00:00:00"/>
    <x v="37"/>
    <s v="IAS/BAS Preparation &amp; Lodgement - Jan"/>
    <n v="0.5"/>
    <x v="83"/>
    <s v="Yes"/>
    <m/>
    <x v="1"/>
    <s v="Friday"/>
  </r>
  <r>
    <d v="2024-02-09T00:00:00"/>
    <x v="37"/>
    <s v="Payroll Processing"/>
    <n v="0.5"/>
    <x v="86"/>
    <s v="Yes"/>
    <s v="JC advance pay"/>
    <x v="1"/>
    <s v="Friday"/>
  </r>
  <r>
    <d v="2024-02-09T00:00:00"/>
    <x v="37"/>
    <s v="Payroll Processing"/>
    <n v="0.5"/>
    <x v="59"/>
    <s v="Yes"/>
    <m/>
    <x v="1"/>
    <s v="Friday"/>
  </r>
  <r>
    <d v="2024-02-09T00:00:00"/>
    <x v="38"/>
    <s v="Client Manager"/>
    <n v="0.12"/>
    <x v="54"/>
    <s v="Yes"/>
    <s v="emails"/>
    <x v="1"/>
    <s v="Friday"/>
  </r>
  <r>
    <d v="2024-02-09T00:00:00"/>
    <x v="38"/>
    <s v="Client Manager"/>
    <n v="0.78"/>
    <x v="2"/>
    <s v="Yes"/>
    <s v="follow up on BAS follow up tasks, emails from Aileen"/>
    <x v="1"/>
    <s v="Friday"/>
  </r>
  <r>
    <d v="2024-02-09T00:00:00"/>
    <x v="38"/>
    <s v="Client Manager"/>
    <n v="0.9"/>
    <x v="87"/>
    <s v="Yes"/>
    <s v="check of model"/>
    <x v="1"/>
    <s v="Friday"/>
  </r>
  <r>
    <d v="2024-02-09T00:00:00"/>
    <x v="38"/>
    <s v="General"/>
    <n v="4.2"/>
    <x v="12"/>
    <s v="No"/>
    <s v="emails, teams, Asana"/>
    <x v="1"/>
    <s v="Friday"/>
  </r>
  <r>
    <d v="2024-02-09T00:00:00"/>
    <x v="39"/>
    <s v="Public Holiday - Leave"/>
    <n v="8"/>
    <x v="12"/>
    <s v="No"/>
    <m/>
    <x v="1"/>
    <s v="Friday"/>
  </r>
  <r>
    <d v="2024-02-09T00:00:00"/>
    <x v="40"/>
    <s v="Bookkeeping"/>
    <n v="1.33"/>
    <x v="50"/>
    <s v="Yes"/>
    <s v="Processed Invocie and tasks"/>
    <x v="1"/>
    <s v="Friday"/>
  </r>
  <r>
    <d v="2024-02-09T00:00:00"/>
    <x v="40"/>
    <s v="Payroll Processing"/>
    <n v="0.82"/>
    <x v="36"/>
    <s v="Yes"/>
    <m/>
    <x v="1"/>
    <s v="Friday"/>
  </r>
  <r>
    <d v="2024-02-09T00:00:00"/>
    <x v="40"/>
    <s v="Payroll Processing"/>
    <n v="3.32"/>
    <x v="36"/>
    <s v="Yes"/>
    <s v="Processed unscheduled payrun Answered emails re payroll"/>
    <x v="1"/>
    <s v="Friday"/>
  </r>
  <r>
    <d v="2024-02-09T00:00:00"/>
    <x v="41"/>
    <s v="Public Holiday - Leave"/>
    <n v="8"/>
    <x v="12"/>
    <s v="No"/>
    <m/>
    <x v="1"/>
    <s v="Friday"/>
  </r>
  <r>
    <d v="2024-02-09T00:00:00"/>
    <x v="42"/>
    <s v="Bookkeeping"/>
    <n v="8.2200000000000006"/>
    <x v="16"/>
    <s v="Yes"/>
    <m/>
    <x v="1"/>
    <s v="Friday"/>
  </r>
  <r>
    <d v="2024-02-09T00:00:00"/>
    <x v="42"/>
    <s v="Client Meeting"/>
    <n v="1.45"/>
    <x v="16"/>
    <s v="Yes"/>
    <s v="Meeting With CFO and Admin Team (James, Daniela and Craig)"/>
    <x v="1"/>
    <s v="Friday"/>
  </r>
  <r>
    <d v="2024-02-09T00:00:00"/>
    <x v="43"/>
    <s v="Public Holiday - Leave"/>
    <n v="8"/>
    <x v="12"/>
    <s v="No"/>
    <m/>
    <x v="1"/>
    <s v="Friday"/>
  </r>
  <r>
    <d v="2024-02-09T00:00:00"/>
    <x v="45"/>
    <s v="Public Holiday - Leave"/>
    <n v="8"/>
    <x v="12"/>
    <s v="No"/>
    <m/>
    <x v="1"/>
    <s v="Friday"/>
  </r>
  <r>
    <d v="2024-02-09T00:00:00"/>
    <x v="46"/>
    <s v="Client Manager"/>
    <n v="0.17"/>
    <x v="86"/>
    <s v="Yes"/>
    <s v="Upload aba file and advise Neeti"/>
    <x v="1"/>
    <s v="Friday"/>
  </r>
  <r>
    <d v="2024-02-09T00:00:00"/>
    <x v="46"/>
    <s v="Client Manager"/>
    <n v="0.17"/>
    <x v="59"/>
    <s v="Yes"/>
    <s v="Upload payroll and email Zoe"/>
    <x v="1"/>
    <s v="Friday"/>
  </r>
  <r>
    <d v="2024-02-09T00:00:00"/>
    <x v="46"/>
    <s v="Client Manager"/>
    <n v="0.33"/>
    <x v="41"/>
    <s v="No"/>
    <s v="Attend to query from client re employee policies etc and send quote. Liaise with Ali re same"/>
    <x v="1"/>
    <s v="Friday"/>
  </r>
  <r>
    <d v="2024-02-09T00:00:00"/>
    <x v="46"/>
    <s v="Client Manager"/>
    <n v="0.5"/>
    <x v="40"/>
    <s v="Yes"/>
    <s v="Review EOM reports for Jan 2024. Send feedback to team"/>
    <x v="1"/>
    <s v="Friday"/>
  </r>
  <r>
    <d v="2024-02-09T00:00:00"/>
    <x v="46"/>
    <s v="Client Manager"/>
    <n v="0.5"/>
    <x v="57"/>
    <s v="Yes"/>
    <s v="Review cahsflow, ATO payment plan online. Send details to Sarah"/>
    <x v="1"/>
    <s v="Friday"/>
  </r>
  <r>
    <d v="2024-02-09T00:00:00"/>
    <x v="46"/>
    <s v="Client Manager"/>
    <n v="0.5"/>
    <x v="28"/>
    <s v="Yes"/>
    <s v="Review EOM reports for Jan 2024. Send feedback to team"/>
    <x v="1"/>
    <s v="Friday"/>
  </r>
  <r>
    <d v="2024-02-09T00:00:00"/>
    <x v="46"/>
    <s v="Client Manager"/>
    <n v="1"/>
    <x v="103"/>
    <s v="Yes"/>
    <s v="Phone meeting with Li-Ann re sale of business. Attend to emails from Li-Ann. Send email to James re final steps etc"/>
    <x v="1"/>
    <s v="Friday"/>
  </r>
  <r>
    <d v="2024-02-09T00:00:00"/>
    <x v="46"/>
    <s v="General"/>
    <n v="0.5"/>
    <x v="12"/>
    <s v="No"/>
    <s v="Attend to emails re ASIC, fee for nil BAS, debtors"/>
    <x v="1"/>
    <s v="Friday"/>
  </r>
  <r>
    <d v="2024-02-09T00:00:00"/>
    <x v="46"/>
    <s v="General"/>
    <n v="0.75"/>
    <x v="12"/>
    <s v="No"/>
    <s v="Phone call with Nick re Food Rascal fixed fee, respond to Rob's email, chase for outstanding invoices, update repeating invoice template, send out invoice for 07/02/2024 "/>
    <x v="1"/>
    <s v="Friday"/>
  </r>
  <r>
    <d v="2024-02-09T00:00:00"/>
    <x v="46"/>
    <s v="IAS/BAS Preparation &amp; Lodgement - Dec"/>
    <n v="0.33"/>
    <x v="42"/>
    <s v="Yes"/>
    <s v="Dec 2023 BAS review and lodgement"/>
    <x v="1"/>
    <s v="Friday"/>
  </r>
  <r>
    <d v="2024-02-09T00:00:00"/>
    <x v="46"/>
    <s v="IAS/BAS Preparation &amp; Lodgement - Jan"/>
    <n v="0.17"/>
    <x v="22"/>
    <s v="Yes"/>
    <s v="Jan 2024 IAS review and lodgement"/>
    <x v="1"/>
    <s v="Friday"/>
  </r>
  <r>
    <d v="2024-02-09T00:00:00"/>
    <x v="46"/>
    <s v="IAS/BAS Preparation &amp; Lodgement - Oct-Dec"/>
    <n v="0.33"/>
    <x v="80"/>
    <s v="Yes"/>
    <s v="Dec 2023 quarter BAS review and lodgement"/>
    <x v="1"/>
    <s v="Friday"/>
  </r>
  <r>
    <d v="2024-02-09T00:00:00"/>
    <x v="46"/>
    <s v="IAS/BAS Preparation &amp; Lodgement - Oct-Dec"/>
    <n v="0.33"/>
    <x v="102"/>
    <s v="Yes"/>
    <s v="Dec 2023 quarter BAS review and lodgement"/>
    <x v="1"/>
    <s v="Friday"/>
  </r>
  <r>
    <d v="2024-02-09T00:00:00"/>
    <x v="46"/>
    <s v="IAS/BAS Preparation &amp; Lodgement - Oct-Dec"/>
    <n v="0.33"/>
    <x v="11"/>
    <s v="Yes"/>
    <s v="Dec 2023 quarter BAS review and lodgement"/>
    <x v="1"/>
    <s v="Friday"/>
  </r>
  <r>
    <d v="2024-02-09T00:00:00"/>
    <x v="46"/>
    <s v="IAS/BAS Preparation &amp; Lodgement - Oct-Dec"/>
    <n v="0.5"/>
    <x v="52"/>
    <s v="Yes"/>
    <s v="Review GST discrepancy, ask LM to update AP report. Take up GST adj in Dec quarter BAS. Review and lodgement"/>
    <x v="1"/>
    <s v="Friday"/>
  </r>
  <r>
    <d v="2024-02-09T00:00:00"/>
    <x v="46"/>
    <s v="IAS/BAS Preparation &amp; Lodgement - Oct-Dec"/>
    <n v="1"/>
    <x v="70"/>
    <s v="Yes"/>
    <s v="Finalise BAS WPS for Dec 2023 quarter"/>
    <x v="1"/>
    <s v="Friday"/>
  </r>
  <r>
    <d v="2024-02-09T00:00:00"/>
    <x v="47"/>
    <s v="Bookkeeping"/>
    <n v="0.8"/>
    <x v="50"/>
    <s v="Yes"/>
    <s v="Journals to allocate payroll Oct and Jan to correct period- BAM + BELCR - create Asana tasks for April and June payroll"/>
    <x v="1"/>
    <s v="Friday"/>
  </r>
  <r>
    <d v="2024-02-09T00:00:00"/>
    <x v="47"/>
    <s v="Client Manager"/>
    <n v="0.2"/>
    <x v="64"/>
    <s v="Yes"/>
    <s v="email new Xero entity"/>
    <x v="1"/>
    <s v="Friday"/>
  </r>
  <r>
    <d v="2024-02-09T00:00:00"/>
    <x v="47"/>
    <s v="Client Manager"/>
    <n v="0.5"/>
    <x v="50"/>
    <s v="Yes"/>
    <s v="emails- AP, ASIC"/>
    <x v="1"/>
    <s v="Friday"/>
  </r>
  <r>
    <d v="2024-02-09T00:00:00"/>
    <x v="47"/>
    <s v="Client Manager"/>
    <n v="0.8"/>
    <x v="50"/>
    <s v="Yes"/>
    <s v="Update Asana, email to Rachele and sarah"/>
    <x v="1"/>
    <s v="Friday"/>
  </r>
  <r>
    <d v="2024-02-09T00:00:00"/>
    <x v="47"/>
    <s v="General"/>
    <n v="1"/>
    <x v="12"/>
    <s v="No"/>
    <s v="timesheet, Asana"/>
    <x v="1"/>
    <s v="Friday"/>
  </r>
  <r>
    <d v="2024-02-09T00:00:00"/>
    <x v="47"/>
    <s v="IAS/BAS Preparation &amp; Lodgement - Oct-Dec"/>
    <n v="0.1"/>
    <x v="64"/>
    <s v="Yes"/>
    <s v="Email re NIL BAS for CPDF"/>
    <x v="1"/>
    <s v="Friday"/>
  </r>
  <r>
    <d v="2024-02-09T00:00:00"/>
    <x v="48"/>
    <s v="Public Holiday - Leave"/>
    <n v="8"/>
    <x v="12"/>
    <s v="No"/>
    <m/>
    <x v="1"/>
    <s v="Friday"/>
  </r>
  <r>
    <d v="2024-02-11T00:00:00"/>
    <x v="44"/>
    <s v="Out-of-Scope Services"/>
    <n v="0.2"/>
    <x v="94"/>
    <s v="Yes"/>
    <s v="Respond to Sylvie's email re franking credits and treatment for non-residents"/>
    <x v="2"/>
    <s v="Sunday"/>
  </r>
  <r>
    <d v="2024-02-12T00:00:00"/>
    <x v="0"/>
    <s v="Bookkeeping"/>
    <n v="0.05"/>
    <x v="5"/>
    <s v="Yes"/>
    <s v="Emails"/>
    <x v="2"/>
    <s v="Monday"/>
  </r>
  <r>
    <d v="2024-02-12T00:00:00"/>
    <x v="0"/>
    <s v="Bookkeeping"/>
    <n v="0.05"/>
    <x v="3"/>
    <s v="Yes"/>
    <s v="Email"/>
    <x v="2"/>
    <s v="Monday"/>
  </r>
  <r>
    <d v="2024-02-12T00:00:00"/>
    <x v="0"/>
    <s v="Bookkeeping"/>
    <n v="7.0000000000000007E-2"/>
    <x v="2"/>
    <s v="Yes"/>
    <s v="Recode transactions"/>
    <x v="2"/>
    <s v="Monday"/>
  </r>
  <r>
    <d v="2024-02-12T00:00:00"/>
    <x v="0"/>
    <s v="Bookkeeping"/>
    <n v="7.0000000000000007E-2"/>
    <x v="6"/>
    <s v="Yes"/>
    <s v="Emails"/>
    <x v="2"/>
    <s v="Monday"/>
  </r>
  <r>
    <d v="2024-02-12T00:00:00"/>
    <x v="0"/>
    <s v="Bookkeeping"/>
    <n v="0.1"/>
    <x v="13"/>
    <s v="Yes"/>
    <s v="Email"/>
    <x v="2"/>
    <s v="Monday"/>
  </r>
  <r>
    <d v="2024-02-12T00:00:00"/>
    <x v="0"/>
    <s v="Bookkeeping"/>
    <n v="0.1"/>
    <x v="4"/>
    <s v="Yes"/>
    <s v="Bank Reconciliation and Emails"/>
    <x v="2"/>
    <s v="Monday"/>
  </r>
  <r>
    <d v="2024-02-12T00:00:00"/>
    <x v="0"/>
    <s v="Bookkeeping"/>
    <n v="0.17"/>
    <x v="1"/>
    <s v="Yes"/>
    <s v="Bank Reconciliation"/>
    <x v="2"/>
    <s v="Monday"/>
  </r>
  <r>
    <d v="2024-02-12T00:00:00"/>
    <x v="0"/>
    <s v="Bookkeeping"/>
    <n v="0.43"/>
    <x v="4"/>
    <s v="Yes"/>
    <s v="AR and Bank Reconciliation"/>
    <x v="2"/>
    <s v="Monday"/>
  </r>
  <r>
    <d v="2024-02-12T00:00:00"/>
    <x v="0"/>
    <s v="Bookkeeping"/>
    <n v="0.82"/>
    <x v="62"/>
    <s v="Yes"/>
    <s v="AP and Bank Reconciliation"/>
    <x v="2"/>
    <s v="Monday"/>
  </r>
  <r>
    <d v="2024-02-12T00:00:00"/>
    <x v="0"/>
    <s v="Bookkeeping"/>
    <n v="0.95"/>
    <x v="2"/>
    <s v="Yes"/>
    <s v="AP, CoA, Emails, Manual Journals, and Re-coding"/>
    <x v="2"/>
    <s v="Monday"/>
  </r>
  <r>
    <d v="2024-02-12T00:00:00"/>
    <x v="0"/>
    <s v="Bookkeeping"/>
    <n v="0.95"/>
    <x v="6"/>
    <s v="Yes"/>
    <s v="AP, Bank Reconciliation, and Email/Inbox Management"/>
    <x v="2"/>
    <s v="Monday"/>
  </r>
  <r>
    <d v="2024-02-12T00:00:00"/>
    <x v="0"/>
    <s v="Bookkeeping"/>
    <n v="2.4"/>
    <x v="2"/>
    <s v="Yes"/>
    <s v="Check commodity balance in Xero vs AgriChain"/>
    <x v="2"/>
    <s v="Monday"/>
  </r>
  <r>
    <d v="2024-02-12T00:00:00"/>
    <x v="0"/>
    <s v="General"/>
    <n v="0.25"/>
    <x v="12"/>
    <s v="No"/>
    <s v="Afternoon Break"/>
    <x v="2"/>
    <s v="Monday"/>
  </r>
  <r>
    <d v="2024-02-12T00:00:00"/>
    <x v="0"/>
    <s v="General"/>
    <n v="0.25"/>
    <x v="12"/>
    <s v="No"/>
    <s v="Morning Break"/>
    <x v="2"/>
    <s v="Monday"/>
  </r>
  <r>
    <d v="2024-02-12T00:00:00"/>
    <x v="0"/>
    <s v="Meetings"/>
    <n v="1.1299999999999999"/>
    <x v="12"/>
    <s v="No"/>
    <s v="Handover with Charmie"/>
    <x v="2"/>
    <s v="Monday"/>
  </r>
  <r>
    <d v="2024-02-12T00:00:00"/>
    <x v="0"/>
    <s v="Payroll Processing"/>
    <n v="0.22"/>
    <x v="11"/>
    <s v="Yes"/>
    <m/>
    <x v="2"/>
    <s v="Monday"/>
  </r>
  <r>
    <d v="2024-02-12T00:00:00"/>
    <x v="49"/>
    <s v="P&amp;C Advisory"/>
    <n v="2"/>
    <x v="41"/>
    <s v="Yes"/>
    <s v="Draft record retention policy"/>
    <x v="2"/>
    <s v="Monday"/>
  </r>
  <r>
    <d v="2024-02-12T00:00:00"/>
    <x v="49"/>
    <s v="P&amp;C Advisory - Group"/>
    <n v="2.25"/>
    <x v="63"/>
    <s v="Yes"/>
    <s v="Employee Referral Policy Organising goal setting workshops"/>
    <x v="2"/>
    <s v="Monday"/>
  </r>
  <r>
    <d v="2024-02-12T00:00:00"/>
    <x v="49"/>
    <s v="P&amp;C Advisory - Nederman Mikropul"/>
    <n v="0.83"/>
    <x v="63"/>
    <s v="Yes"/>
    <s v="Coaching re. people matters Draft letter re. invitation to attend disciplinary meeting"/>
    <x v="2"/>
    <s v="Monday"/>
  </r>
  <r>
    <d v="2024-02-12T00:00:00"/>
    <x v="49"/>
    <s v="P&amp;C Advisory - Nederman PT"/>
    <n v="1"/>
    <x v="63"/>
    <s v="Yes"/>
    <s v="Call re. Sydney operations Draft correspondence for Accounting Manager re. warehousing issues"/>
    <x v="2"/>
    <s v="Monday"/>
  </r>
  <r>
    <d v="2024-02-12T00:00:00"/>
    <x v="49"/>
    <s v="P&amp;C Advisory - Nordfab"/>
    <n v="1"/>
    <x v="63"/>
    <s v="Yes"/>
    <s v="Correspondence re. employee attendance concerns Advertisements for current vacancies"/>
    <x v="2"/>
    <s v="Monday"/>
  </r>
  <r>
    <d v="2024-02-12T00:00:00"/>
    <x v="1"/>
    <s v="Bookkeeping"/>
    <n v="0.75"/>
    <x v="2"/>
    <s v="No"/>
    <s v="Call with Aileen re queries"/>
    <x v="2"/>
    <s v="Monday"/>
  </r>
  <r>
    <d v="2024-02-12T00:00:00"/>
    <x v="1"/>
    <s v="Bookkeeping"/>
    <n v="0.9"/>
    <x v="15"/>
    <s v="Yes"/>
    <m/>
    <x v="2"/>
    <s v="Monday"/>
  </r>
  <r>
    <d v="2024-02-12T00:00:00"/>
    <x v="1"/>
    <s v="Bookkeeping"/>
    <n v="0.9"/>
    <x v="14"/>
    <s v="Yes"/>
    <m/>
    <x v="2"/>
    <s v="Monday"/>
  </r>
  <r>
    <d v="2024-02-12T00:00:00"/>
    <x v="1"/>
    <s v="Bookkeeping"/>
    <n v="1.77"/>
    <x v="64"/>
    <s v="Yes"/>
    <m/>
    <x v="2"/>
    <s v="Monday"/>
  </r>
  <r>
    <d v="2024-02-12T00:00:00"/>
    <x v="1"/>
    <s v="General"/>
    <n v="0.18"/>
    <x v="12"/>
    <s v="No"/>
    <s v="Check Tasman Agri queries/Asana"/>
    <x v="2"/>
    <s v="Monday"/>
  </r>
  <r>
    <d v="2024-02-12T00:00:00"/>
    <x v="1"/>
    <s v="General"/>
    <n v="0.48"/>
    <x v="12"/>
    <s v="No"/>
    <s v="chats, concerns - securenotes, Asana, respond to queries"/>
    <x v="2"/>
    <s v="Monday"/>
  </r>
  <r>
    <d v="2024-02-12T00:00:00"/>
    <x v="1"/>
    <s v="General"/>
    <n v="0.5"/>
    <x v="12"/>
    <s v="No"/>
    <s v="break"/>
    <x v="2"/>
    <s v="Monday"/>
  </r>
  <r>
    <d v="2024-02-12T00:00:00"/>
    <x v="1"/>
    <s v="General"/>
    <n v="0.56999999999999995"/>
    <x v="12"/>
    <s v="No"/>
    <s v="Asana, chats, follow ups"/>
    <x v="2"/>
    <s v="Monday"/>
  </r>
  <r>
    <d v="2024-02-12T00:00:00"/>
    <x v="1"/>
    <s v="General"/>
    <n v="0.73"/>
    <x v="12"/>
    <s v="No"/>
    <s v="chats, emails, Sprout, timesheets, etc"/>
    <x v="2"/>
    <s v="Monday"/>
  </r>
  <r>
    <d v="2024-02-12T00:00:00"/>
    <x v="1"/>
    <s v="Meetings"/>
    <n v="0.3"/>
    <x v="12"/>
    <s v="No"/>
    <s v="call with Xavi"/>
    <x v="2"/>
    <s v="Monday"/>
  </r>
  <r>
    <d v="2024-02-12T00:00:00"/>
    <x v="1"/>
    <s v="Meetings"/>
    <n v="0.48"/>
    <x v="12"/>
    <s v="No"/>
    <s v="call with Aileen re tasks"/>
    <x v="2"/>
    <s v="Monday"/>
  </r>
  <r>
    <d v="2024-02-12T00:00:00"/>
    <x v="1"/>
    <s v="Meetings"/>
    <n v="0.48"/>
    <x v="12"/>
    <s v="No"/>
    <s v="call with Nicole re Tasman"/>
    <x v="2"/>
    <s v="Monday"/>
  </r>
  <r>
    <d v="2024-02-12T00:00:00"/>
    <x v="2"/>
    <s v="Bookkeeping"/>
    <n v="1.75"/>
    <x v="72"/>
    <s v="Yes"/>
    <s v="Checking emails and entering bills, sending AP reports. Set up payments"/>
    <x v="2"/>
    <s v="Monday"/>
  </r>
  <r>
    <d v="2024-02-12T00:00:00"/>
    <x v="2"/>
    <s v="General"/>
    <n v="5"/>
    <x v="12"/>
    <s v="No"/>
    <s v="Checking files for Final Handover - Pelan and Harmony"/>
    <x v="2"/>
    <s v="Monday"/>
  </r>
  <r>
    <d v="2024-02-12T00:00:00"/>
    <x v="2"/>
    <s v="Meetings"/>
    <n v="1.28"/>
    <x v="12"/>
    <s v="No"/>
    <s v="Final Handover of Harmony Build Pty Ltd"/>
    <x v="2"/>
    <s v="Monday"/>
  </r>
  <r>
    <d v="2024-02-12T00:00:00"/>
    <x v="3"/>
    <s v="Business Development"/>
    <n v="8"/>
    <x v="12"/>
    <s v="No"/>
    <s v="Multiple meetings to confirm details / points for manual  continuation of remaining flows and manuals "/>
    <x v="2"/>
    <s v="Monday"/>
  </r>
  <r>
    <d v="2024-02-12T00:00:00"/>
    <x v="4"/>
    <s v="Business Development"/>
    <n v="10"/>
    <x v="12"/>
    <s v="No"/>
    <m/>
    <x v="2"/>
    <s v="Monday"/>
  </r>
  <r>
    <d v="2024-02-12T00:00:00"/>
    <x v="5"/>
    <s v="Bookkeeping"/>
    <n v="1.83"/>
    <x v="16"/>
    <s v="Yes"/>
    <s v="Email Management "/>
    <x v="2"/>
    <s v="Monday"/>
  </r>
  <r>
    <d v="2024-02-12T00:00:00"/>
    <x v="5"/>
    <s v="Bookkeeping"/>
    <n v="3.22"/>
    <x v="16"/>
    <s v="Yes"/>
    <s v="Preparation and Reviewing of EFT list for weekly Payrun"/>
    <x v="2"/>
    <s v="Monday"/>
  </r>
  <r>
    <d v="2024-02-12T00:00:00"/>
    <x v="5"/>
    <s v="Bookkeeping"/>
    <n v="3.57"/>
    <x v="16"/>
    <s v="Yes"/>
    <s v="Posting of Invoices"/>
    <x v="2"/>
    <s v="Monday"/>
  </r>
  <r>
    <d v="2024-02-12T00:00:00"/>
    <x v="6"/>
    <s v="Bookkeeping"/>
    <n v="0.67"/>
    <x v="18"/>
    <s v="Yes"/>
    <s v="Booked A/R and Invoices"/>
    <x v="2"/>
    <s v="Monday"/>
  </r>
  <r>
    <d v="2024-02-12T00:00:00"/>
    <x v="6"/>
    <s v="Bookkeeping"/>
    <n v="1.25"/>
    <x v="19"/>
    <s v="Yes"/>
    <s v="WEX Bill Importation File-Send to Steph  Booked Invoices Expense Claims  Handover with Aileen "/>
    <x v="2"/>
    <s v="Monday"/>
  </r>
  <r>
    <d v="2024-02-12T00:00:00"/>
    <x v="6"/>
    <s v="Bookkeeping"/>
    <n v="1.5"/>
    <x v="19"/>
    <s v="No"/>
    <m/>
    <x v="2"/>
    <s v="Monday"/>
  </r>
  <r>
    <d v="2024-02-12T00:00:00"/>
    <x v="6"/>
    <s v="Bookkeeping"/>
    <n v="3.67"/>
    <x v="19"/>
    <s v="Yes"/>
    <m/>
    <x v="2"/>
    <s v="Monday"/>
  </r>
  <r>
    <d v="2024-02-12T00:00:00"/>
    <x v="6"/>
    <s v="General"/>
    <n v="0.42"/>
    <x v="12"/>
    <s v="No"/>
    <s v="Asana Checking Sprout Checking XPM"/>
    <x v="2"/>
    <s v="Monday"/>
  </r>
  <r>
    <d v="2024-02-12T00:00:00"/>
    <x v="6"/>
    <s v="Payroll Processing"/>
    <n v="0.5"/>
    <x v="95"/>
    <s v="No"/>
    <s v="Handover with Aileen"/>
    <x v="2"/>
    <s v="Monday"/>
  </r>
  <r>
    <d v="2024-02-12T00:00:00"/>
    <x v="7"/>
    <s v="Automations"/>
    <n v="9.3699999999999992"/>
    <x v="12"/>
    <s v="No"/>
    <m/>
    <x v="2"/>
    <s v="Monday"/>
  </r>
  <r>
    <d v="2024-02-12T00:00:00"/>
    <x v="8"/>
    <s v="Budget - Monthly"/>
    <n v="0.02"/>
    <x v="109"/>
    <s v="No"/>
    <m/>
    <x v="2"/>
    <s v="Monday"/>
  </r>
  <r>
    <d v="2024-02-12T00:00:00"/>
    <x v="9"/>
    <s v="Automations"/>
    <n v="2"/>
    <x v="12"/>
    <s v="No"/>
    <s v="Run Marsill Automation; "/>
    <x v="2"/>
    <s v="Monday"/>
  </r>
  <r>
    <d v="2024-02-12T00:00:00"/>
    <x v="10"/>
    <s v="Automations"/>
    <n v="9.18"/>
    <x v="12"/>
    <s v="No"/>
    <s v="Alliance Automation Part 2 Development "/>
    <x v="2"/>
    <s v="Monday"/>
  </r>
  <r>
    <d v="2024-02-12T00:00:00"/>
    <x v="11"/>
    <s v="Bookkeeping"/>
    <n v="0.25"/>
    <x v="24"/>
    <s v="Yes"/>
    <s v="Checking Op Warrawong and Op Ulladulla accounts"/>
    <x v="2"/>
    <s v="Monday"/>
  </r>
  <r>
    <d v="2024-02-12T00:00:00"/>
    <x v="11"/>
    <s v="Bookkeeping"/>
    <n v="0.25"/>
    <x v="42"/>
    <s v="No"/>
    <s v="Checking the account"/>
    <x v="2"/>
    <s v="Monday"/>
  </r>
  <r>
    <d v="2024-02-12T00:00:00"/>
    <x v="11"/>
    <s v="Bookkeeping"/>
    <n v="0.83"/>
    <x v="22"/>
    <s v="Yes"/>
    <s v="Loading bills form HubDoc, bank recon"/>
    <x v="2"/>
    <s v="Monday"/>
  </r>
  <r>
    <d v="2024-02-12T00:00:00"/>
    <x v="11"/>
    <s v="Bookkeeping"/>
    <n v="2.67"/>
    <x v="21"/>
    <s v="Yes"/>
    <s v="Loading bills form HubDoc, bank recon"/>
    <x v="2"/>
    <s v="Monday"/>
  </r>
  <r>
    <d v="2024-02-12T00:00:00"/>
    <x v="11"/>
    <s v="Bookkeeping"/>
    <n v="3.33"/>
    <x v="42"/>
    <s v="Yes"/>
    <s v="Email management, loading bills and invoices, bank recon, month end tasks"/>
    <x v="2"/>
    <s v="Monday"/>
  </r>
  <r>
    <d v="2024-02-12T00:00:00"/>
    <x v="11"/>
    <s v="General"/>
    <n v="0.5"/>
    <x v="12"/>
    <s v="No"/>
    <s v="break"/>
    <x v="2"/>
    <s v="Monday"/>
  </r>
  <r>
    <d v="2024-02-12T00:00:00"/>
    <x v="11"/>
    <s v="Payroll Processing"/>
    <n v="0.17"/>
    <x v="44"/>
    <s v="Yes"/>
    <s v="FN payroll"/>
    <x v="2"/>
    <s v="Monday"/>
  </r>
  <r>
    <d v="2024-02-12T00:00:00"/>
    <x v="12"/>
    <s v="CFO Advisory"/>
    <n v="0.25"/>
    <x v="34"/>
    <s v="No"/>
    <s v="Set-up introduction meeting with the team (Xavier/Irish), request Xero access (Mark)"/>
    <x v="2"/>
    <s v="Monday"/>
  </r>
  <r>
    <d v="2024-02-12T00:00:00"/>
    <x v="12"/>
    <s v="CFO001 - CFO Services"/>
    <n v="1"/>
    <x v="6"/>
    <s v="Yes"/>
    <s v="Close off TGS Jan'24 results"/>
    <x v="2"/>
    <s v="Monday"/>
  </r>
  <r>
    <d v="2024-02-12T00:00:00"/>
    <x v="14"/>
    <s v="Bookkeeping"/>
    <n v="0.15"/>
    <x v="34"/>
    <s v="Yes"/>
    <s v="bill adjustment"/>
    <x v="2"/>
    <s v="Monday"/>
  </r>
  <r>
    <d v="2024-02-12T00:00:00"/>
    <x v="14"/>
    <s v="Bookkeeping"/>
    <n v="0.48"/>
    <x v="28"/>
    <s v="Yes"/>
    <s v="BS rec review"/>
    <x v="2"/>
    <s v="Monday"/>
  </r>
  <r>
    <d v="2024-02-12T00:00:00"/>
    <x v="14"/>
    <s v="Bookkeeping"/>
    <n v="0.68"/>
    <x v="28"/>
    <s v="Yes"/>
    <s v="inbox/queries"/>
    <x v="2"/>
    <s v="Monday"/>
  </r>
  <r>
    <d v="2024-02-12T00:00:00"/>
    <x v="14"/>
    <s v="Bookkeeping"/>
    <n v="0.82"/>
    <x v="34"/>
    <s v="Yes"/>
    <s v="holiday bill dispute"/>
    <x v="2"/>
    <s v="Monday"/>
  </r>
  <r>
    <d v="2024-02-12T00:00:00"/>
    <x v="14"/>
    <s v="Bookkeeping"/>
    <n v="1.73"/>
    <x v="42"/>
    <s v="Yes"/>
    <s v="MET"/>
    <x v="2"/>
    <s v="Monday"/>
  </r>
  <r>
    <d v="2024-02-12T00:00:00"/>
    <x v="14"/>
    <s v="General"/>
    <n v="0.65"/>
    <x v="12"/>
    <s v="No"/>
    <s v="reminders, emails, COI, queries"/>
    <x v="2"/>
    <s v="Monday"/>
  </r>
  <r>
    <d v="2024-02-12T00:00:00"/>
    <x v="14"/>
    <s v="General"/>
    <n v="0.67"/>
    <x v="12"/>
    <s v="No"/>
    <s v="check inbox/teams"/>
    <x v="2"/>
    <s v="Monday"/>
  </r>
  <r>
    <d v="2024-02-12T00:00:00"/>
    <x v="14"/>
    <s v="Meetings"/>
    <n v="0.35"/>
    <x v="12"/>
    <s v="No"/>
    <s v="call w/Ann"/>
    <x v="2"/>
    <s v="Monday"/>
  </r>
  <r>
    <d v="2024-02-12T00:00:00"/>
    <x v="14"/>
    <s v="Payroll Processing"/>
    <n v="0.28000000000000003"/>
    <x v="11"/>
    <s v="Yes"/>
    <s v="review"/>
    <x v="2"/>
    <s v="Monday"/>
  </r>
  <r>
    <d v="2024-02-12T00:00:00"/>
    <x v="14"/>
    <s v="Payroll Processing"/>
    <n v="0.67"/>
    <x v="30"/>
    <s v="Yes"/>
    <s v="review"/>
    <x v="2"/>
    <s v="Monday"/>
  </r>
  <r>
    <d v="2024-02-12T00:00:00"/>
    <x v="14"/>
    <s v="Payroll Processing"/>
    <n v="1.55"/>
    <x v="33"/>
    <s v="Yes"/>
    <s v="review"/>
    <x v="2"/>
    <s v="Monday"/>
  </r>
  <r>
    <d v="2024-02-12T00:00:00"/>
    <x v="15"/>
    <s v="General"/>
    <n v="9.75"/>
    <x v="12"/>
    <s v="No"/>
    <s v="- ASIC - Emails - Search for Mark's wife gift who just gave birth. - ATO"/>
    <x v="2"/>
    <s v="Monday"/>
  </r>
  <r>
    <d v="2024-02-12T00:00:00"/>
    <x v="16"/>
    <s v="Bookkeeping"/>
    <n v="0.5"/>
    <x v="31"/>
    <s v="Yes"/>
    <s v="checking of unreconciled items bank recon"/>
    <x v="2"/>
    <s v="Monday"/>
  </r>
  <r>
    <d v="2024-02-12T00:00:00"/>
    <x v="16"/>
    <s v="Bookkeeping"/>
    <n v="0.63"/>
    <x v="30"/>
    <s v="Yes"/>
    <s v="bank recon"/>
    <x v="2"/>
    <s v="Monday"/>
  </r>
  <r>
    <d v="2024-02-12T00:00:00"/>
    <x v="16"/>
    <s v="Bookkeeping"/>
    <n v="0.88"/>
    <x v="32"/>
    <s v="Yes"/>
    <s v="bank recon Emails import ap invoices"/>
    <x v="2"/>
    <s v="Monday"/>
  </r>
  <r>
    <d v="2024-02-12T00:00:00"/>
    <x v="16"/>
    <s v="Bookkeeping"/>
    <n v="1"/>
    <x v="74"/>
    <s v="Yes"/>
    <s v="ap invoices"/>
    <x v="2"/>
    <s v="Monday"/>
  </r>
  <r>
    <d v="2024-02-12T00:00:00"/>
    <x v="16"/>
    <s v="Bookkeeping"/>
    <n v="1.05"/>
    <x v="73"/>
    <s v="No"/>
    <s v="hand over"/>
    <x v="2"/>
    <s v="Monday"/>
  </r>
  <r>
    <d v="2024-02-12T00:00:00"/>
    <x v="16"/>
    <s v="Bookkeeping"/>
    <n v="1.27"/>
    <x v="30"/>
    <s v="Yes"/>
    <s v="approve ap invoices"/>
    <x v="2"/>
    <s v="Monday"/>
  </r>
  <r>
    <d v="2024-02-12T00:00:00"/>
    <x v="16"/>
    <s v="Bookkeeping"/>
    <n v="1.35"/>
    <x v="73"/>
    <s v="Yes"/>
    <s v="ap invoices"/>
    <x v="2"/>
    <s v="Monday"/>
  </r>
  <r>
    <d v="2024-02-12T00:00:00"/>
    <x v="16"/>
    <s v="Bookkeeping - AP"/>
    <n v="0.82"/>
    <x v="33"/>
    <s v="Yes"/>
    <s v="approve ap invoices"/>
    <x v="2"/>
    <s v="Monday"/>
  </r>
  <r>
    <d v="2024-02-12T00:00:00"/>
    <x v="16"/>
    <s v="General"/>
    <n v="0.5"/>
    <x v="12"/>
    <s v="No"/>
    <s v="break"/>
    <x v="2"/>
    <s v="Monday"/>
  </r>
  <r>
    <d v="2024-02-12T00:00:00"/>
    <x v="17"/>
    <s v="Annual Leave"/>
    <n v="8"/>
    <x v="12"/>
    <s v="No"/>
    <m/>
    <x v="2"/>
    <s v="Monday"/>
  </r>
  <r>
    <d v="2024-02-12T00:00:00"/>
    <x v="18"/>
    <s v="General"/>
    <n v="0.78"/>
    <x v="12"/>
    <s v="No"/>
    <s v="prepare super rec"/>
    <x v="2"/>
    <s v="Monday"/>
  </r>
  <r>
    <d v="2024-02-12T00:00:00"/>
    <x v="18"/>
    <s v="General"/>
    <n v="1.02"/>
    <x v="12"/>
    <s v="No"/>
    <s v="review payroll process flow"/>
    <x v="2"/>
    <s v="Monday"/>
  </r>
  <r>
    <d v="2024-02-12T00:00:00"/>
    <x v="18"/>
    <s v="General"/>
    <n v="1.1499999999999999"/>
    <x v="12"/>
    <s v="No"/>
    <s v="continue to review process flows, superannuation rec standard doc"/>
    <x v="2"/>
    <s v="Monday"/>
  </r>
  <r>
    <d v="2024-02-12T00:00:00"/>
    <x v="18"/>
    <s v="General"/>
    <n v="1.23"/>
    <x v="12"/>
    <s v="No"/>
    <s v="review process flows"/>
    <x v="2"/>
    <s v="Monday"/>
  </r>
  <r>
    <d v="2024-02-12T00:00:00"/>
    <x v="18"/>
    <s v="General"/>
    <n v="1.38"/>
    <x v="12"/>
    <s v="No"/>
    <s v="finalise super rec template, super processing"/>
    <x v="2"/>
    <s v="Monday"/>
  </r>
  <r>
    <d v="2024-02-12T00:00:00"/>
    <x v="18"/>
    <s v="General"/>
    <n v="2.5299999999999998"/>
    <x v="12"/>
    <s v="No"/>
    <s v="emails, asana, chats, review process flows, drafting superannuation rec and process docs"/>
    <x v="2"/>
    <s v="Monday"/>
  </r>
  <r>
    <d v="2024-02-12T00:00:00"/>
    <x v="18"/>
    <s v="Meetings"/>
    <n v="0.2"/>
    <x v="12"/>
    <s v="No"/>
    <s v="performance pro go through with Ralph"/>
    <x v="2"/>
    <s v="Monday"/>
  </r>
  <r>
    <d v="2024-02-12T00:00:00"/>
    <x v="19"/>
    <s v="Bookkeeping"/>
    <n v="0.88"/>
    <x v="36"/>
    <s v="Yes"/>
    <m/>
    <x v="2"/>
    <s v="Monday"/>
  </r>
  <r>
    <d v="2024-02-12T00:00:00"/>
    <x v="19"/>
    <s v="Payroll Processing"/>
    <n v="3.18"/>
    <x v="54"/>
    <s v="Yes"/>
    <m/>
    <x v="2"/>
    <s v="Monday"/>
  </r>
  <r>
    <d v="2024-02-12T00:00:00"/>
    <x v="19"/>
    <s v="Sick Leave"/>
    <n v="4"/>
    <x v="12"/>
    <s v="No"/>
    <m/>
    <x v="2"/>
    <s v="Monday"/>
  </r>
  <r>
    <d v="2024-02-12T00:00:00"/>
    <x v="20"/>
    <s v="P&amp;C Advisory"/>
    <n v="3.2"/>
    <x v="37"/>
    <s v="Yes"/>
    <s v="Shortlisting &amp; coordinating interviews - Finance role Inbox tasks, HR BAU Task allocations for Louie Developing interview structure for 1st and 2nd stage interviews - Finance role"/>
    <x v="2"/>
    <s v="Monday"/>
  </r>
  <r>
    <d v="2024-02-12T00:00:00"/>
    <x v="20"/>
    <s v="P&amp;C Advisory"/>
    <n v="5"/>
    <x v="38"/>
    <s v="Yes"/>
    <s v="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
    <x v="2"/>
    <s v="Monday"/>
  </r>
  <r>
    <d v="2024-02-12T00:00:00"/>
    <x v="21"/>
    <s v="Bookkeeping"/>
    <n v="0.22"/>
    <x v="72"/>
    <s v="Yes"/>
    <s v="Payment Logic for AP bills of client"/>
    <x v="2"/>
    <s v="Monday"/>
  </r>
  <r>
    <d v="2024-02-12T00:00:00"/>
    <x v="21"/>
    <s v="Bookkeeping"/>
    <n v="0.25"/>
    <x v="57"/>
    <s v="Yes"/>
    <s v="bank recon, invisalign invoices check"/>
    <x v="2"/>
    <s v="Monday"/>
  </r>
  <r>
    <d v="2024-02-12T00:00:00"/>
    <x v="21"/>
    <s v="Bookkeeping"/>
    <n v="0.5"/>
    <x v="40"/>
    <s v="Yes"/>
    <s v="bank recon, dext prep"/>
    <x v="2"/>
    <s v="Monday"/>
  </r>
  <r>
    <d v="2024-02-12T00:00:00"/>
    <x v="21"/>
    <s v="Bookkeeping"/>
    <n v="0.5"/>
    <x v="39"/>
    <s v="Yes"/>
    <s v="AP Items process &amp; email client for list, bank recon"/>
    <x v="2"/>
    <s v="Monday"/>
  </r>
  <r>
    <d v="2024-02-12T00:00:00"/>
    <x v="21"/>
    <s v="Bookkeeping"/>
    <n v="0.87"/>
    <x v="28"/>
    <s v="Yes"/>
    <s v="Dext prep. bank recon"/>
    <x v="2"/>
    <s v="Monday"/>
  </r>
  <r>
    <d v="2024-02-12T00:00:00"/>
    <x v="21"/>
    <s v="Bookkeeping"/>
    <n v="0.93"/>
    <x v="28"/>
    <s v="Yes"/>
    <s v="AP Emails, Adjustments to BS rec (Fintech &amp; Livewire), bills processing"/>
    <x v="2"/>
    <s v="Monday"/>
  </r>
  <r>
    <d v="2024-02-12T00:00:00"/>
    <x v="21"/>
    <s v="Bookkeeping"/>
    <n v="0.98"/>
    <x v="41"/>
    <s v="Yes"/>
    <s v="Reconciling FY22 &amp; 23 for CC6146, AP Emails sort"/>
    <x v="2"/>
    <s v="Monday"/>
  </r>
  <r>
    <d v="2024-02-12T00:00:00"/>
    <x v="21"/>
    <s v="Bookkeeping"/>
    <n v="1.37"/>
    <x v="41"/>
    <s v="Yes"/>
    <s v="Recon of CC, AP emails, bills from procore"/>
    <x v="2"/>
    <s v="Monday"/>
  </r>
  <r>
    <d v="2024-02-12T00:00:00"/>
    <x v="21"/>
    <s v="Bookkeeping"/>
    <n v="1.57"/>
    <x v="41"/>
    <s v="Yes"/>
    <m/>
    <x v="2"/>
    <s v="Monday"/>
  </r>
  <r>
    <d v="2024-02-12T00:00:00"/>
    <x v="21"/>
    <s v="Meetings"/>
    <n v="0.85"/>
    <x v="12"/>
    <s v="No"/>
    <s v="Call with April, shadowing on Harmony Build client on tasks, finalise some transfer of tasks. Requesting credentials."/>
    <x v="2"/>
    <s v="Monday"/>
  </r>
  <r>
    <d v="2024-02-12T00:00:00"/>
    <x v="22"/>
    <s v="Automations"/>
    <n v="8"/>
    <x v="12"/>
    <s v="No"/>
    <s v="Fintech Equity Pty Ltd - Bank Reconciliation - Automation"/>
    <x v="2"/>
    <s v="Monday"/>
  </r>
  <r>
    <d v="2024-02-12T00:00:00"/>
    <x v="23"/>
    <s v="Automations"/>
    <n v="8"/>
    <x v="12"/>
    <s v="No"/>
    <m/>
    <x v="2"/>
    <s v="Monday"/>
  </r>
  <r>
    <d v="2024-02-12T00:00:00"/>
    <x v="24"/>
    <s v="Automations"/>
    <n v="8"/>
    <x v="12"/>
    <s v="No"/>
    <s v="Run: LOC Dev: Kick-off meeting PrimeBuild Payroll Processing Report Automation Support: Trial Balance and Cashraw Report November"/>
    <x v="2"/>
    <s v="Monday"/>
  </r>
  <r>
    <d v="2024-02-12T00:00:00"/>
    <x v="25"/>
    <s v="Bookkeeping"/>
    <n v="0.15"/>
    <x v="9"/>
    <s v="No"/>
    <s v="Non billable - fixing error - letter for employee re overpaymetn of super"/>
    <x v="2"/>
    <s v="Monday"/>
  </r>
  <r>
    <d v="2024-02-12T00:00:00"/>
    <x v="25"/>
    <s v="Bookkeeping"/>
    <n v="0.25"/>
    <x v="67"/>
    <s v="Yes"/>
    <s v="Review ANZ to update payroll details for Tyson"/>
    <x v="2"/>
    <s v="Monday"/>
  </r>
  <r>
    <d v="2024-02-12T00:00:00"/>
    <x v="25"/>
    <s v="Bookkeeping"/>
    <n v="0.4"/>
    <x v="24"/>
    <s v="Yes"/>
    <s v="Zambrero invoices for Jan and process updates "/>
    <x v="2"/>
    <s v="Monday"/>
  </r>
  <r>
    <d v="2024-02-12T00:00:00"/>
    <x v="25"/>
    <s v="Bookkeeping"/>
    <n v="0.42"/>
    <x v="42"/>
    <s v="Yes"/>
    <s v="Nine / Ten"/>
    <x v="2"/>
    <s v="Monday"/>
  </r>
  <r>
    <d v="2024-02-12T00:00:00"/>
    <x v="25"/>
    <s v="Business Development"/>
    <n v="0.33"/>
    <x v="12"/>
    <s v="Yes"/>
    <s v="Luminary mindset - set up accounts email, Xero file and secure note, message to Shalini re onboarding"/>
    <x v="2"/>
    <s v="Monday"/>
  </r>
  <r>
    <d v="2024-02-12T00:00:00"/>
    <x v="25"/>
    <s v="Client Admin"/>
    <n v="0.47"/>
    <x v="12"/>
    <s v="No"/>
    <s v="Em on Hol invocing, uidate tasks, emails"/>
    <x v="2"/>
    <s v="Monday"/>
  </r>
  <r>
    <d v="2024-02-12T00:00:00"/>
    <x v="25"/>
    <s v="Client Admin"/>
    <n v="0.75"/>
    <x v="12"/>
    <s v="No"/>
    <s v="Review of client invoicing and liaise with Mel issue invoices"/>
    <x v="2"/>
    <s v="Monday"/>
  </r>
  <r>
    <d v="2024-02-12T00:00:00"/>
    <x v="25"/>
    <s v="Client Manager"/>
    <n v="0.42"/>
    <x v="42"/>
    <s v="No"/>
    <s v="Update ATO re 3H registration, authorised contact Save copies of tax etc. and updates to Emily for tax return."/>
    <x v="2"/>
    <s v="Monday"/>
  </r>
  <r>
    <d v="2024-02-12T00:00:00"/>
    <x v="25"/>
    <s v="Client Meeting"/>
    <n v="0.23"/>
    <x v="43"/>
    <s v="Yes"/>
    <s v="Meeting with Matt"/>
    <x v="2"/>
    <s v="Monday"/>
  </r>
  <r>
    <d v="2024-02-12T00:00:00"/>
    <x v="25"/>
    <s v="Client Meeting"/>
    <n v="1"/>
    <x v="37"/>
    <s v="Yes"/>
    <s v="Finance team meeting and folow up"/>
    <x v="2"/>
    <s v="Monday"/>
  </r>
  <r>
    <d v="2024-02-12T00:00:00"/>
    <x v="25"/>
    <s v="General"/>
    <n v="0.08"/>
    <x v="12"/>
    <s v="No"/>
    <s v="Filing from downloads"/>
    <x v="2"/>
    <s v="Monday"/>
  </r>
  <r>
    <d v="2024-02-12T00:00:00"/>
    <x v="25"/>
    <s v="General"/>
    <n v="0.15"/>
    <x v="12"/>
    <s v="No"/>
    <s v="Teams calendar and emails"/>
    <x v="2"/>
    <s v="Monday"/>
  </r>
  <r>
    <d v="2024-02-12T00:00:00"/>
    <x v="25"/>
    <s v="General"/>
    <n v="0.42"/>
    <x v="12"/>
    <s v="No"/>
    <s v="Emails"/>
    <x v="2"/>
    <s v="Monday"/>
  </r>
  <r>
    <d v="2024-02-12T00:00:00"/>
    <x v="25"/>
    <s v="Meetings"/>
    <n v="0.73"/>
    <x v="12"/>
    <s v="No"/>
    <s v="Team meeting, call wtih Carly"/>
    <x v="2"/>
    <s v="Monday"/>
  </r>
  <r>
    <d v="2024-02-12T00:00:00"/>
    <x v="25"/>
    <s v="Payroll Processing"/>
    <n v="0.13"/>
    <x v="37"/>
    <s v="Yes"/>
    <s v="Reveiw leave liability query from Rose"/>
    <x v="2"/>
    <s v="Monday"/>
  </r>
  <r>
    <d v="2024-02-12T00:00:00"/>
    <x v="25"/>
    <s v="Payroll Processing"/>
    <n v="0.2"/>
    <x v="46"/>
    <s v="Yes"/>
    <s v="Update process notes for handover"/>
    <x v="2"/>
    <s v="Monday"/>
  </r>
  <r>
    <d v="2024-02-12T00:00:00"/>
    <x v="25"/>
    <s v="Payroll Processing"/>
    <n v="0.25"/>
    <x v="37"/>
    <s v="Yes"/>
    <s v="Lachlan Smith, Milenko PAYG issues - email with Mahendra"/>
    <x v="2"/>
    <s v="Monday"/>
  </r>
  <r>
    <d v="2024-02-12T00:00:00"/>
    <x v="25"/>
    <s v="Payroll Processing"/>
    <n v="0.28000000000000003"/>
    <x v="37"/>
    <s v="Yes"/>
    <s v="Emails for PB - personal and Payroll REview timesheet approvals as requested by Alison for 3x staff"/>
    <x v="2"/>
    <s v="Monday"/>
  </r>
  <r>
    <d v="2024-02-12T00:00:00"/>
    <x v="25"/>
    <s v="Payroll Processing"/>
    <n v="0.37"/>
    <x v="46"/>
    <s v="Yes"/>
    <s v="Check emails, remove GT sal sac, email Steven re new employees"/>
    <x v="2"/>
    <s v="Monday"/>
  </r>
  <r>
    <d v="2024-02-12T00:00:00"/>
    <x v="25"/>
    <s v="Payroll Processing"/>
    <n v="0.45"/>
    <x v="37"/>
    <s v="Yes"/>
    <s v="REview AL report and emial to Mahendra. Email to Andrew re review"/>
    <x v="2"/>
    <s v="Monday"/>
  </r>
  <r>
    <d v="2024-02-12T00:00:00"/>
    <x v="25"/>
    <s v="Payroll Processing"/>
    <n v="0.92"/>
    <x v="37"/>
    <s v="Yes"/>
    <s v="Costing and timesheet approval queries "/>
    <x v="2"/>
    <s v="Monday"/>
  </r>
  <r>
    <d v="2024-02-12T00:00:00"/>
    <x v="51"/>
    <s v="General"/>
    <n v="0.5"/>
    <x v="12"/>
    <s v="No"/>
    <s v="Candidate Retention - Jessica"/>
    <x v="2"/>
    <s v="Monday"/>
  </r>
  <r>
    <d v="2024-02-12T00:00:00"/>
    <x v="51"/>
    <s v="Meetings"/>
    <n v="0.5"/>
    <x v="12"/>
    <s v="No"/>
    <s v="Sydney Weekly Team Catch Up - Dexterous"/>
    <x v="2"/>
    <s v="Monday"/>
  </r>
  <r>
    <d v="2024-02-12T00:00:00"/>
    <x v="51"/>
    <s v="P&amp;C Advisory - Nordfab"/>
    <n v="1.25"/>
    <x v="63"/>
    <s v="Yes"/>
    <s v="Telephone Screens - Factory Hand/Warehouse Assistant (Gonzalo, David, Penaia, Marc &amp; Adam) - NSW - Nordfab - Alison"/>
    <x v="2"/>
    <s v="Monday"/>
  </r>
  <r>
    <d v="2024-02-12T00:00:00"/>
    <x v="51"/>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s v="Monday"/>
  </r>
  <r>
    <d v="2024-02-12T00:00:00"/>
    <x v="26"/>
    <s v="Client Meeting"/>
    <n v="0.32"/>
    <x v="16"/>
    <s v="No"/>
    <s v="Call with Reggie RE: Unrecorded transaction and others"/>
    <x v="2"/>
    <s v="Monday"/>
  </r>
  <r>
    <d v="2024-02-12T00:00:00"/>
    <x v="26"/>
    <s v="General"/>
    <n v="0.25"/>
    <x v="12"/>
    <s v="No"/>
    <s v="15 mins coffee breaks as paid per Labor Code of the Philippines, Article 85. ( Afternoon Break )  "/>
    <x v="2"/>
    <s v="Monday"/>
  </r>
  <r>
    <d v="2024-02-12T00:00:00"/>
    <x v="26"/>
    <s v="General"/>
    <n v="0.25"/>
    <x v="12"/>
    <s v="No"/>
    <s v="15 mins coffee breaks as paid per Labor Code of the Philippines, Article 85. ( Morning Break ) "/>
    <x v="2"/>
    <s v="Monday"/>
  </r>
  <r>
    <d v="2024-02-12T00:00:00"/>
    <x v="26"/>
    <s v="General"/>
    <n v="1.1299999999999999"/>
    <x v="12"/>
    <s v="No"/>
    <s v="APE required by Dexterous. Last stage ( X-ray requirements )"/>
    <x v="2"/>
    <s v="Monday"/>
  </r>
  <r>
    <d v="2024-02-12T00:00:00"/>
    <x v="26"/>
    <s v="HR/Recuitment"/>
    <n v="0.53"/>
    <x v="12"/>
    <s v="No"/>
    <s v="&gt;Social club and suggestion other games.  &gt;Other task not related to Social club ( Asana updates )"/>
    <x v="2"/>
    <s v="Monday"/>
  </r>
  <r>
    <d v="2024-02-12T00:00:00"/>
    <x v="26"/>
    <s v="IAS/BAS Preparation &amp; Lodgement - Jan"/>
    <n v="0.93"/>
    <x v="13"/>
    <s v="Yes"/>
    <s v="Jan BAS 2024"/>
    <x v="2"/>
    <s v="Monday"/>
  </r>
  <r>
    <d v="2024-02-12T00:00:00"/>
    <x v="26"/>
    <s v="IAS/BAS Preparation &amp; Lodgement - Jan"/>
    <n v="0.95"/>
    <x v="16"/>
    <s v="Yes"/>
    <s v="BAS process including fixing of XPM error "/>
    <x v="2"/>
    <s v="Monday"/>
  </r>
  <r>
    <d v="2024-02-12T00:00:00"/>
    <x v="26"/>
    <s v="IAS/BAS Preparation &amp; Lodgement - Jan"/>
    <n v="1.03"/>
    <x v="16"/>
    <s v="Yes"/>
    <m/>
    <x v="2"/>
    <s v="Monday"/>
  </r>
  <r>
    <d v="2024-02-12T00:00:00"/>
    <x v="26"/>
    <s v="IAS/BAS Preparation &amp; Lodgement - Oct-Dec"/>
    <n v="0.47"/>
    <x v="6"/>
    <s v="Yes"/>
    <s v="Digging of 1.6 payroll variance"/>
    <x v="2"/>
    <s v="Monday"/>
  </r>
  <r>
    <d v="2024-02-12T00:00:00"/>
    <x v="26"/>
    <s v="IT"/>
    <n v="0.25"/>
    <x v="12"/>
    <s v="No"/>
    <s v="Asana error"/>
    <x v="2"/>
    <s v="Monday"/>
  </r>
  <r>
    <d v="2024-02-12T00:00:00"/>
    <x v="26"/>
    <s v="IT"/>
    <n v="0.27"/>
    <x v="12"/>
    <s v="No"/>
    <s v="Xero Downtime: BAS unable to retrieve. "/>
    <x v="2"/>
    <s v="Monday"/>
  </r>
  <r>
    <d v="2024-02-12T00:00:00"/>
    <x v="26"/>
    <s v="Tax Admin"/>
    <n v="0.35"/>
    <x v="12"/>
    <s v="No"/>
    <s v="Fixing ASANA issue and error"/>
    <x v="2"/>
    <s v="Monday"/>
  </r>
  <r>
    <d v="2024-02-12T00:00:00"/>
    <x v="26"/>
    <s v="Tax Admin"/>
    <n v="1.28"/>
    <x v="12"/>
    <s v="No"/>
    <s v="&gt;Monitoring updates  &gt;Chat with Mariecon, Chat with Sarah &amp; Chat with Mel &gt;Reading emails and responding &gt;ASANA updates &gt;Chat with Gen &gt;RTO sched &gt;XPM updates &gt;Other adhoc."/>
    <x v="2"/>
    <s v="Monday"/>
  </r>
  <r>
    <d v="2024-02-12T00:00:00"/>
    <x v="27"/>
    <s v="Meetings"/>
    <n v="0.5"/>
    <x v="12"/>
    <s v="No"/>
    <s v="Weekly team meeting"/>
    <x v="2"/>
    <s v="Monday"/>
  </r>
  <r>
    <d v="2024-02-12T00:00:00"/>
    <x v="27"/>
    <s v="P&amp;C Advisory"/>
    <n v="7.5"/>
    <x v="19"/>
    <s v="Yes"/>
    <s v="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
    <x v="2"/>
    <s v="Monday"/>
  </r>
  <r>
    <d v="2024-02-12T00:00:00"/>
    <x v="28"/>
    <s v="Bookkeeping"/>
    <n v="0.17"/>
    <x v="49"/>
    <s v="Yes"/>
    <m/>
    <x v="2"/>
    <s v="Monday"/>
  </r>
  <r>
    <d v="2024-02-12T00:00:00"/>
    <x v="28"/>
    <s v="Bookkeeping"/>
    <n v="0.42"/>
    <x v="18"/>
    <s v="Yes"/>
    <m/>
    <x v="2"/>
    <s v="Monday"/>
  </r>
  <r>
    <d v="2024-02-12T00:00:00"/>
    <x v="28"/>
    <s v="Bookkeeping"/>
    <n v="1.55"/>
    <x v="17"/>
    <s v="Yes"/>
    <m/>
    <x v="2"/>
    <s v="Monday"/>
  </r>
  <r>
    <d v="2024-02-12T00:00:00"/>
    <x v="28"/>
    <s v="Bookkeeping"/>
    <n v="5.52"/>
    <x v="16"/>
    <s v="Yes"/>
    <m/>
    <x v="2"/>
    <s v="Monday"/>
  </r>
  <r>
    <d v="2024-02-12T00:00:00"/>
    <x v="28"/>
    <s v="General"/>
    <n v="0.4"/>
    <x v="12"/>
    <s v="No"/>
    <s v="emails, asana"/>
    <x v="2"/>
    <s v="Monday"/>
  </r>
  <r>
    <d v="2024-02-12T00:00:00"/>
    <x v="30"/>
    <s v="Debt Collection"/>
    <n v="2"/>
    <x v="12"/>
    <s v="Yes"/>
    <m/>
    <x v="2"/>
    <s v="Monday"/>
  </r>
  <r>
    <d v="2024-02-12T00:00:00"/>
    <x v="30"/>
    <s v="Debt Collection"/>
    <n v="4"/>
    <x v="16"/>
    <s v="Yes"/>
    <m/>
    <x v="2"/>
    <s v="Monday"/>
  </r>
  <r>
    <d v="2024-02-12T00:00:00"/>
    <x v="30"/>
    <s v="General"/>
    <n v="2"/>
    <x v="12"/>
    <s v="No"/>
    <s v="email clean up/asana"/>
    <x v="2"/>
    <s v="Monday"/>
  </r>
  <r>
    <d v="2024-02-12T00:00:00"/>
    <x v="31"/>
    <s v="Bookkeeping"/>
    <n v="0.53"/>
    <x v="12"/>
    <s v="No"/>
    <s v="SSS &amp; PHIC payment / emails"/>
    <x v="2"/>
    <s v="Monday"/>
  </r>
  <r>
    <d v="2024-02-12T00:00:00"/>
    <x v="31"/>
    <s v="Client Meeting"/>
    <n v="0.37"/>
    <x v="12"/>
    <s v="No"/>
    <s v="emails"/>
    <x v="2"/>
    <s v="Monday"/>
  </r>
  <r>
    <d v="2024-02-12T00:00:00"/>
    <x v="31"/>
    <s v="Client Meeting"/>
    <n v="2.2999999999999998"/>
    <x v="16"/>
    <s v="Yes"/>
    <s v="call with Rejie / call with Charm / call with Lindz"/>
    <x v="2"/>
    <s v="Monday"/>
  </r>
  <r>
    <d v="2024-02-12T00:00:00"/>
    <x v="31"/>
    <s v="General"/>
    <n v="1.67"/>
    <x v="12"/>
    <s v="No"/>
    <s v="summary quotation received / COA, TOIL, timesheet submission / Monthly Reporting"/>
    <x v="2"/>
    <s v="Monday"/>
  </r>
  <r>
    <d v="2024-02-12T00:00:00"/>
    <x v="31"/>
    <s v="Management Reporting"/>
    <n v="2.1800000000000002"/>
    <x v="16"/>
    <s v="Yes"/>
    <m/>
    <x v="2"/>
    <s v="Monday"/>
  </r>
  <r>
    <d v="2024-02-12T00:00:00"/>
    <x v="31"/>
    <s v="Management Reporting"/>
    <n v="2.5499999999999998"/>
    <x v="16"/>
    <s v="Yes"/>
    <s v="month-end / call with James / call with Rejie / Deferred Revenue"/>
    <x v="2"/>
    <s v="Monday"/>
  </r>
  <r>
    <d v="2024-02-12T00:00:00"/>
    <x v="32"/>
    <s v="Bookkeeping"/>
    <n v="0.9"/>
    <x v="51"/>
    <s v="Yes"/>
    <s v="Bills raise to xero of postscript transactions Import CBA 7334 and reconciled Import paypal currencies and reconciled "/>
    <x v="2"/>
    <s v="Monday"/>
  </r>
  <r>
    <d v="2024-02-12T00:00:00"/>
    <x v="32"/>
    <s v="Bookkeeping"/>
    <n v="3.08"/>
    <x v="51"/>
    <s v="Yes"/>
    <s v="Email Management Bills raise to xero Bank Reconciliation BM  Balance Sheet reconciliation - Paypal account"/>
    <x v="2"/>
    <s v="Monday"/>
  </r>
  <r>
    <d v="2024-02-12T00:00:00"/>
    <x v="32"/>
    <s v="Bookkeeping"/>
    <n v="3.17"/>
    <x v="51"/>
    <s v="Yes"/>
    <s v="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
    <x v="2"/>
    <s v="Monday"/>
  </r>
  <r>
    <d v="2024-02-12T00:00:00"/>
    <x v="32"/>
    <s v="General"/>
    <n v="0.5"/>
    <x v="12"/>
    <s v="No"/>
    <s v="Break"/>
    <x v="2"/>
    <s v="Monday"/>
  </r>
  <r>
    <d v="2024-02-12T00:00:00"/>
    <x v="32"/>
    <s v="Payroll Processing"/>
    <n v="0.35"/>
    <x v="51"/>
    <s v="Yes"/>
    <s v="Checked the employee list"/>
    <x v="2"/>
    <s v="Monday"/>
  </r>
  <r>
    <d v="2024-02-12T00:00:00"/>
    <x v="33"/>
    <s v="Annual Leave"/>
    <n v="8"/>
    <x v="12"/>
    <s v="No"/>
    <s v="Paternity Leave"/>
    <x v="2"/>
    <s v="Monday"/>
  </r>
  <r>
    <d v="2024-02-12T00:00:00"/>
    <x v="34"/>
    <s v="Bookkeeping"/>
    <n v="0.22"/>
    <x v="52"/>
    <s v="Yes"/>
    <m/>
    <x v="2"/>
    <s v="Monday"/>
  </r>
  <r>
    <d v="2024-02-12T00:00:00"/>
    <x v="34"/>
    <s v="Bookkeeping"/>
    <n v="0.53"/>
    <x v="45"/>
    <s v="Yes"/>
    <s v="Email Management Bills Processing Bank Recon Preparation of  unreconciled bank transactions and AP Report  "/>
    <x v="2"/>
    <s v="Monday"/>
  </r>
  <r>
    <d v="2024-02-12T00:00:00"/>
    <x v="34"/>
    <s v="Bookkeeping"/>
    <n v="0.93"/>
    <x v="52"/>
    <s v="Yes"/>
    <s v="Bills Processing Preparation of Unreconciled Bank Items and AP reports   Bank Recon Bill Processing Email Management"/>
    <x v="2"/>
    <s v="Monday"/>
  </r>
  <r>
    <d v="2024-02-12T00:00:00"/>
    <x v="34"/>
    <s v="Bookkeeping"/>
    <n v="1.1299999999999999"/>
    <x v="15"/>
    <s v="Yes"/>
    <m/>
    <x v="2"/>
    <s v="Monday"/>
  </r>
  <r>
    <d v="2024-02-12T00:00:00"/>
    <x v="34"/>
    <s v="Bookkeeping"/>
    <n v="1.2"/>
    <x v="15"/>
    <s v="Yes"/>
    <s v="Closing January Bank recon  Email Management Bill Processing  Invoice Processing Bank/Credit Card Recon "/>
    <x v="2"/>
    <s v="Monday"/>
  </r>
  <r>
    <d v="2024-02-12T00:00:00"/>
    <x v="34"/>
    <s v="General"/>
    <n v="0.56999999999999995"/>
    <x v="12"/>
    <s v="No"/>
    <s v="Email Management "/>
    <x v="2"/>
    <s v="Monday"/>
  </r>
  <r>
    <d v="2024-02-12T00:00:00"/>
    <x v="34"/>
    <s v="Payroll Processing"/>
    <n v="3.47"/>
    <x v="6"/>
    <s v="Yes"/>
    <s v="Processing of Payroll for both Admin and Choir  Rabbi Packages  Month End Journals and Adjustments "/>
    <x v="2"/>
    <s v="Monday"/>
  </r>
  <r>
    <d v="2024-02-12T00:00:00"/>
    <x v="35"/>
    <s v="Accounts"/>
    <n v="6.87"/>
    <x v="12"/>
    <s v="No"/>
    <s v="Compliance invoicing update/Ezidebit update/accounts email checking/bank recs update/Weekly invoicing and sending out to CM for approval and other request internally."/>
    <x v="2"/>
    <s v="Monday"/>
  </r>
  <r>
    <d v="2024-02-12T00:00:00"/>
    <x v="35"/>
    <s v="Bookkeeping"/>
    <n v="2.88"/>
    <x v="12"/>
    <s v="No"/>
    <s v="Catch up all emails/Attend and respond to each queries. Escalate and coordinate all necessary information or updates that needs to be done."/>
    <x v="2"/>
    <s v="Monday"/>
  </r>
  <r>
    <d v="2024-02-12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x v="2"/>
    <s v="Monday"/>
  </r>
  <r>
    <d v="2024-02-12T00:00:00"/>
    <x v="37"/>
    <s v="Public Holiday - Leave"/>
    <n v="5.5"/>
    <x v="12"/>
    <s v="No"/>
    <m/>
    <x v="2"/>
    <s v="Monday"/>
  </r>
  <r>
    <d v="2024-02-12T00:00:00"/>
    <x v="38"/>
    <s v="Client Manager"/>
    <n v="0.38"/>
    <x v="2"/>
    <s v="No"/>
    <s v="Meeting with Ann on times for Aileen and best approach on Asana tasks"/>
    <x v="2"/>
    <s v="Monday"/>
  </r>
  <r>
    <d v="2024-02-12T00:00:00"/>
    <x v="38"/>
    <s v="Client Manager"/>
    <n v="1.1499999999999999"/>
    <x v="54"/>
    <s v="Yes"/>
    <s v="unpaid invoice analysis"/>
    <x v="2"/>
    <s v="Monday"/>
  </r>
  <r>
    <d v="2024-02-12T00:00:00"/>
    <x v="38"/>
    <s v="Client Manager"/>
    <n v="1.2"/>
    <x v="54"/>
    <s v="Yes"/>
    <s v="month end"/>
    <x v="2"/>
    <s v="Monday"/>
  </r>
  <r>
    <d v="2024-02-12T00:00:00"/>
    <x v="38"/>
    <s v="Client Manager"/>
    <n v="1.78"/>
    <x v="2"/>
    <s v="Yes"/>
    <s v="budget review emails"/>
    <x v="2"/>
    <s v="Monday"/>
  </r>
  <r>
    <d v="2024-02-12T00:00:00"/>
    <x v="38"/>
    <s v="General"/>
    <n v="1.1000000000000001"/>
    <x v="12"/>
    <s v="No"/>
    <s v="emails, teams, Asana"/>
    <x v="2"/>
    <s v="Monday"/>
  </r>
  <r>
    <d v="2024-02-12T00:00:00"/>
    <x v="38"/>
    <s v="Meetings"/>
    <n v="0.38"/>
    <x v="12"/>
    <s v="No"/>
    <s v="weekly Sydney meeting"/>
    <x v="2"/>
    <s v="Monday"/>
  </r>
  <r>
    <d v="2024-02-12T00:00:00"/>
    <x v="39"/>
    <s v="Bookkeeping"/>
    <n v="0.18"/>
    <x v="35"/>
    <s v="Yes"/>
    <s v="email - connected"/>
    <x v="2"/>
    <s v="Monday"/>
  </r>
  <r>
    <d v="2024-02-12T00:00:00"/>
    <x v="39"/>
    <s v="Bookkeeping"/>
    <n v="0.27"/>
    <x v="35"/>
    <s v="Yes"/>
    <s v="connected culture"/>
    <x v="2"/>
    <s v="Monday"/>
  </r>
  <r>
    <d v="2024-02-12T00:00:00"/>
    <x v="39"/>
    <s v="Bookkeeping"/>
    <n v="0.42"/>
    <x v="55"/>
    <s v="Yes"/>
    <s v="AP, draft"/>
    <x v="2"/>
    <s v="Monday"/>
  </r>
  <r>
    <d v="2024-02-12T00:00:00"/>
    <x v="39"/>
    <s v="Bookkeeping"/>
    <n v="0.47"/>
    <x v="55"/>
    <s v="Yes"/>
    <m/>
    <x v="2"/>
    <s v="Monday"/>
  </r>
  <r>
    <d v="2024-02-12T00:00:00"/>
    <x v="39"/>
    <s v="Bookkeeping"/>
    <n v="0.78"/>
    <x v="14"/>
    <s v="Yes"/>
    <s v="BR, email"/>
    <x v="2"/>
    <s v="Monday"/>
  </r>
  <r>
    <d v="2024-02-12T00:00:00"/>
    <x v="39"/>
    <s v="Bookkeeping"/>
    <n v="2.97"/>
    <x v="55"/>
    <s v="Yes"/>
    <s v="AP files"/>
    <x v="2"/>
    <s v="Monday"/>
  </r>
  <r>
    <d v="2024-02-12T00:00:00"/>
    <x v="39"/>
    <s v="General"/>
    <n v="0.83"/>
    <x v="12"/>
    <s v="No"/>
    <s v="dext, review connected culture process for back up"/>
    <x v="2"/>
    <s v="Monday"/>
  </r>
  <r>
    <d v="2024-02-12T00:00:00"/>
    <x v="39"/>
    <s v="Payroll Processing"/>
    <n v="0.15"/>
    <x v="55"/>
    <s v="Yes"/>
    <m/>
    <x v="2"/>
    <s v="Monday"/>
  </r>
  <r>
    <d v="2024-02-12T00:00:00"/>
    <x v="39"/>
    <s v="Payroll Processing"/>
    <n v="0.18"/>
    <x v="30"/>
    <s v="Yes"/>
    <s v="email"/>
    <x v="2"/>
    <s v="Monday"/>
  </r>
  <r>
    <d v="2024-02-12T00:00:00"/>
    <x v="39"/>
    <s v="Payroll Processing"/>
    <n v="0.18"/>
    <x v="33"/>
    <s v="Yes"/>
    <s v="email"/>
    <x v="2"/>
    <s v="Monday"/>
  </r>
  <r>
    <d v="2024-02-12T00:00:00"/>
    <x v="39"/>
    <s v="Payroll Processing"/>
    <n v="0.56999999999999995"/>
    <x v="33"/>
    <s v="Yes"/>
    <s v="Thiha Hoe, leave loading update and Backpay"/>
    <x v="2"/>
    <s v="Monday"/>
  </r>
  <r>
    <d v="2024-02-12T00:00:00"/>
    <x v="39"/>
    <s v="Payroll Processing"/>
    <n v="0.7"/>
    <x v="33"/>
    <s v="Yes"/>
    <m/>
    <x v="2"/>
    <s v="Monday"/>
  </r>
  <r>
    <d v="2024-02-12T00:00:00"/>
    <x v="39"/>
    <s v="Payroll Processing"/>
    <n v="1.27"/>
    <x v="30"/>
    <s v="Yes"/>
    <s v="FT/PT"/>
    <x v="2"/>
    <s v="Monday"/>
  </r>
  <r>
    <d v="2024-02-12T00:00:00"/>
    <x v="39"/>
    <s v="Payroll Processing"/>
    <n v="2.37"/>
    <x v="30"/>
    <s v="Yes"/>
    <m/>
    <x v="2"/>
    <s v="Monday"/>
  </r>
  <r>
    <d v="2024-02-12T00:00:00"/>
    <x v="40"/>
    <s v="Bookkeeping"/>
    <n v="0.33"/>
    <x v="36"/>
    <s v="Yes"/>
    <s v="Managing Inbox"/>
    <x v="2"/>
    <s v="Monday"/>
  </r>
  <r>
    <d v="2024-02-12T00:00:00"/>
    <x v="40"/>
    <s v="Bookkeeping"/>
    <n v="0.9"/>
    <x v="50"/>
    <s v="Yes"/>
    <s v="1) Update repeating invoice of office sub-lease 2) Bank recs"/>
    <x v="2"/>
    <s v="Monday"/>
  </r>
  <r>
    <d v="2024-02-12T00:00:00"/>
    <x v="40"/>
    <s v="Bookkeeping"/>
    <n v="0.97"/>
    <x v="36"/>
    <s v="Yes"/>
    <s v="Payroll adjustment and answering queries"/>
    <x v="2"/>
    <s v="Monday"/>
  </r>
  <r>
    <d v="2024-02-12T00:00:00"/>
    <x v="40"/>
    <s v="Bookkeeping"/>
    <n v="2.5499999999999998"/>
    <x v="50"/>
    <s v="Yes"/>
    <m/>
    <x v="2"/>
    <s v="Monday"/>
  </r>
  <r>
    <d v="2024-02-12T00:00:00"/>
    <x v="40"/>
    <s v="Bookkeeping"/>
    <n v="3.95"/>
    <x v="36"/>
    <s v="Yes"/>
    <m/>
    <x v="2"/>
    <s v="Monday"/>
  </r>
  <r>
    <d v="2024-02-12T00:00:00"/>
    <x v="40"/>
    <s v="General"/>
    <n v="0.22"/>
    <x v="12"/>
    <s v="No"/>
    <s v="Dex emails"/>
    <x v="2"/>
    <s v="Monday"/>
  </r>
  <r>
    <d v="2024-02-12T00:00:00"/>
    <x v="41"/>
    <s v="General"/>
    <n v="0.5"/>
    <x v="12"/>
    <s v="No"/>
    <s v="Sprout review - attendance and time logs"/>
    <x v="2"/>
    <s v="Monday"/>
  </r>
  <r>
    <d v="2024-02-12T00:00:00"/>
    <x v="41"/>
    <s v="General"/>
    <n v="0.77"/>
    <x v="12"/>
    <s v="No"/>
    <s v="CPR dashboard continued"/>
    <x v="2"/>
    <s v="Monday"/>
  </r>
  <r>
    <d v="2024-02-12T00:00:00"/>
    <x v="41"/>
    <s v="General"/>
    <n v="1.48"/>
    <x v="12"/>
    <s v="No"/>
    <s v="Billable reporting - weekly and monthly Sprout approvals XPM timesheets review and chasing reminders"/>
    <x v="2"/>
    <s v="Monday"/>
  </r>
  <r>
    <d v="2024-02-12T00:00:00"/>
    <x v="41"/>
    <s v="General"/>
    <n v="1.92"/>
    <x v="12"/>
    <s v="No"/>
    <s v="Dashboard creation project start"/>
    <x v="2"/>
    <s v="Monday"/>
  </r>
  <r>
    <d v="2024-02-12T00:00:00"/>
    <x v="41"/>
    <s v="General"/>
    <n v="2.97"/>
    <x v="12"/>
    <s v="No"/>
    <s v="Xero certification"/>
    <x v="2"/>
    <s v="Monday"/>
  </r>
  <r>
    <d v="2024-02-12T00:00:00"/>
    <x v="41"/>
    <s v="Meetings"/>
    <n v="0.25"/>
    <x v="12"/>
    <s v="No"/>
    <s v="Meeting with Nica re: Performance Pro"/>
    <x v="2"/>
    <s v="Monday"/>
  </r>
  <r>
    <d v="2024-02-12T00:00:00"/>
    <x v="41"/>
    <s v="Meetings"/>
    <n v="0.52"/>
    <x v="12"/>
    <s v="No"/>
    <s v="monthly 1:1 rose"/>
    <x v="2"/>
    <s v="Monday"/>
  </r>
  <r>
    <d v="2024-02-12T00:00:00"/>
    <x v="42"/>
    <s v="Bookkeeping"/>
    <n v="3.92"/>
    <x v="16"/>
    <s v="Yes"/>
    <m/>
    <x v="2"/>
    <s v="Monday"/>
  </r>
  <r>
    <d v="2024-02-12T00:00:00"/>
    <x v="42"/>
    <s v="Bookkeeping"/>
    <n v="4.95"/>
    <x v="16"/>
    <s v="Yes"/>
    <s v="BS Rec file - Prepayments and Top customer"/>
    <x v="2"/>
    <s v="Monday"/>
  </r>
  <r>
    <d v="2024-02-12T00:00:00"/>
    <x v="43"/>
    <s v="Bookkeeping"/>
    <n v="1.17"/>
    <x v="75"/>
    <s v="Yes"/>
    <s v="Shadow and guide Gerardo in raising bills and checking statements"/>
    <x v="2"/>
    <s v="Monday"/>
  </r>
  <r>
    <d v="2024-02-12T00:00:00"/>
    <x v="43"/>
    <s v="Bookkeeping"/>
    <n v="2.5499999999999998"/>
    <x v="73"/>
    <s v="Yes"/>
    <s v="Handover bills entering to Ge Enter bills for WPK"/>
    <x v="2"/>
    <s v="Monday"/>
  </r>
  <r>
    <d v="2024-02-12T00:00:00"/>
    <x v="43"/>
    <s v="General"/>
    <n v="0.37"/>
    <x v="12"/>
    <s v="No"/>
    <s v="Morning emails, update Asan from Firday, teams messages"/>
    <x v="2"/>
    <s v="Monday"/>
  </r>
  <r>
    <d v="2024-02-12T00:00:00"/>
    <x v="43"/>
    <s v="General"/>
    <n v="0.45"/>
    <x v="12"/>
    <s v="No"/>
    <s v="Check emails before loggin out, update asana,"/>
    <x v="2"/>
    <s v="Monday"/>
  </r>
  <r>
    <d v="2024-02-12T00:00:00"/>
    <x v="43"/>
    <s v="General"/>
    <n v="0.5"/>
    <x v="12"/>
    <s v="No"/>
    <s v="Break"/>
    <x v="2"/>
    <s v="Monday"/>
  </r>
  <r>
    <d v="2024-02-12T00:00:00"/>
    <x v="43"/>
    <s v="Meetings"/>
    <n v="0.5"/>
    <x v="12"/>
    <s v="No"/>
    <s v="1:1 with Ralph"/>
    <x v="2"/>
    <s v="Monday"/>
  </r>
  <r>
    <d v="2024-02-12T00:00:00"/>
    <x v="43"/>
    <s v="Payroll Processing"/>
    <n v="0.28000000000000003"/>
    <x v="37"/>
    <s v="Yes"/>
    <s v="Queries from Allison and Bryce re timesheets location tagging"/>
    <x v="2"/>
    <s v="Monday"/>
  </r>
  <r>
    <d v="2024-02-12T00:00:00"/>
    <x v="43"/>
    <s v="Payroll Processing"/>
    <n v="0.62"/>
    <x v="37"/>
    <s v="Yes"/>
    <s v="Email from Ronnie re leave taken summary for Angelique S and Sukhdeep from 1 July 23 up to present. Export report and respond to email"/>
    <x v="2"/>
    <s v="Monday"/>
  </r>
  <r>
    <d v="2024-02-12T00:00:00"/>
    <x v="43"/>
    <s v="Payroll Processing"/>
    <n v="0.75"/>
    <x v="16"/>
    <s v="Yes"/>
    <s v="Set up new employee, respond to payroll emails"/>
    <x v="2"/>
    <s v="Monday"/>
  </r>
  <r>
    <d v="2024-02-12T00:00:00"/>
    <x v="43"/>
    <s v="Payroll Processing"/>
    <n v="0.82"/>
    <x v="37"/>
    <s v="Yes"/>
    <s v="AL report query from Mahendra, investigate variance, messages with kate"/>
    <x v="2"/>
    <s v="Monday"/>
  </r>
  <r>
    <d v="2024-02-12T00:00:00"/>
    <x v="45"/>
    <s v="Bookkeeping"/>
    <n v="0.35"/>
    <x v="50"/>
    <s v="Yes"/>
    <s v="Post IAS bills and reconcile BELCR PAYG account"/>
    <x v="2"/>
    <s v="Monday"/>
  </r>
  <r>
    <d v="2024-02-12T00:00:00"/>
    <x v="45"/>
    <s v="Bookkeeping"/>
    <n v="0.62"/>
    <x v="71"/>
    <s v="Yes"/>
    <s v="GST review"/>
    <x v="2"/>
    <s v="Monday"/>
  </r>
  <r>
    <d v="2024-02-12T00:00:00"/>
    <x v="45"/>
    <s v="Bookkeeping"/>
    <n v="0.67"/>
    <x v="50"/>
    <s v="Yes"/>
    <s v="Process docs"/>
    <x v="2"/>
    <s v="Monday"/>
  </r>
  <r>
    <d v="2024-02-12T00:00:00"/>
    <x v="45"/>
    <s v="Bookkeeping"/>
    <n v="0.77"/>
    <x v="71"/>
    <s v="Yes"/>
    <s v="Monthly BS rec"/>
    <x v="2"/>
    <s v="Monday"/>
  </r>
  <r>
    <d v="2024-02-12T00:00:00"/>
    <x v="45"/>
    <s v="Bookkeeping"/>
    <n v="1.2"/>
    <x v="57"/>
    <s v="Yes"/>
    <s v="Bank rec Post monthly AR invoice Update cashflow file Set up ATO payment plan"/>
    <x v="2"/>
    <s v="Monday"/>
  </r>
  <r>
    <d v="2024-02-12T00:00:00"/>
    <x v="45"/>
    <s v="Bookkeeping"/>
    <n v="2.5299999999999998"/>
    <x v="50"/>
    <s v="Yes"/>
    <s v="Create process documents"/>
    <x v="2"/>
    <s v="Monday"/>
  </r>
  <r>
    <d v="2024-02-12T00:00:00"/>
    <x v="45"/>
    <s v="General"/>
    <n v="0.5"/>
    <x v="12"/>
    <s v="No"/>
    <s v="Paid break"/>
    <x v="2"/>
    <s v="Monday"/>
  </r>
  <r>
    <d v="2024-02-12T00:00:00"/>
    <x v="45"/>
    <s v="IAS/BAS Preparation &amp; Lodgement - Oct-Dec"/>
    <n v="0.23"/>
    <x v="57"/>
    <s v="Yes"/>
    <s v="Accounts review BAS checklist"/>
    <x v="2"/>
    <s v="Monday"/>
  </r>
  <r>
    <d v="2024-02-12T00:00:00"/>
    <x v="45"/>
    <s v="Payroll Processing"/>
    <n v="0.17"/>
    <x v="58"/>
    <s v="Yes"/>
    <s v="Payroll reports"/>
    <x v="2"/>
    <s v="Monday"/>
  </r>
  <r>
    <d v="2024-02-12T00:00:00"/>
    <x v="45"/>
    <s v="Payroll Processing"/>
    <n v="1.1200000000000001"/>
    <x v="50"/>
    <s v="Yes"/>
    <s v="Set up new employee Payroll tax rec"/>
    <x v="2"/>
    <s v="Monday"/>
  </r>
  <r>
    <d v="2024-02-12T00:00:00"/>
    <x v="46"/>
    <s v="Client Manager"/>
    <n v="6.25"/>
    <x v="88"/>
    <s v="Yes"/>
    <s v="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
    <x v="2"/>
    <s v="Monday"/>
  </r>
  <r>
    <d v="2024-02-12T00:00:00"/>
    <x v="46"/>
    <s v="General"/>
    <n v="0.25"/>
    <x v="12"/>
    <s v="No"/>
    <s v="Respond to Sack Me email re termination, final notice and Xero subs transfer."/>
    <x v="2"/>
    <s v="Monday"/>
  </r>
  <r>
    <d v="2024-02-12T00:00:00"/>
    <x v="46"/>
    <s v="Meetings"/>
    <n v="0.5"/>
    <x v="12"/>
    <s v="No"/>
    <s v="Weekly Sydney meeting"/>
    <x v="2"/>
    <s v="Monday"/>
  </r>
  <r>
    <d v="2024-02-12T00:00:00"/>
    <x v="47"/>
    <s v="Bookkeeping"/>
    <n v="0.5"/>
    <x v="50"/>
    <s v="Yes"/>
    <s v="Icare invoices x 2 "/>
    <x v="2"/>
    <s v="Monday"/>
  </r>
  <r>
    <d v="2024-02-12T00:00:00"/>
    <x v="47"/>
    <s v="Bookkeeping"/>
    <n v="0.5"/>
    <x v="50"/>
    <s v="Yes"/>
    <s v="RIL ASIC: call Nick, get form 362, get tax returns, emails"/>
    <x v="2"/>
    <s v="Monday"/>
  </r>
  <r>
    <d v="2024-02-12T00:00:00"/>
    <x v="47"/>
    <s v="Bookkeeping"/>
    <n v="0.6"/>
    <x v="50"/>
    <s v="Yes"/>
    <s v="BELCR franking credit - update calculations- send to Stephen"/>
    <x v="2"/>
    <s v="Monday"/>
  </r>
  <r>
    <d v="2024-02-12T00:00:00"/>
    <x v="47"/>
    <s v="Bookkeeping"/>
    <n v="0.6"/>
    <x v="50"/>
    <s v="Yes"/>
    <s v="correct offsite costs and recharge"/>
    <x v="2"/>
    <s v="Monday"/>
  </r>
  <r>
    <d v="2024-02-12T00:00:00"/>
    <x v="47"/>
    <s v="Client Manager"/>
    <n v="0.6"/>
    <x v="50"/>
    <s v="Yes"/>
    <s v="Emails, liaise with team"/>
    <x v="2"/>
    <s v="Monday"/>
  </r>
  <r>
    <d v="2024-02-12T00:00:00"/>
    <x v="47"/>
    <s v="Client Meeting"/>
    <n v="1.5"/>
    <x v="50"/>
    <s v="Yes"/>
    <s v="Catch up Stephen"/>
    <x v="2"/>
    <s v="Monday"/>
  </r>
  <r>
    <d v="2024-02-12T00:00:00"/>
    <x v="47"/>
    <s v="General"/>
    <n v="0.3"/>
    <x v="12"/>
    <s v="No"/>
    <s v="IT issues with Asana"/>
    <x v="2"/>
    <s v="Monday"/>
  </r>
  <r>
    <d v="2024-02-12T00:00:00"/>
    <x v="47"/>
    <s v="General"/>
    <n v="0.8"/>
    <x v="12"/>
    <s v="No"/>
    <s v="Update Asana, teams, emails "/>
    <x v="2"/>
    <s v="Monday"/>
  </r>
  <r>
    <d v="2024-02-12T00:00:00"/>
    <x v="47"/>
    <s v="Management Reporting"/>
    <n v="0.73"/>
    <x v="50"/>
    <s v="Yes"/>
    <m/>
    <x v="2"/>
    <s v="Monday"/>
  </r>
  <r>
    <d v="2024-02-12T00:00:00"/>
    <x v="47"/>
    <s v="Meetings"/>
    <n v="0.5"/>
    <x v="12"/>
    <s v="No"/>
    <s v="Weekly catch up"/>
    <x v="2"/>
    <s v="Monday"/>
  </r>
  <r>
    <d v="2024-02-12T00:00:00"/>
    <x v="47"/>
    <s v="Payroll Processing"/>
    <n v="0.5"/>
    <x v="50"/>
    <s v="Yes"/>
    <s v="New employee Cian"/>
    <x v="2"/>
    <s v="Monday"/>
  </r>
  <r>
    <d v="2024-02-12T00:00:00"/>
    <x v="48"/>
    <s v="Sick Leave"/>
    <n v="8"/>
    <x v="12"/>
    <s v="No"/>
    <m/>
    <x v="2"/>
    <s v="Monday"/>
  </r>
  <r>
    <d v="2024-02-13T00:00:00"/>
    <x v="0"/>
    <s v="Bookkeeping"/>
    <n v="0.05"/>
    <x v="19"/>
    <s v="Yes"/>
    <s v="Enter bill in Sage"/>
    <x v="2"/>
    <s v="Tuesday"/>
  </r>
  <r>
    <d v="2024-02-13T00:00:00"/>
    <x v="0"/>
    <s v="Bookkeeping"/>
    <n v="0.08"/>
    <x v="2"/>
    <s v="Yes"/>
    <s v="Review"/>
    <x v="2"/>
    <s v="Tuesday"/>
  </r>
  <r>
    <d v="2024-02-13T00:00:00"/>
    <x v="0"/>
    <s v="Bookkeeping"/>
    <n v="0.08"/>
    <x v="3"/>
    <s v="Yes"/>
    <s v="Email"/>
    <x v="2"/>
    <s v="Tuesday"/>
  </r>
  <r>
    <d v="2024-02-13T00:00:00"/>
    <x v="0"/>
    <s v="Bookkeeping"/>
    <n v="0.12"/>
    <x v="4"/>
    <s v="Yes"/>
    <s v="Email"/>
    <x v="2"/>
    <s v="Tuesday"/>
  </r>
  <r>
    <d v="2024-02-13T00:00:00"/>
    <x v="0"/>
    <s v="Bookkeeping"/>
    <n v="0.17"/>
    <x v="4"/>
    <s v="Yes"/>
    <s v="AP and Email/Inbox Management"/>
    <x v="2"/>
    <s v="Tuesday"/>
  </r>
  <r>
    <d v="2024-02-13T00:00:00"/>
    <x v="0"/>
    <s v="Bookkeeping"/>
    <n v="0.17"/>
    <x v="3"/>
    <s v="Yes"/>
    <s v="Submit bill for approval in Xero"/>
    <x v="2"/>
    <s v="Tuesday"/>
  </r>
  <r>
    <d v="2024-02-13T00:00:00"/>
    <x v="0"/>
    <s v="Bookkeeping"/>
    <n v="0.18"/>
    <x v="0"/>
    <s v="Yes"/>
    <s v="Accounts Receivable"/>
    <x v="2"/>
    <s v="Tuesday"/>
  </r>
  <r>
    <d v="2024-02-13T00:00:00"/>
    <x v="0"/>
    <s v="Bookkeeping"/>
    <n v="0.22"/>
    <x v="5"/>
    <s v="Yes"/>
    <s v="Download Bank Statements"/>
    <x v="2"/>
    <s v="Tuesday"/>
  </r>
  <r>
    <d v="2024-02-13T00:00:00"/>
    <x v="0"/>
    <s v="Bookkeeping"/>
    <n v="0.27"/>
    <x v="3"/>
    <s v="Yes"/>
    <s v="Clear AP inbox and Submit bills for approval in Xero"/>
    <x v="2"/>
    <s v="Tuesday"/>
  </r>
  <r>
    <d v="2024-02-13T00:00:00"/>
    <x v="0"/>
    <s v="Bookkeeping"/>
    <n v="0.28000000000000003"/>
    <x v="62"/>
    <s v="Yes"/>
    <s v="Accounts Payable"/>
    <x v="2"/>
    <s v="Tuesday"/>
  </r>
  <r>
    <d v="2024-02-13T00:00:00"/>
    <x v="0"/>
    <s v="Bookkeeping"/>
    <n v="0.28000000000000003"/>
    <x v="62"/>
    <s v="Yes"/>
    <s v="Email"/>
    <x v="2"/>
    <s v="Tuesday"/>
  </r>
  <r>
    <d v="2024-02-13T00:00:00"/>
    <x v="0"/>
    <s v="Bookkeeping"/>
    <n v="0.3"/>
    <x v="2"/>
    <s v="Yes"/>
    <s v="Upload contact details from AgriChain to Xero"/>
    <x v="2"/>
    <s v="Tuesday"/>
  </r>
  <r>
    <d v="2024-02-13T00:00:00"/>
    <x v="0"/>
    <s v="Bookkeeping"/>
    <n v="0.37"/>
    <x v="6"/>
    <s v="Yes"/>
    <s v="AP and Email/Inbox Management"/>
    <x v="2"/>
    <s v="Tuesday"/>
  </r>
  <r>
    <d v="2024-02-13T00:00:00"/>
    <x v="0"/>
    <s v="Bookkeeping"/>
    <n v="0.5"/>
    <x v="2"/>
    <s v="Yes"/>
    <s v="Add new accounts in CoA and Manual Journals"/>
    <x v="2"/>
    <s v="Tuesday"/>
  </r>
  <r>
    <d v="2024-02-13T00:00:00"/>
    <x v="0"/>
    <s v="Bookkeeping"/>
    <n v="0.7"/>
    <x v="19"/>
    <s v="Yes"/>
    <s v="Enter bills in Sage"/>
    <x v="2"/>
    <s v="Tuesday"/>
  </r>
  <r>
    <d v="2024-02-13T00:00:00"/>
    <x v="0"/>
    <s v="Bookkeeping"/>
    <n v="1.08"/>
    <x v="2"/>
    <s v="Yes"/>
    <s v="Check commodities balance in Xero vs AgriChain"/>
    <x v="2"/>
    <s v="Tuesday"/>
  </r>
  <r>
    <d v="2024-02-13T00:00:00"/>
    <x v="0"/>
    <s v="Bookkeeping"/>
    <n v="1.33"/>
    <x v="62"/>
    <s v="Yes"/>
    <s v="Check CreditorWatch bills, Emails, and Re-code transactions "/>
    <x v="2"/>
    <s v="Tuesday"/>
  </r>
  <r>
    <d v="2024-02-13T00:00:00"/>
    <x v="0"/>
    <s v="General"/>
    <n v="0.1"/>
    <x v="12"/>
    <s v="No"/>
    <s v="Admin emails"/>
    <x v="2"/>
    <s v="Tuesday"/>
  </r>
  <r>
    <d v="2024-02-13T00:00:00"/>
    <x v="0"/>
    <s v="General"/>
    <n v="0.25"/>
    <x v="12"/>
    <s v="No"/>
    <s v="Afternoon Break"/>
    <x v="2"/>
    <s v="Tuesday"/>
  </r>
  <r>
    <d v="2024-02-13T00:00:00"/>
    <x v="0"/>
    <s v="General"/>
    <n v="0.25"/>
    <x v="12"/>
    <s v="No"/>
    <s v="Morning Break"/>
    <x v="2"/>
    <s v="Tuesday"/>
  </r>
  <r>
    <d v="2024-02-13T00:00:00"/>
    <x v="0"/>
    <s v="Management Reporting"/>
    <n v="0.92"/>
    <x v="5"/>
    <s v="Yes"/>
    <s v="Balance Sheet Reconciliation"/>
    <x v="2"/>
    <s v="Tuesday"/>
  </r>
  <r>
    <d v="2024-02-13T00:00:00"/>
    <x v="0"/>
    <s v="Payroll Processing"/>
    <n v="0.3"/>
    <x v="13"/>
    <s v="Yes"/>
    <s v="Email"/>
    <x v="2"/>
    <s v="Tuesday"/>
  </r>
  <r>
    <d v="2024-02-13T00:00:00"/>
    <x v="49"/>
    <s v="P&amp;C Advisory - Group"/>
    <n v="1.25"/>
    <x v="63"/>
    <s v="Yes"/>
    <s v="Weekly call with FD Overtime management policy"/>
    <x v="2"/>
    <s v="Tuesday"/>
  </r>
  <r>
    <d v="2024-02-13T00:00:00"/>
    <x v="49"/>
    <s v="P&amp;C Advisory - Nederman Mikropul"/>
    <n v="0.33"/>
    <x v="63"/>
    <s v="Yes"/>
    <s v="Correspondence/calls re. disciplinary meeting"/>
    <x v="2"/>
    <s v="Tuesday"/>
  </r>
  <r>
    <d v="2024-02-13T00:00:00"/>
    <x v="49"/>
    <s v="P&amp;C Advisory - Nederman PT"/>
    <n v="1.42"/>
    <x v="63"/>
    <s v="Yes"/>
    <s v="Call/correspondence re. Sydney operations, recruitment and performance concerns Draft script re. performance concerns"/>
    <x v="2"/>
    <s v="Tuesday"/>
  </r>
  <r>
    <d v="2024-02-13T00:00:00"/>
    <x v="49"/>
    <s v="P&amp;C Advisory - Nordfab"/>
    <n v="1.17"/>
    <x v="63"/>
    <s v="Yes"/>
    <s v="Weekly Finance/HR meeting Call with GM re. recruitment and resourcing concerns Correspondence re. recruitment"/>
    <x v="2"/>
    <s v="Tuesday"/>
  </r>
  <r>
    <d v="2024-02-13T00:00:00"/>
    <x v="1"/>
    <s v="Bookkeeping"/>
    <n v="0.33"/>
    <x v="15"/>
    <s v="Yes"/>
    <m/>
    <x v="2"/>
    <s v="Tuesday"/>
  </r>
  <r>
    <d v="2024-02-13T00:00:00"/>
    <x v="1"/>
    <s v="Bookkeeping"/>
    <n v="0.97"/>
    <x v="14"/>
    <s v="Yes"/>
    <m/>
    <x v="2"/>
    <s v="Tuesday"/>
  </r>
  <r>
    <d v="2024-02-13T00:00:00"/>
    <x v="1"/>
    <s v="Bookkeeping"/>
    <n v="1.05"/>
    <x v="64"/>
    <s v="Yes"/>
    <m/>
    <x v="2"/>
    <s v="Tuesday"/>
  </r>
  <r>
    <d v="2024-02-13T00:00:00"/>
    <x v="1"/>
    <s v="General"/>
    <n v="0.5"/>
    <x v="12"/>
    <s v="No"/>
    <s v="chats, emails, check and sign ITR"/>
    <x v="2"/>
    <s v="Tuesday"/>
  </r>
  <r>
    <d v="2024-02-13T00:00:00"/>
    <x v="1"/>
    <s v="General"/>
    <n v="0.67"/>
    <x v="12"/>
    <s v="No"/>
    <s v="chats, call with Con re staff performance issues"/>
    <x v="2"/>
    <s v="Tuesday"/>
  </r>
  <r>
    <d v="2024-02-13T00:00:00"/>
    <x v="1"/>
    <s v="General"/>
    <n v="1"/>
    <x v="12"/>
    <s v="No"/>
    <s v="perfpro, emails, capacity, check concerns"/>
    <x v="2"/>
    <s v="Tuesday"/>
  </r>
  <r>
    <d v="2024-02-13T00:00:00"/>
    <x v="1"/>
    <s v="General"/>
    <n v="1.25"/>
    <x v="12"/>
    <s v="No"/>
    <m/>
    <x v="2"/>
    <s v="Tuesday"/>
  </r>
  <r>
    <d v="2024-02-13T00:00:00"/>
    <x v="1"/>
    <s v="General"/>
    <n v="1.77"/>
    <x v="12"/>
    <s v="No"/>
    <s v="capacity file, review possible client movements, check how to improve weekly huddles, etc"/>
    <x v="2"/>
    <s v="Tuesday"/>
  </r>
  <r>
    <d v="2024-02-13T00:00:00"/>
    <x v="1"/>
    <s v="Payroll Processing"/>
    <n v="0.47"/>
    <x v="14"/>
    <s v="Yes"/>
    <m/>
    <x v="2"/>
    <s v="Tuesday"/>
  </r>
  <r>
    <d v="2024-02-13T00:00:00"/>
    <x v="2"/>
    <s v="General"/>
    <n v="7.52"/>
    <x v="12"/>
    <s v="No"/>
    <s v="Checking files for Final Handover - Pelan and Harmony"/>
    <x v="2"/>
    <s v="Tuesday"/>
  </r>
  <r>
    <d v="2024-02-13T00:00:00"/>
    <x v="2"/>
    <s v="Meetings"/>
    <n v="0.5"/>
    <x v="12"/>
    <s v="No"/>
    <s v="Quick catch up with Jim for Harmony Build - Payment set up"/>
    <x v="2"/>
    <s v="Tuesday"/>
  </r>
  <r>
    <d v="2024-02-13T00:00:00"/>
    <x v="3"/>
    <s v="Business Development"/>
    <n v="5"/>
    <x v="12"/>
    <s v="No"/>
    <s v="Multiple meetings to confirm details / points for manual  continuation of remaining flows and manuals"/>
    <x v="2"/>
    <s v="Tuesday"/>
  </r>
  <r>
    <d v="2024-02-13T00:00:00"/>
    <x v="3"/>
    <s v="Business Development"/>
    <n v="8"/>
    <x v="12"/>
    <s v="No"/>
    <s v="Multiple meetings to confirm details / points for manual  continuation of remaining flows and manuals  "/>
    <x v="2"/>
    <s v="Tuesday"/>
  </r>
  <r>
    <d v="2024-02-13T00:00:00"/>
    <x v="4"/>
    <s v="Business Development"/>
    <n v="9.5"/>
    <x v="12"/>
    <s v="No"/>
    <m/>
    <x v="2"/>
    <s v="Tuesday"/>
  </r>
  <r>
    <d v="2024-02-13T00:00:00"/>
    <x v="5"/>
    <s v="Bookkeeping"/>
    <n v="0.57999999999999996"/>
    <x v="16"/>
    <s v="Yes"/>
    <s v="Verification of Bank Details"/>
    <x v="2"/>
    <s v="Tuesday"/>
  </r>
  <r>
    <d v="2024-02-13T00:00:00"/>
    <x v="5"/>
    <s v="Bookkeeping"/>
    <n v="0.75"/>
    <x v="16"/>
    <s v="Yes"/>
    <s v="Responding to James' comments on the EFT lists"/>
    <x v="2"/>
    <s v="Tuesday"/>
  </r>
  <r>
    <d v="2024-02-13T00:00:00"/>
    <x v="5"/>
    <s v="Bookkeeping"/>
    <n v="1.2"/>
    <x v="16"/>
    <s v="Yes"/>
    <s v="Batching of invoices for pay run "/>
    <x v="2"/>
    <s v="Tuesday"/>
  </r>
  <r>
    <d v="2024-02-13T00:00:00"/>
    <x v="5"/>
    <s v="Bookkeeping"/>
    <n v="1.72"/>
    <x v="16"/>
    <s v="Yes"/>
    <s v="Email Management"/>
    <x v="2"/>
    <s v="Tuesday"/>
  </r>
  <r>
    <d v="2024-02-13T00:00:00"/>
    <x v="5"/>
    <s v="Bookkeeping"/>
    <n v="3.95"/>
    <x v="16"/>
    <s v="Yes"/>
    <s v="AP Processing"/>
    <x v="2"/>
    <s v="Tuesday"/>
  </r>
  <r>
    <d v="2024-02-13T00:00:00"/>
    <x v="6"/>
    <s v="Bookkeeping"/>
    <n v="0.33"/>
    <x v="18"/>
    <s v="No"/>
    <s v="Trupanion Handover with Lindsay"/>
    <x v="2"/>
    <s v="Tuesday"/>
  </r>
  <r>
    <d v="2024-02-13T00:00:00"/>
    <x v="6"/>
    <s v="Bookkeeping"/>
    <n v="2.58"/>
    <x v="19"/>
    <s v="Yes"/>
    <s v="Bank Reconciliation"/>
    <x v="2"/>
    <s v="Tuesday"/>
  </r>
  <r>
    <d v="2024-02-13T00:00:00"/>
    <x v="6"/>
    <s v="General"/>
    <n v="0.42"/>
    <x v="12"/>
    <s v="No"/>
    <s v="Asana Checking Sprout Checking XPM  Transfer Asana Tasks Assigned to Handover Issues countered with the new assigned person "/>
    <x v="2"/>
    <s v="Tuesday"/>
  </r>
  <r>
    <d v="2024-02-13T00:00:00"/>
    <x v="6"/>
    <s v="General"/>
    <n v="4.67"/>
    <x v="12"/>
    <s v="No"/>
    <m/>
    <x v="2"/>
    <s v="Tuesday"/>
  </r>
  <r>
    <d v="2024-02-13T00:00:00"/>
    <x v="7"/>
    <s v="Automations"/>
    <n v="11.77"/>
    <x v="12"/>
    <s v="No"/>
    <m/>
    <x v="2"/>
    <s v="Tuesday"/>
  </r>
  <r>
    <d v="2024-02-13T00:00:00"/>
    <x v="9"/>
    <s v="Automations"/>
    <n v="2"/>
    <x v="12"/>
    <s v="No"/>
    <s v="Run four Alliance automations + AP automation;"/>
    <x v="2"/>
    <s v="Tuesday"/>
  </r>
  <r>
    <d v="2024-02-13T00:00:00"/>
    <x v="10"/>
    <s v="Automations"/>
    <n v="9.08"/>
    <x v="12"/>
    <s v="No"/>
    <s v="Alliance Automation Part 2 Developement"/>
    <x v="2"/>
    <s v="Tuesday"/>
  </r>
  <r>
    <d v="2024-02-13T00:00:00"/>
    <x v="11"/>
    <s v="Bookkeeping"/>
    <n v="0.25"/>
    <x v="60"/>
    <s v="Yes"/>
    <s v="Loading bills form HubDoc, bank recon"/>
    <x v="2"/>
    <s v="Tuesday"/>
  </r>
  <r>
    <d v="2024-02-13T00:00:00"/>
    <x v="11"/>
    <s v="Bookkeeping"/>
    <n v="0.25"/>
    <x v="42"/>
    <s v="No"/>
    <s v="Checking previous bal sheet recon"/>
    <x v="2"/>
    <s v="Tuesday"/>
  </r>
  <r>
    <d v="2024-02-13T00:00:00"/>
    <x v="11"/>
    <s v="Bookkeeping"/>
    <n v="0.33"/>
    <x v="44"/>
    <s v="Yes"/>
    <s v="Bal sheet recon"/>
    <x v="2"/>
    <s v="Tuesday"/>
  </r>
  <r>
    <d v="2024-02-13T00:00:00"/>
    <x v="11"/>
    <s v="Bookkeeping"/>
    <n v="0.5"/>
    <x v="24"/>
    <s v="No"/>
    <s v="Checking accounts of Oporto stores"/>
    <x v="2"/>
    <s v="Tuesday"/>
  </r>
  <r>
    <d v="2024-02-13T00:00:00"/>
    <x v="11"/>
    <s v="Bookkeeping"/>
    <n v="0.75"/>
    <x v="29"/>
    <s v="No"/>
    <s v="Handover with Gerardo"/>
    <x v="2"/>
    <s v="Tuesday"/>
  </r>
  <r>
    <d v="2024-02-13T00:00:00"/>
    <x v="11"/>
    <s v="Bookkeeping"/>
    <n v="1"/>
    <x v="21"/>
    <s v="Yes"/>
    <s v="Loading bills, bank recon"/>
    <x v="2"/>
    <s v="Tuesday"/>
  </r>
  <r>
    <d v="2024-02-13T00:00:00"/>
    <x v="11"/>
    <s v="Bookkeeping"/>
    <n v="1.08"/>
    <x v="42"/>
    <s v="Yes"/>
    <s v="Bal sheet recon"/>
    <x v="2"/>
    <s v="Tuesday"/>
  </r>
  <r>
    <d v="2024-02-13T00:00:00"/>
    <x v="11"/>
    <s v="Bookkeeping"/>
    <n v="1.17"/>
    <x v="22"/>
    <s v="Yes"/>
    <s v="Loading bills, bank recon"/>
    <x v="2"/>
    <s v="Tuesday"/>
  </r>
  <r>
    <d v="2024-02-13T00:00:00"/>
    <x v="11"/>
    <s v="General"/>
    <n v="0.5"/>
    <x v="12"/>
    <s v="No"/>
    <s v="break"/>
    <x v="2"/>
    <s v="Tuesday"/>
  </r>
  <r>
    <d v="2024-02-13T00:00:00"/>
    <x v="11"/>
    <s v="Out-of-Scope Services"/>
    <n v="2.17"/>
    <x v="110"/>
    <s v="Yes"/>
    <s v="bank recon"/>
    <x v="2"/>
    <s v="Tuesday"/>
  </r>
  <r>
    <d v="2024-02-13T00:00:00"/>
    <x v="14"/>
    <s v="Bookkeeping"/>
    <n v="0.17"/>
    <x v="11"/>
    <s v="No"/>
    <s v="handover"/>
    <x v="2"/>
    <s v="Tuesday"/>
  </r>
  <r>
    <d v="2024-02-13T00:00:00"/>
    <x v="14"/>
    <s v="Bookkeeping"/>
    <n v="0.18"/>
    <x v="84"/>
    <s v="No"/>
    <s v="review TS/invoice"/>
    <x v="2"/>
    <s v="Tuesday"/>
  </r>
  <r>
    <d v="2024-02-13T00:00:00"/>
    <x v="14"/>
    <s v="Bookkeeping"/>
    <n v="0.22"/>
    <x v="80"/>
    <s v="Yes"/>
    <s v="Skype"/>
    <x v="2"/>
    <s v="Tuesday"/>
  </r>
  <r>
    <d v="2024-02-13T00:00:00"/>
    <x v="14"/>
    <s v="Bookkeeping"/>
    <n v="0.25"/>
    <x v="80"/>
    <s v="Yes"/>
    <s v="Ellis EComemrce - BAS Review"/>
    <x v="2"/>
    <s v="Tuesday"/>
  </r>
  <r>
    <d v="2024-02-13T00:00:00"/>
    <x v="14"/>
    <s v="Bookkeeping"/>
    <n v="0.28000000000000003"/>
    <x v="42"/>
    <s v="Yes"/>
    <s v="review"/>
    <x v="2"/>
    <s v="Tuesday"/>
  </r>
  <r>
    <d v="2024-02-13T00:00:00"/>
    <x v="14"/>
    <s v="Bookkeeping"/>
    <n v="0.4"/>
    <x v="34"/>
    <s v="Yes"/>
    <s v="queries and email"/>
    <x v="2"/>
    <s v="Tuesday"/>
  </r>
  <r>
    <d v="2024-02-13T00:00:00"/>
    <x v="14"/>
    <s v="Bookkeeping"/>
    <n v="0.57999999999999996"/>
    <x v="28"/>
    <s v="Yes"/>
    <s v="emails/queries"/>
    <x v="2"/>
    <s v="Tuesday"/>
  </r>
  <r>
    <d v="2024-02-13T00:00:00"/>
    <x v="14"/>
    <s v="Bookkeeping"/>
    <n v="0.8"/>
    <x v="80"/>
    <s v="Yes"/>
    <s v="bills entry, bank rec"/>
    <x v="2"/>
    <s v="Tuesday"/>
  </r>
  <r>
    <d v="2024-02-13T00:00:00"/>
    <x v="14"/>
    <s v="General"/>
    <n v="0.3"/>
    <x v="12"/>
    <s v="No"/>
    <s v="RTO accom"/>
    <x v="2"/>
    <s v="Tuesday"/>
  </r>
  <r>
    <d v="2024-02-13T00:00:00"/>
    <x v="14"/>
    <s v="General"/>
    <n v="0.48"/>
    <x v="12"/>
    <s v="No"/>
    <s v="emails/ new outlook set-up and sign-ins "/>
    <x v="2"/>
    <s v="Tuesday"/>
  </r>
  <r>
    <d v="2024-02-13T00:00:00"/>
    <x v="14"/>
    <s v="IAS/BAS Preparation &amp; Lodgement - Oct-Dec"/>
    <n v="0.73"/>
    <x v="34"/>
    <s v="Yes"/>
    <s v="CM/financials/GST review AAA"/>
    <x v="2"/>
    <s v="Tuesday"/>
  </r>
  <r>
    <d v="2024-02-13T00:00:00"/>
    <x v="14"/>
    <s v="IAS/BAS Preparation &amp; Lodgement - Oct-Dec"/>
    <n v="0.75"/>
    <x v="34"/>
    <s v="Yes"/>
    <s v="CM/GST review"/>
    <x v="2"/>
    <s v="Tuesday"/>
  </r>
  <r>
    <d v="2024-02-13T00:00:00"/>
    <x v="14"/>
    <s v="Management Reporting"/>
    <n v="0.98"/>
    <x v="34"/>
    <s v="Yes"/>
    <s v="financials review/ Judo/ queries"/>
    <x v="2"/>
    <s v="Tuesday"/>
  </r>
  <r>
    <d v="2024-02-13T00:00:00"/>
    <x v="14"/>
    <s v="Payroll Processing"/>
    <n v="0.8"/>
    <x v="30"/>
    <s v="Yes"/>
    <s v="review"/>
    <x v="2"/>
    <s v="Tuesday"/>
  </r>
  <r>
    <d v="2024-02-13T00:00:00"/>
    <x v="14"/>
    <s v="Payroll Processing"/>
    <n v="1.07"/>
    <x v="28"/>
    <s v="Yes"/>
    <s v="review"/>
    <x v="2"/>
    <s v="Tuesday"/>
  </r>
  <r>
    <d v="2024-02-13T00:00:00"/>
    <x v="15"/>
    <s v="Bookkeeping"/>
    <n v="0.63"/>
    <x v="16"/>
    <s v="Yes"/>
    <e v="#NAME?"/>
    <x v="2"/>
    <s v="Tuesday"/>
  </r>
  <r>
    <d v="2024-02-13T00:00:00"/>
    <x v="15"/>
    <s v="General"/>
    <n v="9"/>
    <x v="12"/>
    <s v="No"/>
    <m/>
    <x v="2"/>
    <s v="Tuesday"/>
  </r>
  <r>
    <d v="2024-02-13T00:00:00"/>
    <x v="16"/>
    <s v="Bookkeeping"/>
    <n v="0.53"/>
    <x v="30"/>
    <s v="Yes"/>
    <s v="approve ap invoices"/>
    <x v="2"/>
    <s v="Tuesday"/>
  </r>
  <r>
    <d v="2024-02-13T00:00:00"/>
    <x v="16"/>
    <s v="Bookkeeping"/>
    <n v="0.98"/>
    <x v="30"/>
    <s v="Yes"/>
    <s v="bank recon import ap invoice from inbox"/>
    <x v="2"/>
    <s v="Tuesday"/>
  </r>
  <r>
    <d v="2024-02-13T00:00:00"/>
    <x v="16"/>
    <s v="Bookkeeping"/>
    <n v="1"/>
    <x v="74"/>
    <s v="Yes"/>
    <s v="import ap invoices"/>
    <x v="2"/>
    <s v="Tuesday"/>
  </r>
  <r>
    <d v="2024-02-13T00:00:00"/>
    <x v="16"/>
    <s v="Bookkeeping"/>
    <n v="1"/>
    <x v="73"/>
    <s v="Yes"/>
    <s v="ap invoices"/>
    <x v="2"/>
    <s v="Tuesday"/>
  </r>
  <r>
    <d v="2024-02-13T00:00:00"/>
    <x v="16"/>
    <s v="Bookkeeping"/>
    <n v="1.53"/>
    <x v="75"/>
    <s v="Yes"/>
    <s v="import ap invoice"/>
    <x v="2"/>
    <s v="Tuesday"/>
  </r>
  <r>
    <d v="2024-02-13T00:00:00"/>
    <x v="16"/>
    <s v="Bookkeeping"/>
    <n v="1.97"/>
    <x v="32"/>
    <s v="Yes"/>
    <s v="bank recon emails import ap invoices ap report"/>
    <x v="2"/>
    <s v="Tuesday"/>
  </r>
  <r>
    <d v="2024-02-13T00:00:00"/>
    <x v="16"/>
    <s v="Meetings"/>
    <n v="0.98"/>
    <x v="12"/>
    <s v="No"/>
    <s v="Call with Ms.Ef regarding hand over"/>
    <x v="2"/>
    <s v="Tuesday"/>
  </r>
  <r>
    <d v="2024-02-13T00:00:00"/>
    <x v="17"/>
    <s v="Annual Leave"/>
    <n v="8"/>
    <x v="12"/>
    <s v="No"/>
    <m/>
    <x v="2"/>
    <s v="Tuesday"/>
  </r>
  <r>
    <d v="2024-02-13T00:00:00"/>
    <x v="18"/>
    <s v="General"/>
    <n v="0.15"/>
    <x v="12"/>
    <s v="No"/>
    <s v="farewell cards"/>
    <x v="2"/>
    <s v="Tuesday"/>
  </r>
  <r>
    <d v="2024-02-13T00:00:00"/>
    <x v="18"/>
    <s v="General"/>
    <n v="1.07"/>
    <x v="12"/>
    <s v="No"/>
    <s v="chat with RJ - items in the client delivery chat with Rac  holdsowrth idle"/>
    <x v="2"/>
    <s v="Tuesday"/>
  </r>
  <r>
    <d v="2024-02-13T00:00:00"/>
    <x v="18"/>
    <s v="General"/>
    <n v="1.1299999999999999"/>
    <x v="12"/>
    <s v="No"/>
    <s v="drafting form like scoping form"/>
    <x v="2"/>
    <s v="Tuesday"/>
  </r>
  <r>
    <d v="2024-02-13T00:00:00"/>
    <x v="18"/>
    <s v="General"/>
    <n v="1.28"/>
    <x v="12"/>
    <s v="No"/>
    <s v="idle"/>
    <x v="2"/>
    <s v="Tuesday"/>
  </r>
  <r>
    <d v="2024-02-13T00:00:00"/>
    <x v="18"/>
    <s v="General"/>
    <n v="1.72"/>
    <x v="12"/>
    <s v="No"/>
    <s v="build create scoping form"/>
    <x v="2"/>
    <s v="Tuesday"/>
  </r>
  <r>
    <d v="2024-02-13T00:00:00"/>
    <x v="18"/>
    <s v="General"/>
    <n v="1.82"/>
    <x v="12"/>
    <s v="No"/>
    <s v="review process flows"/>
    <x v="2"/>
    <s v="Tuesday"/>
  </r>
  <r>
    <d v="2024-02-13T00:00:00"/>
    <x v="18"/>
    <s v="Management Reporting"/>
    <n v="0.13"/>
    <x v="108"/>
    <s v="Yes"/>
    <s v="review Jan accounts"/>
    <x v="2"/>
    <s v="Tuesday"/>
  </r>
  <r>
    <d v="2024-02-13T00:00:00"/>
    <x v="18"/>
    <s v="Meetings"/>
    <n v="0.72"/>
    <x v="12"/>
    <s v="No"/>
    <s v="client engagement meeting"/>
    <x v="2"/>
    <s v="Tuesday"/>
  </r>
  <r>
    <d v="2024-02-13T00:00:00"/>
    <x v="19"/>
    <s v="Bookkeeping"/>
    <n v="8.0500000000000007"/>
    <x v="36"/>
    <s v="Yes"/>
    <m/>
    <x v="2"/>
    <s v="Tuesday"/>
  </r>
  <r>
    <d v="2024-02-13T00:00:00"/>
    <x v="20"/>
    <s v="P&amp;C Advisory"/>
    <n v="6"/>
    <x v="37"/>
    <s v="Yes"/>
    <s v="QLD org change mtg WFH assessment allocations Onboarding issues - Donna LMS &amp; onboarding queries - training with Viv Review of Nailed It Program Inbox queries HR team daily mtg &amp; trainning Shortlisting finance CVs "/>
    <x v="2"/>
    <s v="Tuesday"/>
  </r>
  <r>
    <d v="2024-02-13T00:00:00"/>
    <x v="21"/>
    <s v="Bookkeeping"/>
    <n v="0.12"/>
    <x v="66"/>
    <s v="Yes"/>
    <m/>
    <x v="2"/>
    <s v="Tuesday"/>
  </r>
  <r>
    <d v="2024-02-13T00:00:00"/>
    <x v="21"/>
    <s v="Bookkeeping"/>
    <n v="0.56999999999999995"/>
    <x v="57"/>
    <s v="Yes"/>
    <m/>
    <x v="2"/>
    <s v="Tuesday"/>
  </r>
  <r>
    <d v="2024-02-13T00:00:00"/>
    <x v="21"/>
    <s v="Bookkeeping"/>
    <n v="0.65"/>
    <x v="40"/>
    <s v="Yes"/>
    <s v="Dext prepare items, bank recon"/>
    <x v="2"/>
    <s v="Tuesday"/>
  </r>
  <r>
    <d v="2024-02-13T00:00:00"/>
    <x v="21"/>
    <s v="Bookkeeping"/>
    <n v="1.2"/>
    <x v="39"/>
    <s v="Yes"/>
    <s v="Bank recon, AP items, BS rec"/>
    <x v="2"/>
    <s v="Tuesday"/>
  </r>
  <r>
    <d v="2024-02-13T00:00:00"/>
    <x v="21"/>
    <s v="Bookkeeping"/>
    <n v="1.27"/>
    <x v="41"/>
    <s v="Yes"/>
    <m/>
    <x v="2"/>
    <s v="Tuesday"/>
  </r>
  <r>
    <d v="2024-02-13T00:00:00"/>
    <x v="21"/>
    <s v="Bookkeeping"/>
    <n v="1.37"/>
    <x v="28"/>
    <s v="Yes"/>
    <s v="Dext Prepare, Payroll Prep for semi-month, bank recon"/>
    <x v="2"/>
    <s v="Tuesday"/>
  </r>
  <r>
    <d v="2024-02-13T00:00:00"/>
    <x v="21"/>
    <s v="Bookkeeping"/>
    <n v="1.38"/>
    <x v="41"/>
    <s v="Yes"/>
    <s v="AP Emails,  Hubdoc, procore invoices,"/>
    <x v="2"/>
    <s v="Tuesday"/>
  </r>
  <r>
    <d v="2024-02-13T00:00:00"/>
    <x v="21"/>
    <s v="Bookkeeping"/>
    <n v="1.47"/>
    <x v="28"/>
    <s v="Yes"/>
    <m/>
    <x v="2"/>
    <s v="Tuesday"/>
  </r>
  <r>
    <d v="2024-02-13T00:00:00"/>
    <x v="22"/>
    <s v="Automations"/>
    <n v="8"/>
    <x v="12"/>
    <s v="No"/>
    <s v="Fintech Equity Pty Ltd - Bank Reconciliation Automation"/>
    <x v="2"/>
    <s v="Tuesday"/>
  </r>
  <r>
    <d v="2024-02-13T00:00:00"/>
    <x v="23"/>
    <s v="Automations"/>
    <n v="8"/>
    <x v="12"/>
    <s v="No"/>
    <m/>
    <x v="2"/>
    <s v="Tuesday"/>
  </r>
  <r>
    <d v="2024-02-13T00:00:00"/>
    <x v="24"/>
    <s v="Automations"/>
    <n v="8"/>
    <x v="12"/>
    <s v="No"/>
    <s v="Run: LOC Run: Holdsworth Automation Part 1 Dev: PrimeBuild Payroll Processing Report Automation"/>
    <x v="2"/>
    <s v="Tuesday"/>
  </r>
  <r>
    <d v="2024-02-13T00:00:00"/>
    <x v="25"/>
    <s v="Bookkeeping"/>
    <n v="0.33"/>
    <x v="42"/>
    <s v="Yes"/>
    <s v="Finalise rec for Nine / Ten and send to Lucia "/>
    <x v="2"/>
    <s v="Tuesday"/>
  </r>
  <r>
    <d v="2024-02-13T00:00:00"/>
    <x v="25"/>
    <s v="General"/>
    <n v="0.2"/>
    <x v="12"/>
    <s v="No"/>
    <s v="Emails"/>
    <x v="2"/>
    <s v="Tuesday"/>
  </r>
  <r>
    <d v="2024-02-13T00:00:00"/>
    <x v="25"/>
    <s v="General"/>
    <n v="0.33"/>
    <x v="12"/>
    <s v="No"/>
    <s v="Emails, IAM Systems invoice"/>
    <x v="2"/>
    <s v="Tuesday"/>
  </r>
  <r>
    <d v="2024-02-13T00:00:00"/>
    <x v="25"/>
    <s v="IAS/BAS Preparation &amp; Lodgement - Oct-Dec"/>
    <n v="0.45"/>
    <x v="22"/>
    <s v="Yes"/>
    <s v="BAS review and update to store purchase bills"/>
    <x v="2"/>
    <s v="Tuesday"/>
  </r>
  <r>
    <d v="2024-02-13T00:00:00"/>
    <x v="25"/>
    <s v="Meetings"/>
    <n v="1.25"/>
    <x v="12"/>
    <s v="No"/>
    <s v="Meeting with Shalini re new client meeting / super Email re super to Nica / shalini etc - process client delivery meeting"/>
    <x v="2"/>
    <s v="Tuesday"/>
  </r>
  <r>
    <d v="2024-02-13T00:00:00"/>
    <x v="25"/>
    <s v="Out-of-Scope Services"/>
    <n v="0.32"/>
    <x v="37"/>
    <s v="Yes"/>
    <s v="Checking contracts / pay rate audit, bill separately."/>
    <x v="2"/>
    <s v="Tuesday"/>
  </r>
  <r>
    <d v="2024-02-13T00:00:00"/>
    <x v="25"/>
    <s v="Out-of-Scope Services"/>
    <n v="0.35"/>
    <x v="37"/>
    <s v="Yes"/>
    <s v="Bill separately under pay rate audit."/>
    <x v="2"/>
    <s v="Tuesday"/>
  </r>
  <r>
    <d v="2024-02-13T00:00:00"/>
    <x v="25"/>
    <s v="Out-of-Scope Services"/>
    <n v="0.5"/>
    <x v="37"/>
    <s v="Yes"/>
    <s v="Pay rate audit"/>
    <x v="2"/>
    <s v="Tuesday"/>
  </r>
  <r>
    <d v="2024-02-13T00:00:00"/>
    <x v="25"/>
    <s v="Out-of-Scope Services"/>
    <n v="2.0499999999999998"/>
    <x v="37"/>
    <s v="Yes"/>
    <s v="Bill separately - pay rate audit project - complete addendum reviews and email to Andrew."/>
    <x v="2"/>
    <s v="Tuesday"/>
  </r>
  <r>
    <d v="2024-02-13T00:00:00"/>
    <x v="25"/>
    <s v="Payroll Processing"/>
    <n v="0.15"/>
    <x v="37"/>
    <s v="Yes"/>
    <s v="Check emails and check timesheet approvals"/>
    <x v="2"/>
    <s v="Tuesday"/>
  </r>
  <r>
    <d v="2024-02-13T00:00:00"/>
    <x v="25"/>
    <s v="Payroll Processing"/>
    <n v="0.3"/>
    <x v="44"/>
    <s v="Yes"/>
    <s v="Update Tyson bank payment, email Julian for approval (plus reimbursement)  Add repeating journal for wages payment"/>
    <x v="2"/>
    <s v="Tuesday"/>
  </r>
  <r>
    <d v="2024-02-13T00:00:00"/>
    <x v="25"/>
    <s v="Payroll Processing"/>
    <n v="1.45"/>
    <x v="46"/>
    <s v="Yes"/>
    <s v="Payroll processing including handover to Nicole"/>
    <x v="2"/>
    <s v="Tuesday"/>
  </r>
  <r>
    <d v="2024-02-13T00:00:00"/>
    <x v="51"/>
    <s v="General"/>
    <n v="0.17"/>
    <x v="12"/>
    <s v="No"/>
    <s v="'CV Check' Purchase Credits (William) - Ze &amp; Jordan"/>
    <x v="2"/>
    <s v="Tuesday"/>
  </r>
  <r>
    <d v="2024-02-13T00:00:00"/>
    <x v="51"/>
    <s v="Meetings"/>
    <n v="0.08"/>
    <x v="12"/>
    <s v="No"/>
    <s v="Teams Update - Alison"/>
    <x v="2"/>
    <s v="Tuesday"/>
  </r>
  <r>
    <d v="2024-02-13T00:00:00"/>
    <x v="51"/>
    <s v="P&amp;C Advisory - Nordfab"/>
    <n v="0.33"/>
    <x v="63"/>
    <s v="Yes"/>
    <s v="Draft Employment Contract (Prajwal) - Technical Customer Service Coordinator - NSW - Nordfab - Alison"/>
    <x v="2"/>
    <s v="Tuesday"/>
  </r>
  <r>
    <d v="2024-02-13T00:00:00"/>
    <x v="51"/>
    <s v="P&amp;C Advisory - Nordfab"/>
    <n v="0.5"/>
    <x v="63"/>
    <s v="Yes"/>
    <s v="Telephone Screens - Technical Customer Service Coordinator (Akhil &amp; Harsh) - NSW - Nordfab - Alison_x0009_"/>
    <x v="2"/>
    <s v="Tuesday"/>
  </r>
  <r>
    <d v="2024-02-13T00:00:00"/>
    <x v="51"/>
    <s v="P&amp;C Advisory - Nordfab"/>
    <n v="1.25"/>
    <x v="63"/>
    <s v="Yes"/>
    <s v="Telephone Screens - Factory Hand/Warehouse Assistant (Apete, Jordan, Liang, Dennis &amp; Jameel) - NSW - Nordfab - Alison"/>
    <x v="2"/>
    <s v="Tuesday"/>
  </r>
  <r>
    <d v="2024-02-13T00:00:00"/>
    <x v="51"/>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s v="Tuesday"/>
  </r>
  <r>
    <d v="2024-02-13T00:00:00"/>
    <x v="26"/>
    <s v="Client Meeting"/>
    <n v="0.05"/>
    <x v="99"/>
    <s v="Yes"/>
    <s v="Attending to Rose's queries. ASANA updates"/>
    <x v="2"/>
    <s v="Tuesday"/>
  </r>
  <r>
    <d v="2024-02-13T00:00:00"/>
    <x v="26"/>
    <s v="Client Meeting"/>
    <n v="7.0000000000000007E-2"/>
    <x v="100"/>
    <s v="Yes"/>
    <s v="Attending to Rose's queries. ASANA updates"/>
    <x v="2"/>
    <s v="Tuesday"/>
  </r>
  <r>
    <d v="2024-02-13T00:00:00"/>
    <x v="26"/>
    <s v="Client Meeting"/>
    <n v="7.0000000000000007E-2"/>
    <x v="1"/>
    <s v="Yes"/>
    <s v="Call with MaryAnn"/>
    <x v="2"/>
    <s v="Tuesday"/>
  </r>
  <r>
    <d v="2024-02-13T00:00:00"/>
    <x v="26"/>
    <s v="Client Meeting"/>
    <n v="0.22"/>
    <x v="27"/>
    <s v="Yes"/>
    <s v="Client email"/>
    <x v="2"/>
    <s v="Tuesday"/>
  </r>
  <r>
    <d v="2024-02-13T00:00:00"/>
    <x v="26"/>
    <s v="Client Meeting"/>
    <n v="0.28000000000000003"/>
    <x v="56"/>
    <s v="No"/>
    <s v="Email, Asana updates, XPM slowness"/>
    <x v="2"/>
    <s v="Tuesday"/>
  </r>
  <r>
    <d v="2024-02-13T00:00:00"/>
    <x v="26"/>
    <s v="Client Meeting"/>
    <n v="0.48"/>
    <x v="65"/>
    <s v="No"/>
    <s v="Attending to Jordan queries and having a call ( RE: Docsign"/>
    <x v="2"/>
    <s v="Tuesday"/>
  </r>
  <r>
    <d v="2024-02-13T00:00:00"/>
    <x v="26"/>
    <s v="Client Meeting"/>
    <n v="0.5"/>
    <x v="12"/>
    <s v="No"/>
    <s v="Meeting with Shalini BAS concern and follow up"/>
    <x v="2"/>
    <s v="Tuesday"/>
  </r>
  <r>
    <d v="2024-02-13T00:00:00"/>
    <x v="26"/>
    <s v="Client Meeting"/>
    <n v="0.63"/>
    <x v="65"/>
    <s v="Yes"/>
    <s v="Response to email and helping the client to resolve the XeroDocSign error. "/>
    <x v="2"/>
    <s v="Tuesday"/>
  </r>
  <r>
    <d v="2024-02-13T00:00:00"/>
    <x v="26"/>
    <s v="General"/>
    <n v="0.08"/>
    <x v="12"/>
    <s v="No"/>
    <s v="XPM"/>
    <x v="2"/>
    <s v="Tuesday"/>
  </r>
  <r>
    <d v="2024-02-13T00:00:00"/>
    <x v="26"/>
    <s v="General"/>
    <n v="0.15"/>
    <x v="12"/>
    <s v="No"/>
    <s v="Asana update and inform the Dex team"/>
    <x v="2"/>
    <s v="Tuesday"/>
  </r>
  <r>
    <d v="2024-02-13T00:00:00"/>
    <x v="26"/>
    <s v="General"/>
    <n v="0.25"/>
    <x v="12"/>
    <s v="No"/>
    <s v="15 mins coffee breaks as paid per Labor Code of the Philippines, Article 85"/>
    <x v="2"/>
    <s v="Tuesday"/>
  </r>
  <r>
    <d v="2024-02-13T00:00:00"/>
    <x v="26"/>
    <s v="General"/>
    <n v="0.25"/>
    <x v="12"/>
    <s v="No"/>
    <s v="15 mins coffee breaks as paid per Labor Code of the Philippines, Article 85. ( Afternoon Break )  "/>
    <x v="2"/>
    <s v="Tuesday"/>
  </r>
  <r>
    <d v="2024-02-13T00:00:00"/>
    <x v="26"/>
    <s v="General"/>
    <n v="0.73"/>
    <x v="12"/>
    <s v="No"/>
    <s v="ASANA updates Top priorities, Strategies. and updating the Bookkeepers. Sent an email and response to them."/>
    <x v="2"/>
    <s v="Tuesday"/>
  </r>
  <r>
    <d v="2024-02-13T00:00:00"/>
    <x v="26"/>
    <s v="IAS/BAS Preparation &amp; Lodgement - Jan"/>
    <n v="0.1"/>
    <x v="55"/>
    <s v="Yes"/>
    <s v="IAS process"/>
    <x v="2"/>
    <s v="Tuesday"/>
  </r>
  <r>
    <d v="2024-02-13T00:00:00"/>
    <x v="26"/>
    <s v="IAS/BAS Preparation &amp; Lodgement - Jan"/>
    <n v="1.17"/>
    <x v="27"/>
    <s v="Yes"/>
    <s v="BAS"/>
    <x v="2"/>
    <s v="Tuesday"/>
  </r>
  <r>
    <d v="2024-02-13T00:00:00"/>
    <x v="26"/>
    <s v="IAS/BAS Preparation &amp; Lodgement - Oct-Dec"/>
    <n v="0.1"/>
    <x v="70"/>
    <s v="Yes"/>
    <s v="XPM error, BAS cehcklist"/>
    <x v="2"/>
    <s v="Tuesday"/>
  </r>
  <r>
    <d v="2024-02-13T00:00:00"/>
    <x v="26"/>
    <s v="IAS/BAS Preparation &amp; Lodgement - Oct-Dec"/>
    <n v="0.13"/>
    <x v="70"/>
    <s v="Yes"/>
    <m/>
    <x v="2"/>
    <s v="Tuesday"/>
  </r>
  <r>
    <d v="2024-02-13T00:00:00"/>
    <x v="26"/>
    <s v="IAS/BAS Preparation &amp; Lodgement - Oct-Dec"/>
    <n v="0.28000000000000003"/>
    <x v="50"/>
    <s v="Yes"/>
    <s v="BAS prep"/>
    <x v="2"/>
    <s v="Tuesday"/>
  </r>
  <r>
    <d v="2024-02-13T00:00:00"/>
    <x v="26"/>
    <s v="IAS/BAS Preparation &amp; Lodgement - Oct-Dec"/>
    <n v="0.38"/>
    <x v="111"/>
    <s v="Yes"/>
    <s v="BAS prep, BAS checklist &amp; BAS recon sheet. Updating XPM"/>
    <x v="2"/>
    <s v="Tuesday"/>
  </r>
  <r>
    <d v="2024-02-13T00:00:00"/>
    <x v="26"/>
    <s v="Learning &amp; Development"/>
    <n v="0.52"/>
    <x v="12"/>
    <s v="No"/>
    <s v="Refreshing some learning about XeroDocSign "/>
    <x v="2"/>
    <s v="Tuesday"/>
  </r>
  <r>
    <d v="2024-02-13T00:00:00"/>
    <x v="26"/>
    <s v="Meetings"/>
    <n v="0.18"/>
    <x v="12"/>
    <s v="No"/>
    <s v="Social Club meeting"/>
    <x v="2"/>
    <s v="Tuesday"/>
  </r>
  <r>
    <d v="2024-02-13T00:00:00"/>
    <x v="26"/>
    <s v="Meetings"/>
    <n v="1.23"/>
    <x v="12"/>
    <s v="No"/>
    <s v="&gt; Meeting with Bern ( BAS flow chat and Quality control ) and giving here some sample in XPM and actual tutorial."/>
    <x v="2"/>
    <s v="Tuesday"/>
  </r>
  <r>
    <d v="2024-02-13T00:00:00"/>
    <x v="26"/>
    <s v="Philippines"/>
    <n v="0.13"/>
    <x v="12"/>
    <s v="No"/>
    <s v="2316 fill out and sign"/>
    <x v="2"/>
    <s v="Tuesday"/>
  </r>
  <r>
    <d v="2024-02-13T00:00:00"/>
    <x v="27"/>
    <s v="P&amp;C Advisory"/>
    <n v="8"/>
    <x v="19"/>
    <s v="Yes"/>
    <s v="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
    <x v="2"/>
    <s v="Tuesday"/>
  </r>
  <r>
    <d v="2024-02-13T00:00:00"/>
    <x v="28"/>
    <s v="Bookkeeping"/>
    <n v="0.47"/>
    <x v="18"/>
    <s v="No"/>
    <s v="Call with Charmie to discuss AP/AR process"/>
    <x v="2"/>
    <s v="Tuesday"/>
  </r>
  <r>
    <d v="2024-02-13T00:00:00"/>
    <x v="28"/>
    <s v="Bookkeeping"/>
    <n v="0.53"/>
    <x v="17"/>
    <s v="Yes"/>
    <m/>
    <x v="2"/>
    <s v="Tuesday"/>
  </r>
  <r>
    <d v="2024-02-13T00:00:00"/>
    <x v="28"/>
    <s v="Bookkeeping"/>
    <n v="5.97"/>
    <x v="16"/>
    <s v="Yes"/>
    <m/>
    <x v="2"/>
    <s v="Tuesday"/>
  </r>
  <r>
    <d v="2024-02-13T00:00:00"/>
    <x v="28"/>
    <s v="Payroll Processing"/>
    <n v="0.62"/>
    <x v="18"/>
    <s v="No"/>
    <s v="Discuss payroll process with Charmie"/>
    <x v="2"/>
    <s v="Tuesday"/>
  </r>
  <r>
    <d v="2024-02-13T00:00:00"/>
    <x v="28"/>
    <s v="Payroll Processing"/>
    <n v="1.63"/>
    <x v="32"/>
    <s v="Yes"/>
    <m/>
    <x v="2"/>
    <s v="Tuesday"/>
  </r>
  <r>
    <d v="2024-02-13T00:00:00"/>
    <x v="30"/>
    <s v="Debt Collection"/>
    <n v="1"/>
    <x v="36"/>
    <s v="Yes"/>
    <m/>
    <x v="2"/>
    <s v="Tuesday"/>
  </r>
  <r>
    <d v="2024-02-13T00:00:00"/>
    <x v="30"/>
    <s v="Debt Collection"/>
    <n v="2"/>
    <x v="12"/>
    <s v="Yes"/>
    <m/>
    <x v="2"/>
    <s v="Tuesday"/>
  </r>
  <r>
    <d v="2024-02-13T00:00:00"/>
    <x v="30"/>
    <s v="Debt Collection"/>
    <n v="5"/>
    <x v="16"/>
    <s v="Yes"/>
    <m/>
    <x v="2"/>
    <s v="Tuesday"/>
  </r>
  <r>
    <d v="2024-02-13T00:00:00"/>
    <x v="31"/>
    <s v="Client Meeting"/>
    <n v="0.73"/>
    <x v="12"/>
    <s v="No"/>
    <s v="call with Carly / emails"/>
    <x v="2"/>
    <s v="Tuesday"/>
  </r>
  <r>
    <d v="2024-02-13T00:00:00"/>
    <x v="31"/>
    <s v="Client Meeting"/>
    <n v="1.33"/>
    <x v="12"/>
    <s v="No"/>
    <s v="call with Ann / call with Z"/>
    <x v="2"/>
    <s v="Tuesday"/>
  </r>
  <r>
    <d v="2024-02-13T00:00:00"/>
    <x v="31"/>
    <s v="Client Meeting"/>
    <n v="1.35"/>
    <x v="12"/>
    <s v="No"/>
    <s v="catch up with Nick / call with Charm"/>
    <x v="2"/>
    <s v="Tuesday"/>
  </r>
  <r>
    <d v="2024-02-13T00:00:00"/>
    <x v="31"/>
    <s v="General"/>
    <n v="0.63"/>
    <x v="12"/>
    <s v="No"/>
    <s v="2316 / emails / hand over file"/>
    <x v="2"/>
    <s v="Tuesday"/>
  </r>
  <r>
    <d v="2024-02-13T00:00:00"/>
    <x v="31"/>
    <s v="Management Reporting"/>
    <n v="0.98"/>
    <x v="16"/>
    <s v="Yes"/>
    <s v="month-end"/>
    <x v="2"/>
    <s v="Tuesday"/>
  </r>
  <r>
    <d v="2024-02-13T00:00:00"/>
    <x v="31"/>
    <s v="Management Reporting"/>
    <n v="3.38"/>
    <x v="16"/>
    <s v="Yes"/>
    <s v="month-end / weekly AR meeting / accounts review / BS rec"/>
    <x v="2"/>
    <s v="Tuesday"/>
  </r>
  <r>
    <d v="2024-02-13T00:00:00"/>
    <x v="32"/>
    <s v="Bookkeeping"/>
    <n v="0.17"/>
    <x v="108"/>
    <s v="Yes"/>
    <s v="Bookkeeping"/>
    <x v="2"/>
    <s v="Tuesday"/>
  </r>
  <r>
    <d v="2024-02-13T00:00:00"/>
    <x v="32"/>
    <s v="Bookkeeping"/>
    <n v="0.23"/>
    <x v="51"/>
    <s v="Yes"/>
    <s v="Bills raise to xero postscript transactions and approving some sales to a2x"/>
    <x v="2"/>
    <s v="Tuesday"/>
  </r>
  <r>
    <d v="2024-02-13T00:00:00"/>
    <x v="32"/>
    <s v="Bookkeeping"/>
    <n v="5.32"/>
    <x v="51"/>
    <s v="Yes"/>
    <s v="Email Management Bills raise to xero Revision of balance sheet reconciliation BM Bank Reconciliation BM and LOC Inc  Approving sales to a2x"/>
    <x v="2"/>
    <s v="Tuesday"/>
  </r>
  <r>
    <d v="2024-02-13T00:00:00"/>
    <x v="32"/>
    <s v="General"/>
    <n v="0.5"/>
    <x v="12"/>
    <s v="No"/>
    <s v="Break"/>
    <x v="2"/>
    <s v="Tuesday"/>
  </r>
  <r>
    <d v="2024-02-13T00:00:00"/>
    <x v="32"/>
    <s v="Learning &amp; Development"/>
    <n v="1.78"/>
    <x v="12"/>
    <s v="No"/>
    <s v="Management reporting videos and exam"/>
    <x v="2"/>
    <s v="Tuesday"/>
  </r>
  <r>
    <d v="2024-02-13T00:00:00"/>
    <x v="33"/>
    <s v="Annual Leave"/>
    <n v="8"/>
    <x v="12"/>
    <s v="No"/>
    <s v="Paternity Leave"/>
    <x v="2"/>
    <s v="Tuesday"/>
  </r>
  <r>
    <d v="2024-02-13T00:00:00"/>
    <x v="34"/>
    <s v="Bookkeeping"/>
    <n v="0.53"/>
    <x v="45"/>
    <s v="Yes"/>
    <s v="Email Management Bills processing Bank Recon"/>
    <x v="2"/>
    <s v="Tuesday"/>
  </r>
  <r>
    <d v="2024-02-13T00:00:00"/>
    <x v="34"/>
    <s v="Bookkeeping"/>
    <n v="1.05"/>
    <x v="43"/>
    <s v="Yes"/>
    <s v="Email Management"/>
    <x v="2"/>
    <s v="Tuesday"/>
  </r>
  <r>
    <d v="2024-02-13T00:00:00"/>
    <x v="34"/>
    <s v="Bookkeeping"/>
    <n v="1.92"/>
    <x v="52"/>
    <s v="Yes"/>
    <s v="Email Management Bills Processing Statement Recon Bank Recon "/>
    <x v="2"/>
    <s v="Tuesday"/>
  </r>
  <r>
    <d v="2024-02-13T00:00:00"/>
    <x v="34"/>
    <s v="Bookkeeping"/>
    <n v="4.5199999999999996"/>
    <x v="15"/>
    <s v="Yes"/>
    <s v="Email Management Bills Processing Invoices Processing Bank and Credit Card Recon "/>
    <x v="2"/>
    <s v="Tuesday"/>
  </r>
  <r>
    <d v="2024-02-13T00:00:00"/>
    <x v="35"/>
    <s v="Accounts"/>
    <n v="4.13"/>
    <x v="12"/>
    <s v="No"/>
    <s v="Catch up all emails/Update bank recs/Coordinate and response to various emails. Process bills and request payments."/>
    <x v="2"/>
    <s v="Tuesday"/>
  </r>
  <r>
    <d v="2024-02-13T00:00:00"/>
    <x v="35"/>
    <s v="Bookkeeping"/>
    <n v="0.65"/>
    <x v="12"/>
    <s v="No"/>
    <s v="Process and update refund for Gecko"/>
    <x v="2"/>
    <s v="Tuesday"/>
  </r>
  <r>
    <d v="2024-02-13T00:00:00"/>
    <x v="35"/>
    <s v="Compliance"/>
    <n v="3.9"/>
    <x v="53"/>
    <s v="No"/>
    <s v="BIR 2316 checking/coordination "/>
    <x v="2"/>
    <s v="Tuesday"/>
  </r>
  <r>
    <d v="2024-02-13T00:00:00"/>
    <x v="35"/>
    <s v="Payroll Processing"/>
    <n v="0.35"/>
    <x v="53"/>
    <s v="No"/>
    <s v="Update Government ORs and check the emails under PH statutory."/>
    <x v="2"/>
    <s v="Tuesday"/>
  </r>
  <r>
    <d v="2024-02-13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
    <x v="2"/>
    <s v="Tuesday"/>
  </r>
  <r>
    <d v="2024-02-13T00:00:00"/>
    <x v="37"/>
    <s v="Bookkeeping"/>
    <n v="0.5"/>
    <x v="84"/>
    <s v="Yes"/>
    <s v="Mid month income draw"/>
    <x v="2"/>
    <s v="Tuesday"/>
  </r>
  <r>
    <d v="2024-02-13T00:00:00"/>
    <x v="37"/>
    <s v="Bookkeeping"/>
    <n v="1"/>
    <x v="59"/>
    <s v="Yes"/>
    <m/>
    <x v="2"/>
    <s v="Tuesday"/>
  </r>
  <r>
    <d v="2024-02-13T00:00:00"/>
    <x v="37"/>
    <s v="Bookkeeping"/>
    <n v="1"/>
    <x v="85"/>
    <s v="Yes"/>
    <m/>
    <x v="2"/>
    <s v="Tuesday"/>
  </r>
  <r>
    <d v="2024-02-13T00:00:00"/>
    <x v="37"/>
    <s v="Management Reporting"/>
    <n v="0.5"/>
    <x v="59"/>
    <s v="Yes"/>
    <m/>
    <x v="2"/>
    <s v="Tuesday"/>
  </r>
  <r>
    <d v="2024-02-13T00:00:00"/>
    <x v="37"/>
    <s v="Meetings"/>
    <n v="1"/>
    <x v="12"/>
    <s v="No"/>
    <s v="watching moody handover video"/>
    <x v="2"/>
    <s v="Tuesday"/>
  </r>
  <r>
    <d v="2024-02-13T00:00:00"/>
    <x v="37"/>
    <s v="Payroll Processing"/>
    <n v="0.25"/>
    <x v="112"/>
    <s v="Yes"/>
    <m/>
    <x v="2"/>
    <s v="Tuesday"/>
  </r>
  <r>
    <d v="2024-02-13T00:00:00"/>
    <x v="37"/>
    <s v="Payroll Processing"/>
    <n v="0.5"/>
    <x v="86"/>
    <s v="Yes"/>
    <m/>
    <x v="2"/>
    <s v="Tuesday"/>
  </r>
  <r>
    <d v="2024-02-13T00:00:00"/>
    <x v="37"/>
    <s v="Payroll Processing"/>
    <n v="1.25"/>
    <x v="84"/>
    <s v="Yes"/>
    <s v="reset up James in SSC and processing payroll"/>
    <x v="2"/>
    <s v="Tuesday"/>
  </r>
  <r>
    <d v="2024-02-13T00:00:00"/>
    <x v="38"/>
    <s v="Client Manager"/>
    <n v="0.08"/>
    <x v="113"/>
    <s v="Yes"/>
    <s v="emails"/>
    <x v="2"/>
    <s v="Tuesday"/>
  </r>
  <r>
    <d v="2024-02-13T00:00:00"/>
    <x v="38"/>
    <s v="Client Manager"/>
    <n v="0.47"/>
    <x v="2"/>
    <s v="No"/>
    <s v="Meeting with Shalini on BAS"/>
    <x v="2"/>
    <s v="Tuesday"/>
  </r>
  <r>
    <d v="2024-02-13T00:00:00"/>
    <x v="38"/>
    <s v="Client Manager"/>
    <n v="0.77"/>
    <x v="2"/>
    <s v="No"/>
    <s v="Meeting with Aileen on pending"/>
    <x v="2"/>
    <s v="Tuesday"/>
  </r>
  <r>
    <d v="2024-02-13T00:00:00"/>
    <x v="38"/>
    <s v="Client Manager"/>
    <n v="1.2"/>
    <x v="46"/>
    <s v="No"/>
    <s v="Meeting with Kate"/>
    <x v="2"/>
    <s v="Tuesday"/>
  </r>
  <r>
    <d v="2024-02-13T00:00:00"/>
    <x v="38"/>
    <s v="Client Manager"/>
    <n v="1.98"/>
    <x v="2"/>
    <s v="No"/>
    <s v="Add tasks in Asana follow up on Jan month end and BAS Oct-Dec follow up on tasks and emails"/>
    <x v="2"/>
    <s v="Tuesday"/>
  </r>
  <r>
    <d v="2024-02-13T00:00:00"/>
    <x v="38"/>
    <s v="General"/>
    <n v="1.5"/>
    <x v="12"/>
    <s v="No"/>
    <s v="emails, teams, Asana"/>
    <x v="2"/>
    <s v="Tuesday"/>
  </r>
  <r>
    <d v="2024-02-13T00:00:00"/>
    <x v="39"/>
    <s v="Bookkeeping"/>
    <n v="0.17"/>
    <x v="30"/>
    <s v="Yes"/>
    <s v="email reports payroll"/>
    <x v="2"/>
    <s v="Tuesday"/>
  </r>
  <r>
    <d v="2024-02-13T00:00:00"/>
    <x v="39"/>
    <s v="Bookkeeping"/>
    <n v="0.17"/>
    <x v="14"/>
    <s v="Yes"/>
    <s v="email"/>
    <x v="2"/>
    <s v="Tuesday"/>
  </r>
  <r>
    <d v="2024-02-13T00:00:00"/>
    <x v="39"/>
    <s v="Bookkeeping"/>
    <n v="0.22"/>
    <x v="55"/>
    <s v="Yes"/>
    <s v="files"/>
    <x v="2"/>
    <s v="Tuesday"/>
  </r>
  <r>
    <d v="2024-02-13T00:00:00"/>
    <x v="39"/>
    <s v="Bookkeeping"/>
    <n v="0.28000000000000003"/>
    <x v="14"/>
    <s v="Yes"/>
    <m/>
    <x v="2"/>
    <s v="Tuesday"/>
  </r>
  <r>
    <d v="2024-02-13T00:00:00"/>
    <x v="39"/>
    <s v="Bookkeeping"/>
    <n v="0.28000000000000003"/>
    <x v="14"/>
    <s v="Yes"/>
    <s v="srac accounts &amp; catch up"/>
    <x v="2"/>
    <s v="Tuesday"/>
  </r>
  <r>
    <d v="2024-02-13T00:00:00"/>
    <x v="39"/>
    <s v="Bookkeeping"/>
    <n v="0.45"/>
    <x v="55"/>
    <s v="Yes"/>
    <s v="emails"/>
    <x v="2"/>
    <s v="Tuesday"/>
  </r>
  <r>
    <d v="2024-02-13T00:00:00"/>
    <x v="39"/>
    <s v="Bookkeeping"/>
    <n v="0.47"/>
    <x v="14"/>
    <s v="Yes"/>
    <s v="email, panasales udpate "/>
    <x v="2"/>
    <s v="Tuesday"/>
  </r>
  <r>
    <d v="2024-02-13T00:00:00"/>
    <x v="39"/>
    <s v="Bookkeeping"/>
    <n v="0.63"/>
    <x v="14"/>
    <s v="Yes"/>
    <s v="AP"/>
    <x v="2"/>
    <s v="Tuesday"/>
  </r>
  <r>
    <d v="2024-02-13T00:00:00"/>
    <x v="39"/>
    <s v="Bookkeeping"/>
    <n v="0.87"/>
    <x v="55"/>
    <s v="Yes"/>
    <s v="BS Recs"/>
    <x v="2"/>
    <s v="Tuesday"/>
  </r>
  <r>
    <d v="2024-02-13T00:00:00"/>
    <x v="39"/>
    <s v="Bookkeeping"/>
    <n v="0.98"/>
    <x v="55"/>
    <s v="Yes"/>
    <s v="AP"/>
    <x v="2"/>
    <s v="Tuesday"/>
  </r>
  <r>
    <d v="2024-02-13T00:00:00"/>
    <x v="39"/>
    <s v="Bookkeeping"/>
    <n v="1.32"/>
    <x v="55"/>
    <s v="Yes"/>
    <m/>
    <x v="2"/>
    <s v="Tuesday"/>
  </r>
  <r>
    <d v="2024-02-13T00:00:00"/>
    <x v="39"/>
    <s v="General"/>
    <n v="0.25"/>
    <x v="12"/>
    <s v="No"/>
    <s v="teams"/>
    <x v="2"/>
    <s v="Tuesday"/>
  </r>
  <r>
    <d v="2024-02-13T00:00:00"/>
    <x v="39"/>
    <s v="General"/>
    <n v="0.43"/>
    <x v="12"/>
    <s v="No"/>
    <s v="queries"/>
    <x v="2"/>
    <s v="Tuesday"/>
  </r>
  <r>
    <d v="2024-02-13T00:00:00"/>
    <x v="39"/>
    <s v="General"/>
    <n v="0.62"/>
    <x v="12"/>
    <s v="No"/>
    <s v="Asana, 2316,waiver"/>
    <x v="2"/>
    <s v="Tuesday"/>
  </r>
  <r>
    <d v="2024-02-13T00:00:00"/>
    <x v="39"/>
    <s v="Payroll Processing"/>
    <n v="0.23"/>
    <x v="30"/>
    <s v="Yes"/>
    <s v="Casuals"/>
    <x v="2"/>
    <s v="Tuesday"/>
  </r>
  <r>
    <d v="2024-02-13T00:00:00"/>
    <x v="40"/>
    <s v="Bookkeeping"/>
    <n v="1.08"/>
    <x v="36"/>
    <s v="Yes"/>
    <s v="Answering/Checked emails"/>
    <x v="2"/>
    <s v="Tuesday"/>
  </r>
  <r>
    <d v="2024-02-13T00:00:00"/>
    <x v="40"/>
    <s v="Bookkeeping"/>
    <n v="1.1000000000000001"/>
    <x v="50"/>
    <s v="Yes"/>
    <s v="Weekly catchup with Sylvie and Sarah"/>
    <x v="2"/>
    <s v="Tuesday"/>
  </r>
  <r>
    <d v="2024-02-13T00:00:00"/>
    <x v="40"/>
    <s v="Bookkeeping"/>
    <n v="6.37"/>
    <x v="50"/>
    <s v="Yes"/>
    <m/>
    <x v="2"/>
    <s v="Tuesday"/>
  </r>
  <r>
    <d v="2024-02-13T00:00:00"/>
    <x v="40"/>
    <s v="General"/>
    <n v="0.37"/>
    <x v="12"/>
    <s v="No"/>
    <s v="Dex emails"/>
    <x v="2"/>
    <s v="Tuesday"/>
  </r>
  <r>
    <d v="2024-02-13T00:00:00"/>
    <x v="41"/>
    <s v="General"/>
    <n v="2.02"/>
    <x v="12"/>
    <s v="No"/>
    <s v="Admin - staff updates Xero cert continued Asana Handover updates Offboarding updates"/>
    <x v="2"/>
    <s v="Tuesday"/>
  </r>
  <r>
    <d v="2024-02-13T00:00:00"/>
    <x v="41"/>
    <s v="General"/>
    <n v="2.08"/>
    <x v="12"/>
    <s v="No"/>
    <s v="Study XPM vs Reuben insights  Call with Jordan"/>
    <x v="2"/>
    <s v="Tuesday"/>
  </r>
  <r>
    <d v="2024-02-13T00:00:00"/>
    <x v="41"/>
    <s v="General"/>
    <n v="2.4500000000000002"/>
    <x v="12"/>
    <s v="No"/>
    <s v="Xero cert MS list suggestion to CDMAR Admin-staff matters "/>
    <x v="2"/>
    <s v="Tuesday"/>
  </r>
  <r>
    <d v="2024-02-13T00:00:00"/>
    <x v="41"/>
    <s v="Meetings"/>
    <n v="0.5"/>
    <x v="12"/>
    <s v="No"/>
    <s v="Call with Nick -finance"/>
    <x v="2"/>
    <s v="Tuesday"/>
  </r>
  <r>
    <d v="2024-02-13T00:00:00"/>
    <x v="41"/>
    <s v="Meetings"/>
    <n v="0.5"/>
    <x v="12"/>
    <s v="No"/>
    <s v="Client delivery meeting"/>
    <x v="2"/>
    <s v="Tuesday"/>
  </r>
  <r>
    <d v="2024-02-13T00:00:00"/>
    <x v="41"/>
    <s v="Meetings"/>
    <n v="1.47"/>
    <x v="12"/>
    <s v="No"/>
    <s v="Call with Nick and Jordan Call with Jordan"/>
    <x v="2"/>
    <s v="Tuesday"/>
  </r>
  <r>
    <d v="2024-02-13T00:00:00"/>
    <x v="42"/>
    <s v="Bookkeeping"/>
    <n v="10.02"/>
    <x v="16"/>
    <s v="Yes"/>
    <m/>
    <x v="2"/>
    <s v="Tuesday"/>
  </r>
  <r>
    <d v="2024-02-13T00:00:00"/>
    <x v="43"/>
    <s v="Bookkeeping"/>
    <n v="0.23"/>
    <x v="75"/>
    <s v="Yes"/>
    <s v="Check bank rec, check for missing transactions and enter until 25 Jan (Dr)"/>
    <x v="2"/>
    <s v="Tuesday"/>
  </r>
  <r>
    <d v="2024-02-13T00:00:00"/>
    <x v="43"/>
    <s v="Bookkeeping"/>
    <n v="1.2"/>
    <x v="75"/>
    <s v="Yes"/>
    <s v="Shadow Gerardo entering bills"/>
    <x v="2"/>
    <s v="Tuesday"/>
  </r>
  <r>
    <d v="2024-02-13T00:00:00"/>
    <x v="43"/>
    <s v="Bookkeeping"/>
    <n v="1.22"/>
    <x v="75"/>
    <s v="Yes"/>
    <s v="Updating SWH, exporting reports for Dec23 Q maxgaming, bank rec"/>
    <x v="2"/>
    <s v="Tuesday"/>
  </r>
  <r>
    <d v="2024-02-13T00:00:00"/>
    <x v="43"/>
    <s v="General"/>
    <n v="0.43"/>
    <x v="12"/>
    <s v="No"/>
    <s v="Status of handover with Charmie and April, checking handover file"/>
    <x v="2"/>
    <s v="Tuesday"/>
  </r>
  <r>
    <d v="2024-02-13T00:00:00"/>
    <x v="43"/>
    <s v="General"/>
    <n v="0.5"/>
    <x v="12"/>
    <s v="No"/>
    <s v="Break"/>
    <x v="2"/>
    <s v="Tuesday"/>
  </r>
  <r>
    <d v="2024-02-13T00:00:00"/>
    <x v="43"/>
    <s v="IAS/BAS Preparation &amp; Lodgement - Oct-Dec"/>
    <n v="0.4"/>
    <x v="96"/>
    <s v="Yes"/>
    <s v="Dec23Q GST rec"/>
    <x v="2"/>
    <s v="Tuesday"/>
  </r>
  <r>
    <d v="2024-02-13T00:00:00"/>
    <x v="43"/>
    <s v="IAS/BAS Preparation &amp; Lodgement - Oct-Dec"/>
    <n v="0.9"/>
    <x v="96"/>
    <s v="Yes"/>
    <s v="GST recon - Dec23Q"/>
    <x v="2"/>
    <s v="Tuesday"/>
  </r>
  <r>
    <d v="2024-02-13T00:00:00"/>
    <x v="43"/>
    <s v="Meetings"/>
    <n v="0.17"/>
    <x v="12"/>
    <s v="No"/>
    <s v="Events and socials catch up 11:00AM to 11:10AM"/>
    <x v="2"/>
    <s v="Tuesday"/>
  </r>
  <r>
    <d v="2024-02-13T00:00:00"/>
    <x v="43"/>
    <s v="Payroll Processing"/>
    <n v="0.1"/>
    <x v="32"/>
    <s v="Yes"/>
    <s v="Payroll review"/>
    <x v="2"/>
    <s v="Tuesday"/>
  </r>
  <r>
    <d v="2024-02-13T00:00:00"/>
    <x v="43"/>
    <s v="Payroll Processing"/>
    <n v="0.12"/>
    <x v="86"/>
    <s v="Yes"/>
    <s v="Load ABA for CRI and VGS"/>
    <x v="2"/>
    <s v="Tuesday"/>
  </r>
  <r>
    <d v="2024-02-13T00:00:00"/>
    <x v="43"/>
    <s v="Payroll Processing"/>
    <n v="0.15"/>
    <x v="37"/>
    <s v="Yes"/>
    <s v="Payroll review"/>
    <x v="2"/>
    <s v="Tuesday"/>
  </r>
  <r>
    <d v="2024-02-13T00:00:00"/>
    <x v="43"/>
    <s v="Payroll Processing"/>
    <n v="0.22"/>
    <x v="16"/>
    <s v="Yes"/>
    <s v="Request salary package advice for Lonnie L's novated lease, discussion with Con re difference in GST"/>
    <x v="2"/>
    <s v="Tuesday"/>
  </r>
  <r>
    <d v="2024-02-13T00:00:00"/>
    <x v="43"/>
    <s v="Payroll Processing"/>
    <n v="0.27"/>
    <x v="37"/>
    <s v="Yes"/>
    <s v="Check email for manager's replies re timesheets confirmation, update payroll accordingly"/>
    <x v="2"/>
    <s v="Tuesday"/>
  </r>
  <r>
    <d v="2024-02-13T00:00:00"/>
    <x v="43"/>
    <s v="Payroll Processing"/>
    <n v="2.2999999999999998"/>
    <x v="37"/>
    <s v="Yes"/>
    <s v="Payroll processing, cover for Guia"/>
    <x v="2"/>
    <s v="Tuesday"/>
  </r>
  <r>
    <d v="2024-02-13T00:00:00"/>
    <x v="44"/>
    <s v="FBT Return"/>
    <n v="4"/>
    <x v="50"/>
    <s v="Yes"/>
    <s v="Prepare FBT returns for 2022 and 2023 Workpapers Prior discussions with Sylvie and Stephen"/>
    <x v="2"/>
    <s v="Tuesday"/>
  </r>
  <r>
    <d v="2024-02-13T00:00:00"/>
    <x v="45"/>
    <s v="Bookkeeping"/>
    <n v="0.72"/>
    <x v="57"/>
    <s v="Yes"/>
    <s v="Update cashflow Review AP"/>
    <x v="2"/>
    <s v="Tuesday"/>
  </r>
  <r>
    <d v="2024-02-13T00:00:00"/>
    <x v="45"/>
    <s v="Bookkeeping"/>
    <n v="0.73"/>
    <x v="50"/>
    <s v="Yes"/>
    <s v="Payroll tax reconciliation"/>
    <x v="2"/>
    <s v="Tuesday"/>
  </r>
  <r>
    <d v="2024-02-13T00:00:00"/>
    <x v="45"/>
    <s v="Bookkeeping"/>
    <n v="2.78"/>
    <x v="50"/>
    <s v="Yes"/>
    <s v="Inbox mgmt Post AP bills Meeting with Rachele and Sylvie"/>
    <x v="2"/>
    <s v="Tuesday"/>
  </r>
  <r>
    <d v="2024-02-13T00:00:00"/>
    <x v="45"/>
    <s v="Bookkeeping"/>
    <n v="3.3"/>
    <x v="50"/>
    <s v="Yes"/>
    <s v="AP run Import transactions for bank rec Upload AP payments"/>
    <x v="2"/>
    <s v="Tuesday"/>
  </r>
  <r>
    <d v="2024-02-13T00:00:00"/>
    <x v="45"/>
    <s v="General"/>
    <n v="0.5"/>
    <x v="12"/>
    <s v="No"/>
    <s v="Paid break"/>
    <x v="2"/>
    <s v="Tuesday"/>
  </r>
  <r>
    <d v="2024-02-13T00:00:00"/>
    <x v="45"/>
    <s v="Meetings"/>
    <n v="0.17"/>
    <x v="12"/>
    <s v="No"/>
    <s v="Social committee meeting"/>
    <x v="2"/>
    <s v="Tuesday"/>
  </r>
  <r>
    <d v="2024-02-13T00:00:00"/>
    <x v="46"/>
    <s v="Client Manager"/>
    <n v="0.25"/>
    <x v="14"/>
    <s v="Yes"/>
    <s v="Monthly meeting with SRAC team"/>
    <x v="2"/>
    <s v="Tuesday"/>
  </r>
  <r>
    <d v="2024-02-13T00:00:00"/>
    <x v="46"/>
    <s v="Client Manager"/>
    <n v="0.25"/>
    <x v="88"/>
    <s v="Yes"/>
    <s v="Send Dec 2023 quarter GST template for BAS preparation. Save under client folder"/>
    <x v="2"/>
    <s v="Tuesday"/>
  </r>
  <r>
    <d v="2024-02-13T00:00:00"/>
    <x v="46"/>
    <s v="Client Manager"/>
    <n v="0.33"/>
    <x v="14"/>
    <s v="Yes"/>
    <s v="Upload payables and email Katherine/Shalisa"/>
    <x v="2"/>
    <s v="Tuesday"/>
  </r>
  <r>
    <d v="2024-02-13T00:00:00"/>
    <x v="46"/>
    <s v="Client Manager"/>
    <n v="0.5"/>
    <x v="50"/>
    <s v="Yes"/>
    <s v="Tried to add 2 entities to ATO portal. Needs nomination so advised accordingly  Add 2 clients to portal. Send list of all overdue lodgements to Sylvie."/>
    <x v="2"/>
    <s v="Tuesday"/>
  </r>
  <r>
    <d v="2024-02-13T00:00:00"/>
    <x v="46"/>
    <s v="Client Manager"/>
    <n v="0.5"/>
    <x v="2"/>
    <s v="No"/>
    <s v="Meeting with Nicole re BAS process, go through Asana tasks, how to support Aileen etc"/>
    <x v="2"/>
    <s v="Tuesday"/>
  </r>
  <r>
    <d v="2024-02-13T00:00:00"/>
    <x v="46"/>
    <s v="General"/>
    <n v="1.5"/>
    <x v="12"/>
    <s v="No"/>
    <s v="Quick catch-up with Carly re Alliance scope review, word doc conversion, send same, various emails with Mel re Bryan, internal teams messages, ATO portal check for Plump &amp; Spry, tax client sold list, etc"/>
    <x v="2"/>
    <s v="Tuesday"/>
  </r>
  <r>
    <d v="2024-02-13T00:00:00"/>
    <x v="46"/>
    <s v="General"/>
    <n v="1.5"/>
    <x v="12"/>
    <s v="No"/>
    <s v="Weekly invoices, liaise with Con re fixed fee, process for sending BAS/IAS if not on Xero, XPM update for billing frequency, onboarding, "/>
    <x v="2"/>
    <s v="Tuesday"/>
  </r>
  <r>
    <d v="2024-02-13T00:00:00"/>
    <x v="46"/>
    <s v="IAS/BAS Preparation &amp; Lodgement - Jan"/>
    <n v="0.17"/>
    <x v="55"/>
    <s v="Yes"/>
    <s v="Jan 2024 IAS review and lodgement"/>
    <x v="2"/>
    <s v="Tuesday"/>
  </r>
  <r>
    <d v="2024-02-13T00:00:00"/>
    <x v="46"/>
    <s v="IAS/BAS Preparation &amp; Lodgement - Jan"/>
    <n v="0.33"/>
    <x v="16"/>
    <s v="Yes"/>
    <s v="Jan 2024 BAS review and lodgement"/>
    <x v="2"/>
    <s v="Tuesday"/>
  </r>
  <r>
    <d v="2024-02-13T00:00:00"/>
    <x v="46"/>
    <s v="IAS/BAS Preparation &amp; Lodgement - Jan"/>
    <n v="0.33"/>
    <x v="13"/>
    <s v="Yes"/>
    <s v="Jan 2024 BAS review and lodgement"/>
    <x v="2"/>
    <s v="Tuesday"/>
  </r>
  <r>
    <d v="2024-02-13T00:00:00"/>
    <x v="46"/>
    <s v="IAS/BAS Preparation &amp; Lodgement - Oct-Dec"/>
    <n v="0.33"/>
    <x v="70"/>
    <s v="Yes"/>
    <s v="Dec 2023 quarter review and lodgement"/>
    <x v="2"/>
    <s v="Tuesday"/>
  </r>
  <r>
    <d v="2024-02-13T00:00:00"/>
    <x v="46"/>
    <s v="Meetings"/>
    <n v="0.5"/>
    <x v="12"/>
    <s v="No"/>
    <s v="Catchup with Kate re onboarding process. Review super rec template with Kate"/>
    <x v="2"/>
    <s v="Tuesday"/>
  </r>
  <r>
    <d v="2024-02-13T00:00:00"/>
    <x v="46"/>
    <s v="Meetings"/>
    <n v="0.5"/>
    <x v="12"/>
    <s v="No"/>
    <s v="Fortnightly CET meeting"/>
    <x v="2"/>
    <s v="Tuesday"/>
  </r>
  <r>
    <d v="2024-02-13T00:00:00"/>
    <x v="46"/>
    <s v="Meetings"/>
    <n v="0.5"/>
    <x v="12"/>
    <s v="No"/>
    <s v="Meeting with Bern to finalise workflow for depreciation, prepayments and BAS"/>
    <x v="2"/>
    <s v="Tuesday"/>
  </r>
  <r>
    <d v="2024-02-13T00:00:00"/>
    <x v="46"/>
    <s v="Meetings"/>
    <n v="0.5"/>
    <x v="12"/>
    <s v="No"/>
    <s v="Weekly meeting with LM"/>
    <x v="2"/>
    <s v="Tuesday"/>
  </r>
  <r>
    <d v="2024-02-13T00:00:00"/>
    <x v="46"/>
    <s v="Meetings"/>
    <n v="0.75"/>
    <x v="12"/>
    <s v="No"/>
    <s v="Fortnightly client delivery meeting and update minutes"/>
    <x v="2"/>
    <s v="Tuesday"/>
  </r>
  <r>
    <d v="2024-02-13T00:00:00"/>
    <x v="47"/>
    <s v="Bookkeeping"/>
    <n v="0.3"/>
    <x v="50"/>
    <s v="Yes"/>
    <s v="REview task list"/>
    <x v="2"/>
    <s v="Tuesday"/>
  </r>
  <r>
    <d v="2024-02-13T00:00:00"/>
    <x v="47"/>
    <s v="Bookkeeping"/>
    <n v="0.6"/>
    <x v="50"/>
    <s v="No"/>
    <s v="RIL - instructions for tax agent - emails "/>
    <x v="2"/>
    <s v="Tuesday"/>
  </r>
  <r>
    <d v="2024-02-13T00:00:00"/>
    <x v="47"/>
    <s v="Bookkeeping"/>
    <n v="1"/>
    <x v="50"/>
    <s v="Yes"/>
    <s v="AP - 1 pmt, check CC process, review weekly AP"/>
    <x v="2"/>
    <s v="Tuesday"/>
  </r>
  <r>
    <d v="2024-02-13T00:00:00"/>
    <x v="47"/>
    <s v="Bookkeeping"/>
    <n v="2.2999999999999998"/>
    <x v="50"/>
    <s v="Yes"/>
    <s v="BLM - reconciliation, allocate CN, instructions bank rec"/>
    <x v="2"/>
    <s v="Tuesday"/>
  </r>
  <r>
    <d v="2024-02-13T00:00:00"/>
    <x v="47"/>
    <s v="Budget - Monthly"/>
    <n v="1.4"/>
    <x v="109"/>
    <s v="No"/>
    <s v="Email with Josh, Mel, RSM / call Josh re VPN/ Nick re scope"/>
    <x v="2"/>
    <s v="Tuesday"/>
  </r>
  <r>
    <d v="2024-02-13T00:00:00"/>
    <x v="47"/>
    <s v="Client Admin"/>
    <n v="0.6"/>
    <x v="12"/>
    <s v="No"/>
    <s v="Invoice Bellinger"/>
    <x v="2"/>
    <s v="Tuesday"/>
  </r>
  <r>
    <d v="2024-02-13T00:00:00"/>
    <x v="47"/>
    <s v="Client Admin"/>
    <n v="1.5"/>
    <x v="12"/>
    <s v="No"/>
    <s v="Fixed fees calculation + Xero set up fees for Capspace- liaise with Shalini, email Tim"/>
    <x v="2"/>
    <s v="Tuesday"/>
  </r>
  <r>
    <d v="2024-02-13T00:00:00"/>
    <x v="47"/>
    <s v="Client Manager"/>
    <n v="0.7"/>
    <x v="50"/>
    <s v="Yes"/>
    <s v="emails, liaise with team"/>
    <x v="2"/>
    <s v="Tuesday"/>
  </r>
  <r>
    <d v="2024-02-13T00:00:00"/>
    <x v="47"/>
    <s v="Client Manager"/>
    <n v="1"/>
    <x v="50"/>
    <s v="Yes"/>
    <s v="catch up Rachele and Sarah - discuss tasks"/>
    <x v="2"/>
    <s v="Tuesday"/>
  </r>
  <r>
    <d v="2024-02-13T00:00:00"/>
    <x v="47"/>
    <s v="FBT Return"/>
    <n v="0.2"/>
    <x v="50"/>
    <s v="Yes"/>
    <s v="email Sam"/>
    <x v="2"/>
    <s v="Tuesday"/>
  </r>
  <r>
    <d v="2024-02-13T00:00:00"/>
    <x v="47"/>
    <s v="General"/>
    <n v="0.5"/>
    <x v="12"/>
    <s v="No"/>
    <s v="teams, timesheet, Asana"/>
    <x v="2"/>
    <s v="Tuesday"/>
  </r>
  <r>
    <d v="2024-02-13T00:00:00"/>
    <x v="47"/>
    <s v="Payroll Processing"/>
    <n v="0.4"/>
    <x v="50"/>
    <s v="Yes"/>
    <s v="Email Stephen / Chris re deduction in payroll"/>
    <x v="2"/>
    <s v="Tuesday"/>
  </r>
  <r>
    <d v="2024-02-13T00:00:00"/>
    <x v="52"/>
    <s v="Automations"/>
    <n v="2"/>
    <x v="12"/>
    <s v="No"/>
    <s v="BAS Automation"/>
    <x v="2"/>
    <s v="Tuesday"/>
  </r>
  <r>
    <d v="2024-02-13T00:00:00"/>
    <x v="48"/>
    <s v="General"/>
    <n v="4"/>
    <x v="12"/>
    <s v="No"/>
    <s v="- prepare Sherly's Induction Plan, coordinate schedule with key team members - finalize Employee Referral Policy - prepare Sherly's online personnel folder - coordinate with Kim and Jordan re CVCheck"/>
    <x v="2"/>
    <s v="Tuesday"/>
  </r>
  <r>
    <d v="2024-02-13T00:00:00"/>
    <x v="48"/>
    <s v="General"/>
    <n v="4"/>
    <x v="12"/>
    <s v="No"/>
    <e v="#NAME?"/>
    <x v="2"/>
    <s v="Tuesday"/>
  </r>
  <r>
    <d v="2024-02-14T00:00:00"/>
    <x v="0"/>
    <s v="Bookkeeping"/>
    <n v="0.05"/>
    <x v="4"/>
    <s v="Yes"/>
    <s v="Email"/>
    <x v="2"/>
    <s v="Wednesday"/>
  </r>
  <r>
    <d v="2024-02-14T00:00:00"/>
    <x v="0"/>
    <s v="Bookkeeping"/>
    <n v="7.0000000000000007E-2"/>
    <x v="5"/>
    <s v="Yes"/>
    <s v="Email"/>
    <x v="2"/>
    <s v="Wednesday"/>
  </r>
  <r>
    <d v="2024-02-14T00:00:00"/>
    <x v="0"/>
    <s v="Bookkeeping"/>
    <n v="7.0000000000000007E-2"/>
    <x v="13"/>
    <s v="Yes"/>
    <s v="Email"/>
    <x v="2"/>
    <s v="Wednesday"/>
  </r>
  <r>
    <d v="2024-02-14T00:00:00"/>
    <x v="0"/>
    <s v="Bookkeeping"/>
    <n v="7.0000000000000007E-2"/>
    <x v="8"/>
    <s v="Yes"/>
    <s v="Email"/>
    <x v="2"/>
    <s v="Wednesday"/>
  </r>
  <r>
    <d v="2024-02-14T00:00:00"/>
    <x v="0"/>
    <s v="Bookkeeping"/>
    <n v="0.08"/>
    <x v="2"/>
    <s v="Yes"/>
    <s v="Check Purchases - Wheat transactions"/>
    <x v="2"/>
    <s v="Wednesday"/>
  </r>
  <r>
    <d v="2024-02-14T00:00:00"/>
    <x v="0"/>
    <s v="Bookkeeping"/>
    <n v="0.08"/>
    <x v="3"/>
    <s v="Yes"/>
    <s v="Email"/>
    <x v="2"/>
    <s v="Wednesday"/>
  </r>
  <r>
    <d v="2024-02-14T00:00:00"/>
    <x v="0"/>
    <s v="Bookkeeping"/>
    <n v="0.12"/>
    <x v="19"/>
    <s v="Yes"/>
    <s v="Delete bill in Sage"/>
    <x v="2"/>
    <s v="Wednesday"/>
  </r>
  <r>
    <d v="2024-02-14T00:00:00"/>
    <x v="0"/>
    <s v="Bookkeeping"/>
    <n v="0.13"/>
    <x v="6"/>
    <s v="Yes"/>
    <s v="Email/Inbox Management"/>
    <x v="2"/>
    <s v="Wednesday"/>
  </r>
  <r>
    <d v="2024-02-14T00:00:00"/>
    <x v="0"/>
    <s v="Bookkeeping"/>
    <n v="0.15"/>
    <x v="2"/>
    <s v="Yes"/>
    <s v="Email/Inbox Management"/>
    <x v="2"/>
    <s v="Wednesday"/>
  </r>
  <r>
    <d v="2024-02-14T00:00:00"/>
    <x v="0"/>
    <s v="Bookkeeping"/>
    <n v="0.17"/>
    <x v="2"/>
    <s v="Yes"/>
    <s v="Check Wheat commodities"/>
    <x v="2"/>
    <s v="Wednesday"/>
  </r>
  <r>
    <d v="2024-02-14T00:00:00"/>
    <x v="0"/>
    <s v="Bookkeeping"/>
    <n v="0.23"/>
    <x v="4"/>
    <s v="Yes"/>
    <s v="AR and Manual Journal"/>
    <x v="2"/>
    <s v="Wednesday"/>
  </r>
  <r>
    <d v="2024-02-14T00:00:00"/>
    <x v="0"/>
    <s v="Bookkeeping"/>
    <n v="0.25"/>
    <x v="8"/>
    <s v="Yes"/>
    <s v="Bank Reconciliation"/>
    <x v="2"/>
    <s v="Wednesday"/>
  </r>
  <r>
    <d v="2024-02-14T00:00:00"/>
    <x v="0"/>
    <s v="Bookkeeping"/>
    <n v="0.3"/>
    <x v="3"/>
    <s v="Yes"/>
    <s v="Clear AP inbox"/>
    <x v="2"/>
    <s v="Wednesday"/>
  </r>
  <r>
    <d v="2024-02-14T00:00:00"/>
    <x v="0"/>
    <s v="Bookkeeping"/>
    <n v="0.37"/>
    <x v="2"/>
    <s v="Yes"/>
    <s v="Check ABN and GST Registration of companies"/>
    <x v="2"/>
    <s v="Wednesday"/>
  </r>
  <r>
    <d v="2024-02-14T00:00:00"/>
    <x v="0"/>
    <s v="Bookkeeping"/>
    <n v="0.48"/>
    <x v="19"/>
    <s v="Yes"/>
    <s v="Enter bills in Sage"/>
    <x v="2"/>
    <s v="Wednesday"/>
  </r>
  <r>
    <d v="2024-02-14T00:00:00"/>
    <x v="0"/>
    <s v="Bookkeeping"/>
    <n v="0.7"/>
    <x v="2"/>
    <s v="Yes"/>
    <s v="Check companies ABN and GST Registrations and Re-code transactions to GST Free Expenses"/>
    <x v="2"/>
    <s v="Wednesday"/>
  </r>
  <r>
    <d v="2024-02-14T00:00:00"/>
    <x v="0"/>
    <s v="Bookkeeping"/>
    <n v="1.07"/>
    <x v="2"/>
    <s v="Yes"/>
    <s v="Bank Reconciliation"/>
    <x v="2"/>
    <s v="Wednesday"/>
  </r>
  <r>
    <d v="2024-02-14T00:00:00"/>
    <x v="0"/>
    <s v="Bookkeeping"/>
    <n v="1.48"/>
    <x v="11"/>
    <s v="Yes"/>
    <s v="Bank Reconciliation"/>
    <x v="2"/>
    <s v="Wednesday"/>
  </r>
  <r>
    <d v="2024-02-14T00:00:00"/>
    <x v="0"/>
    <s v="General"/>
    <n v="0.1"/>
    <x v="12"/>
    <s v="No"/>
    <s v="Farewell message to April"/>
    <x v="2"/>
    <s v="Wednesday"/>
  </r>
  <r>
    <d v="2024-02-14T00:00:00"/>
    <x v="0"/>
    <s v="General"/>
    <n v="0.13"/>
    <x v="12"/>
    <s v="No"/>
    <s v="Farewell message to Charmie"/>
    <x v="2"/>
    <s v="Wednesday"/>
  </r>
  <r>
    <d v="2024-02-14T00:00:00"/>
    <x v="0"/>
    <s v="General"/>
    <n v="0.17"/>
    <x v="12"/>
    <s v="No"/>
    <s v="Admin emails"/>
    <x v="2"/>
    <s v="Wednesday"/>
  </r>
  <r>
    <d v="2024-02-14T00:00:00"/>
    <x v="0"/>
    <s v="General"/>
    <n v="0.25"/>
    <x v="12"/>
    <s v="No"/>
    <s v="Afternoon Break"/>
    <x v="2"/>
    <s v="Wednesday"/>
  </r>
  <r>
    <d v="2024-02-14T00:00:00"/>
    <x v="0"/>
    <s v="General"/>
    <n v="0.25"/>
    <x v="12"/>
    <s v="No"/>
    <s v="Morning Break"/>
    <x v="2"/>
    <s v="Wednesday"/>
  </r>
  <r>
    <d v="2024-02-14T00:00:00"/>
    <x v="0"/>
    <s v="Learning &amp; Development"/>
    <n v="0.42"/>
    <x v="12"/>
    <s v="No"/>
    <s v="Team Activity"/>
    <x v="2"/>
    <s v="Wednesday"/>
  </r>
  <r>
    <d v="2024-02-14T00:00:00"/>
    <x v="0"/>
    <s v="Payroll Processing"/>
    <n v="0.05"/>
    <x v="13"/>
    <s v="Yes"/>
    <s v="Email"/>
    <x v="2"/>
    <s v="Wednesday"/>
  </r>
  <r>
    <d v="2024-02-14T00:00:00"/>
    <x v="0"/>
    <s v="Payroll Processing"/>
    <n v="0.17"/>
    <x v="11"/>
    <s v="Yes"/>
    <s v="Review"/>
    <x v="2"/>
    <s v="Wednesday"/>
  </r>
  <r>
    <d v="2024-02-14T00:00:00"/>
    <x v="0"/>
    <s v="Payroll Processing"/>
    <n v="0.6"/>
    <x v="4"/>
    <s v="Yes"/>
    <m/>
    <x v="2"/>
    <s v="Wednesday"/>
  </r>
  <r>
    <d v="2024-02-14T00:00:00"/>
    <x v="49"/>
    <s v="P&amp;C Advisory - Group"/>
    <n v="4.5"/>
    <x v="63"/>
    <s v="Yes"/>
    <s v="Develop goal setting presentation Flexible Working Arrangements policy"/>
    <x v="2"/>
    <s v="Wednesday"/>
  </r>
  <r>
    <d v="2024-02-14T00:00:00"/>
    <x v="49"/>
    <s v="P&amp;C Advisory - Nederman Mikropul"/>
    <n v="0.17"/>
    <x v="63"/>
    <s v="Yes"/>
    <s v="Calls/correspondence re. employee attendance concerns"/>
    <x v="2"/>
    <s v="Wednesday"/>
  </r>
  <r>
    <d v="2024-02-14T00:00:00"/>
    <x v="49"/>
    <s v="P&amp;C Advisory - Nederman PT"/>
    <n v="0.75"/>
    <x v="63"/>
    <s v="Yes"/>
    <s v="Calls re. potential redeployment opportunities and legal obligations Correspondence re. legal requirements and calculations"/>
    <x v="2"/>
    <s v="Wednesday"/>
  </r>
  <r>
    <d v="2024-02-14T00:00:00"/>
    <x v="1"/>
    <s v="Bookkeeping"/>
    <n v="0.23"/>
    <x v="2"/>
    <s v="No"/>
    <s v="check queries"/>
    <x v="2"/>
    <s v="Wednesday"/>
  </r>
  <r>
    <d v="2024-02-14T00:00:00"/>
    <x v="1"/>
    <s v="Bookkeeping"/>
    <n v="1.73"/>
    <x v="15"/>
    <s v="Yes"/>
    <m/>
    <x v="2"/>
    <s v="Wednesday"/>
  </r>
  <r>
    <d v="2024-02-14T00:00:00"/>
    <x v="1"/>
    <s v="General"/>
    <n v="0.35"/>
    <x v="12"/>
    <s v="No"/>
    <s v="attend to staff concerns/queries, chats, etc"/>
    <x v="2"/>
    <s v="Wednesday"/>
  </r>
  <r>
    <d v="2024-02-14T00:00:00"/>
    <x v="1"/>
    <s v="General"/>
    <n v="0.38"/>
    <x v="12"/>
    <s v="No"/>
    <s v="team Valentine's activity"/>
    <x v="2"/>
    <s v="Wednesday"/>
  </r>
  <r>
    <d v="2024-02-14T00:00:00"/>
    <x v="1"/>
    <s v="General"/>
    <n v="0.42"/>
    <x v="12"/>
    <s v="No"/>
    <s v="Tasman Agri - assist Aileen"/>
    <x v="2"/>
    <s v="Wednesday"/>
  </r>
  <r>
    <d v="2024-02-14T00:00:00"/>
    <x v="1"/>
    <s v="General"/>
    <n v="0.45"/>
    <x v="12"/>
    <s v="No"/>
    <s v="chats, emails, Asana, etc"/>
    <x v="2"/>
    <s v="Wednesday"/>
  </r>
  <r>
    <d v="2024-02-14T00:00:00"/>
    <x v="1"/>
    <s v="General"/>
    <n v="0.87"/>
    <x v="12"/>
    <s v="No"/>
    <m/>
    <x v="2"/>
    <s v="Wednesday"/>
  </r>
  <r>
    <d v="2024-02-14T00:00:00"/>
    <x v="1"/>
    <s v="General"/>
    <n v="1.03"/>
    <x v="12"/>
    <s v="No"/>
    <s v="probationary review, chats, emails"/>
    <x v="2"/>
    <s v="Wednesday"/>
  </r>
  <r>
    <d v="2024-02-14T00:00:00"/>
    <x v="1"/>
    <s v="Payroll Processing"/>
    <n v="0.35"/>
    <x v="14"/>
    <s v="Yes"/>
    <m/>
    <x v="2"/>
    <s v="Wednesday"/>
  </r>
  <r>
    <d v="2024-02-14T00:00:00"/>
    <x v="1"/>
    <s v="Payroll Processing"/>
    <n v="2.2000000000000002"/>
    <x v="15"/>
    <s v="Yes"/>
    <m/>
    <x v="2"/>
    <s v="Wednesday"/>
  </r>
  <r>
    <d v="2024-02-14T00:00:00"/>
    <x v="2"/>
    <s v="Annual Leave"/>
    <n v="8"/>
    <x v="12"/>
    <s v="No"/>
    <m/>
    <x v="2"/>
    <s v="Wednesday"/>
  </r>
  <r>
    <d v="2024-02-14T00:00:00"/>
    <x v="3"/>
    <s v="Business Development"/>
    <n v="8"/>
    <x v="12"/>
    <s v="No"/>
    <s v="Multiple meetings to confirm details / points for manual  continuation of remaining flows and manuals"/>
    <x v="2"/>
    <s v="Wednesday"/>
  </r>
  <r>
    <d v="2024-02-14T00:00:00"/>
    <x v="4"/>
    <s v="Business Development"/>
    <n v="8"/>
    <x v="12"/>
    <s v="No"/>
    <m/>
    <x v="2"/>
    <s v="Wednesday"/>
  </r>
  <r>
    <d v="2024-02-14T00:00:00"/>
    <x v="5"/>
    <s v="Bookkeeping"/>
    <n v="0.35"/>
    <x v="16"/>
    <s v="Yes"/>
    <s v="Marking as Paid in Simpro"/>
    <x v="2"/>
    <s v="Wednesday"/>
  </r>
  <r>
    <d v="2024-02-14T00:00:00"/>
    <x v="5"/>
    <s v="Bookkeeping"/>
    <n v="0.5"/>
    <x v="16"/>
    <s v="Yes"/>
    <s v="Leave Reports"/>
    <x v="2"/>
    <s v="Wednesday"/>
  </r>
  <r>
    <d v="2024-02-14T00:00:00"/>
    <x v="5"/>
    <s v="Bookkeeping"/>
    <n v="1.65"/>
    <x v="16"/>
    <s v="Yes"/>
    <s v="Email Management"/>
    <x v="2"/>
    <s v="Wednesday"/>
  </r>
  <r>
    <d v="2024-02-14T00:00:00"/>
    <x v="5"/>
    <s v="Bookkeeping"/>
    <n v="5.73"/>
    <x v="16"/>
    <s v="Yes"/>
    <s v="AP Processing"/>
    <x v="2"/>
    <s v="Wednesday"/>
  </r>
  <r>
    <d v="2024-02-14T00:00:00"/>
    <x v="6"/>
    <s v="Annual Leave"/>
    <n v="8"/>
    <x v="12"/>
    <s v="No"/>
    <m/>
    <x v="2"/>
    <s v="Wednesday"/>
  </r>
  <r>
    <d v="2024-02-14T00:00:00"/>
    <x v="7"/>
    <s v="Automations"/>
    <n v="10.07"/>
    <x v="12"/>
    <s v="No"/>
    <m/>
    <x v="2"/>
    <s v="Wednesday"/>
  </r>
  <r>
    <d v="2024-02-14T00:00:00"/>
    <x v="8"/>
    <s v="Budget - Monthly"/>
    <n v="0.02"/>
    <x v="114"/>
    <s v="No"/>
    <m/>
    <x v="2"/>
    <s v="Wednesday"/>
  </r>
  <r>
    <d v="2024-02-14T00:00:00"/>
    <x v="8"/>
    <s v="Budget - Monthly"/>
    <n v="0.02"/>
    <x v="115"/>
    <s v="No"/>
    <m/>
    <x v="2"/>
    <s v="Wednesday"/>
  </r>
  <r>
    <d v="2024-02-14T00:00:00"/>
    <x v="10"/>
    <s v="Automations"/>
    <n v="9.25"/>
    <x v="12"/>
    <s v="No"/>
    <s v="Alliance Automation Part 2 Developement"/>
    <x v="2"/>
    <s v="Wednesday"/>
  </r>
  <r>
    <d v="2024-02-14T00:00:00"/>
    <x v="11"/>
    <s v="Bookkeeping"/>
    <n v="0.33"/>
    <x v="116"/>
    <s v="Yes"/>
    <s v="bank recon"/>
    <x v="2"/>
    <s v="Wednesday"/>
  </r>
  <r>
    <d v="2024-02-14T00:00:00"/>
    <x v="11"/>
    <s v="Bookkeeping"/>
    <n v="0.5"/>
    <x v="24"/>
    <s v="No"/>
    <s v="Checking the CJ stores' account"/>
    <x v="2"/>
    <s v="Wednesday"/>
  </r>
  <r>
    <d v="2024-02-14T00:00:00"/>
    <x v="11"/>
    <s v="Bookkeeping"/>
    <n v="0.83"/>
    <x v="26"/>
    <s v="Yes"/>
    <s v="Loading bills, bank recon"/>
    <x v="2"/>
    <s v="Wednesday"/>
  </r>
  <r>
    <d v="2024-02-14T00:00:00"/>
    <x v="11"/>
    <s v="Bookkeeping"/>
    <n v="1.33"/>
    <x v="23"/>
    <s v="Yes"/>
    <s v="Loading bills, bank recon"/>
    <x v="2"/>
    <s v="Wednesday"/>
  </r>
  <r>
    <d v="2024-02-14T00:00:00"/>
    <x v="11"/>
    <s v="Bookkeeping"/>
    <n v="1.92"/>
    <x v="25"/>
    <s v="Yes"/>
    <s v="Checking emails, loading bills"/>
    <x v="2"/>
    <s v="Wednesday"/>
  </r>
  <r>
    <d v="2024-02-14T00:00:00"/>
    <x v="11"/>
    <s v="General"/>
    <n v="0.5"/>
    <x v="12"/>
    <s v="No"/>
    <s v="break"/>
    <x v="2"/>
    <s v="Wednesday"/>
  </r>
  <r>
    <d v="2024-02-14T00:00:00"/>
    <x v="11"/>
    <s v="Out-of-Scope Services"/>
    <n v="0.17"/>
    <x v="78"/>
    <s v="Yes"/>
    <s v="entering bills"/>
    <x v="2"/>
    <s v="Wednesday"/>
  </r>
  <r>
    <d v="2024-02-14T00:00:00"/>
    <x v="11"/>
    <s v="Out-of-Scope Services"/>
    <n v="0.33"/>
    <x v="77"/>
    <s v="Yes"/>
    <s v="entering bills"/>
    <x v="2"/>
    <s v="Wednesday"/>
  </r>
  <r>
    <d v="2024-02-14T00:00:00"/>
    <x v="11"/>
    <s v="Out-of-Scope Services"/>
    <n v="2.08"/>
    <x v="110"/>
    <s v="Yes"/>
    <s v="entering bills, bank recon"/>
    <x v="2"/>
    <s v="Wednesday"/>
  </r>
  <r>
    <d v="2024-02-14T00:00:00"/>
    <x v="13"/>
    <s v="Individual Tax Returns"/>
    <n v="0.67"/>
    <x v="117"/>
    <s v="Yes"/>
    <s v="finalise Holly's 2023 tax return"/>
    <x v="2"/>
    <s v="Wednesday"/>
  </r>
  <r>
    <d v="2024-02-14T00:00:00"/>
    <x v="13"/>
    <s v="Individual Tax Returns"/>
    <n v="0.67"/>
    <x v="118"/>
    <s v="Yes"/>
    <s v="finalise 2023 tax return"/>
    <x v="2"/>
    <s v="Wednesday"/>
  </r>
  <r>
    <d v="2024-02-14T00:00:00"/>
    <x v="13"/>
    <s v="Trust Tax Returns"/>
    <n v="1.5"/>
    <x v="106"/>
    <s v="Yes"/>
    <s v="finalise 2023 trust tax return and XPM"/>
    <x v="2"/>
    <s v="Wednesday"/>
  </r>
  <r>
    <d v="2024-02-14T00:00:00"/>
    <x v="14"/>
    <s v="Bookkeeping"/>
    <n v="0.2"/>
    <x v="119"/>
    <s v="Yes"/>
    <s v="set up"/>
    <x v="2"/>
    <s v="Wednesday"/>
  </r>
  <r>
    <d v="2024-02-14T00:00:00"/>
    <x v="14"/>
    <s v="Bookkeeping"/>
    <n v="0.27"/>
    <x v="28"/>
    <s v="No"/>
    <s v="catch up w/ Dex team"/>
    <x v="2"/>
    <s v="Wednesday"/>
  </r>
  <r>
    <d v="2024-02-14T00:00:00"/>
    <x v="14"/>
    <s v="Bookkeeping"/>
    <n v="0.28000000000000003"/>
    <x v="40"/>
    <s v="Yes"/>
    <s v="emails/ accts review"/>
    <x v="2"/>
    <s v="Wednesday"/>
  </r>
  <r>
    <d v="2024-02-14T00:00:00"/>
    <x v="14"/>
    <s v="Bookkeeping"/>
    <n v="0.4"/>
    <x v="34"/>
    <s v="Yes"/>
    <s v="queries/emails"/>
    <x v="2"/>
    <s v="Wednesday"/>
  </r>
  <r>
    <d v="2024-02-14T00:00:00"/>
    <x v="14"/>
    <s v="Bookkeeping"/>
    <n v="1.02"/>
    <x v="119"/>
    <s v="Yes"/>
    <s v="onboarding, Xero set-up"/>
    <x v="2"/>
    <s v="Wednesday"/>
  </r>
  <r>
    <d v="2024-02-14T00:00:00"/>
    <x v="14"/>
    <s v="Bookkeeping"/>
    <n v="1.37"/>
    <x v="80"/>
    <s v="Yes"/>
    <s v="bills entry, bank rec"/>
    <x v="2"/>
    <s v="Wednesday"/>
  </r>
  <r>
    <d v="2024-02-14T00:00:00"/>
    <x v="14"/>
    <s v="Bookkeeping"/>
    <n v="2.13"/>
    <x v="80"/>
    <s v="Yes"/>
    <s v="bills entry"/>
    <x v="2"/>
    <s v="Wednesday"/>
  </r>
  <r>
    <d v="2024-02-14T00:00:00"/>
    <x v="14"/>
    <s v="Client Meeting"/>
    <n v="0.52"/>
    <x v="28"/>
    <s v="Yes"/>
    <s v="Sales actuals w/ John Cousins &amp; Jimwelle"/>
    <x v="2"/>
    <s v="Wednesday"/>
  </r>
  <r>
    <d v="2024-02-14T00:00:00"/>
    <x v="14"/>
    <s v="General"/>
    <n v="0.15"/>
    <x v="12"/>
    <s v="No"/>
    <s v="teams"/>
    <x v="2"/>
    <s v="Wednesday"/>
  </r>
  <r>
    <d v="2024-02-14T00:00:00"/>
    <x v="14"/>
    <s v="General"/>
    <n v="0.28000000000000003"/>
    <x v="12"/>
    <s v="No"/>
    <s v="Sprout/ leave calendar"/>
    <x v="2"/>
    <s v="Wednesday"/>
  </r>
  <r>
    <d v="2024-02-14T00:00:00"/>
    <x v="14"/>
    <s v="General"/>
    <n v="0.72"/>
    <x v="12"/>
    <s v="No"/>
    <s v="emails, teams, Sprout, leave calendar, tax reminders"/>
    <x v="2"/>
    <s v="Wednesday"/>
  </r>
  <r>
    <d v="2024-02-14T00:00:00"/>
    <x v="14"/>
    <s v="IAS/BAS Preparation &amp; Lodgement - Oct-Dec"/>
    <n v="0.45"/>
    <x v="5"/>
    <s v="Yes"/>
    <s v="financials/CM/GST review"/>
    <x v="2"/>
    <s v="Wednesday"/>
  </r>
  <r>
    <d v="2024-02-14T00:00:00"/>
    <x v="14"/>
    <s v="Management Reporting"/>
    <n v="0.22"/>
    <x v="28"/>
    <s v="Yes"/>
    <s v="ad hoc Forecast"/>
    <x v="2"/>
    <s v="Wednesday"/>
  </r>
  <r>
    <d v="2024-02-14T00:00:00"/>
    <x v="15"/>
    <s v="General"/>
    <n v="9.6199999999999992"/>
    <x v="12"/>
    <s v="No"/>
    <e v="#NAME?"/>
    <x v="2"/>
    <s v="Wednesday"/>
  </r>
  <r>
    <d v="2024-02-14T00:00:00"/>
    <x v="16"/>
    <s v="Bookkeeping"/>
    <n v="0.56999999999999995"/>
    <x v="30"/>
    <s v="Yes"/>
    <s v="ap batch report"/>
    <x v="2"/>
    <s v="Wednesday"/>
  </r>
  <r>
    <d v="2024-02-14T00:00:00"/>
    <x v="16"/>
    <s v="Bookkeeping"/>
    <n v="0.72"/>
    <x v="30"/>
    <s v="Yes"/>
    <s v="expor aba files"/>
    <x v="2"/>
    <s v="Wednesday"/>
  </r>
  <r>
    <d v="2024-02-14T00:00:00"/>
    <x v="16"/>
    <s v="Bookkeeping"/>
    <n v="1.22"/>
    <x v="29"/>
    <s v="No"/>
    <s v="reviewing report"/>
    <x v="2"/>
    <s v="Wednesday"/>
  </r>
  <r>
    <d v="2024-02-14T00:00:00"/>
    <x v="16"/>
    <s v="Bookkeeping"/>
    <n v="1.37"/>
    <x v="30"/>
    <s v="Yes"/>
    <s v="bank recon process ap invoices from inbox"/>
    <x v="2"/>
    <s v="Wednesday"/>
  </r>
  <r>
    <d v="2024-02-14T00:00:00"/>
    <x v="16"/>
    <s v="Bookkeeping"/>
    <n v="2.0299999999999998"/>
    <x v="32"/>
    <s v="Yes"/>
    <s v="bank recon process ap invoice form inbox checking of NZD paypal account for bank feeds"/>
    <x v="2"/>
    <s v="Wednesday"/>
  </r>
  <r>
    <d v="2024-02-14T00:00:00"/>
    <x v="16"/>
    <s v="Bookkeeping - AP"/>
    <n v="0.72"/>
    <x v="33"/>
    <s v="Yes"/>
    <s v="approve ap invoices"/>
    <x v="2"/>
    <s v="Wednesday"/>
  </r>
  <r>
    <d v="2024-02-14T00:00:00"/>
    <x v="16"/>
    <s v="General"/>
    <n v="0.38"/>
    <x v="12"/>
    <s v="No"/>
    <s v="emails"/>
    <x v="2"/>
    <s v="Wednesday"/>
  </r>
  <r>
    <d v="2024-02-14T00:00:00"/>
    <x v="16"/>
    <s v="General"/>
    <n v="0.5"/>
    <x v="12"/>
    <s v="No"/>
    <s v="break"/>
    <x v="2"/>
    <s v="Wednesday"/>
  </r>
  <r>
    <d v="2024-02-14T00:00:00"/>
    <x v="16"/>
    <s v="Meetings"/>
    <n v="0.5"/>
    <x v="12"/>
    <s v="No"/>
    <m/>
    <x v="2"/>
    <s v="Wednesday"/>
  </r>
  <r>
    <d v="2024-02-14T00:00:00"/>
    <x v="17"/>
    <s v="Annual Leave"/>
    <n v="8"/>
    <x v="12"/>
    <s v="No"/>
    <m/>
    <x v="2"/>
    <s v="Wednesday"/>
  </r>
  <r>
    <d v="2024-02-14T00:00:00"/>
    <x v="18"/>
    <s v="General"/>
    <n v="0.56999999999999995"/>
    <x v="12"/>
    <s v="No"/>
    <s v="review prepayments and accruals schedule"/>
    <x v="2"/>
    <s v="Wednesday"/>
  </r>
  <r>
    <d v="2024-02-14T00:00:00"/>
    <x v="18"/>
    <s v="General"/>
    <n v="0.6"/>
    <x v="12"/>
    <s v="No"/>
    <s v="review survey questions"/>
    <x v="2"/>
    <s v="Wednesday"/>
  </r>
  <r>
    <d v="2024-02-14T00:00:00"/>
    <x v="18"/>
    <s v="General"/>
    <n v="1.23"/>
    <x v="12"/>
    <s v="No"/>
    <s v="accrued expenses template - email to Shalini"/>
    <x v="2"/>
    <s v="Wednesday"/>
  </r>
  <r>
    <d v="2024-02-14T00:00:00"/>
    <x v="18"/>
    <s v="General"/>
    <n v="1.35"/>
    <x v="12"/>
    <s v="No"/>
    <s v="prepare prepayments standard template "/>
    <x v="2"/>
    <s v="Wednesday"/>
  </r>
  <r>
    <d v="2024-02-14T00:00:00"/>
    <x v="18"/>
    <s v="General"/>
    <n v="1.35"/>
    <x v="12"/>
    <s v="No"/>
    <s v="survey questions scoping form review shipley"/>
    <x v="2"/>
    <s v="Wednesday"/>
  </r>
  <r>
    <d v="2024-02-14T00:00:00"/>
    <x v="18"/>
    <s v="General"/>
    <n v="2.38"/>
    <x v="12"/>
    <s v="No"/>
    <s v="work on onboarding form"/>
    <x v="2"/>
    <s v="Wednesday"/>
  </r>
  <r>
    <d v="2024-02-14T00:00:00"/>
    <x v="18"/>
    <s v="Meetings"/>
    <n v="0.23"/>
    <x v="12"/>
    <s v="No"/>
    <s v="meeting with Bern"/>
    <x v="2"/>
    <s v="Wednesday"/>
  </r>
  <r>
    <d v="2024-02-14T00:00:00"/>
    <x v="19"/>
    <s v="Payroll Processing"/>
    <n v="1.8"/>
    <x v="36"/>
    <s v="Yes"/>
    <m/>
    <x v="2"/>
    <s v="Wednesday"/>
  </r>
  <r>
    <d v="2024-02-14T00:00:00"/>
    <x v="19"/>
    <s v="Payroll Processing"/>
    <n v="6.25"/>
    <x v="3"/>
    <s v="Yes"/>
    <m/>
    <x v="2"/>
    <s v="Wednesday"/>
  </r>
  <r>
    <d v="2024-02-14T00:00:00"/>
    <x v="20"/>
    <s v="P&amp;C Advisory"/>
    <n v="1.83"/>
    <x v="38"/>
    <s v="Yes"/>
    <s v="Mtg with Head HR org change prep Resignation confirmation letter Keerthi Inbox tasks"/>
    <x v="2"/>
    <s v="Wednesday"/>
  </r>
  <r>
    <d v="2024-02-14T00:00:00"/>
    <x v="20"/>
    <s v="P&amp;C Advisory"/>
    <n v="4.83"/>
    <x v="37"/>
    <s v="Yes"/>
    <s v="Phone screens Recruitment - Set up estimating job, screening etc Workforce mgmt - addendums, relocations etc Research &amp; demo mtgs for alternate ATS Product Immigration Sponsorship letter - change of business address Inbox enquiries "/>
    <x v="2"/>
    <s v="Wednesday"/>
  </r>
  <r>
    <d v="2024-02-14T00:00:00"/>
    <x v="21"/>
    <s v="Bookkeeping"/>
    <n v="0.08"/>
    <x v="66"/>
    <s v="Yes"/>
    <m/>
    <x v="2"/>
    <s v="Wednesday"/>
  </r>
  <r>
    <d v="2024-02-14T00:00:00"/>
    <x v="21"/>
    <s v="Bookkeeping"/>
    <n v="0.28000000000000003"/>
    <x v="28"/>
    <s v="Yes"/>
    <s v="Catch up with Shalini &amp; Xavi for Livewire client"/>
    <x v="2"/>
    <s v="Wednesday"/>
  </r>
  <r>
    <d v="2024-02-14T00:00:00"/>
    <x v="21"/>
    <s v="Bookkeeping"/>
    <n v="0.42"/>
    <x v="36"/>
    <s v="Yes"/>
    <s v="ap bills review"/>
    <x v="2"/>
    <s v="Wednesday"/>
  </r>
  <r>
    <d v="2024-02-14T00:00:00"/>
    <x v="21"/>
    <s v="Bookkeeping"/>
    <n v="0.47"/>
    <x v="40"/>
    <s v="Yes"/>
    <s v="bank recon"/>
    <x v="2"/>
    <s v="Wednesday"/>
  </r>
  <r>
    <d v="2024-02-14T00:00:00"/>
    <x v="21"/>
    <s v="Bookkeeping"/>
    <n v="0.52"/>
    <x v="40"/>
    <s v="Yes"/>
    <s v="Dext Prep, bank recon"/>
    <x v="2"/>
    <s v="Wednesday"/>
  </r>
  <r>
    <d v="2024-02-14T00:00:00"/>
    <x v="21"/>
    <s v="Bookkeeping"/>
    <n v="0.52"/>
    <x v="72"/>
    <s v="Yes"/>
    <s v="AP Items, bank recon, payment logic"/>
    <x v="2"/>
    <s v="Wednesday"/>
  </r>
  <r>
    <d v="2024-02-14T00:00:00"/>
    <x v="21"/>
    <s v="Bookkeeping"/>
    <n v="0.53"/>
    <x v="41"/>
    <s v="Yes"/>
    <s v="Batch Prep"/>
    <x v="2"/>
    <s v="Wednesday"/>
  </r>
  <r>
    <d v="2024-02-14T00:00:00"/>
    <x v="21"/>
    <s v="Bookkeeping"/>
    <n v="0.67"/>
    <x v="40"/>
    <s v="Yes"/>
    <s v="add invoices, bank recon"/>
    <x v="2"/>
    <s v="Wednesday"/>
  </r>
  <r>
    <d v="2024-02-14T00:00:00"/>
    <x v="21"/>
    <s v="Bookkeeping"/>
    <n v="0.77"/>
    <x v="41"/>
    <s v="Yes"/>
    <s v="AP Emails, Hubdoc, some items from procore, EH Items &amp; Leave synced to Xero"/>
    <x v="2"/>
    <s v="Wednesday"/>
  </r>
  <r>
    <d v="2024-02-14T00:00:00"/>
    <x v="21"/>
    <s v="Bookkeeping"/>
    <n v="1.02"/>
    <x v="28"/>
    <s v="Yes"/>
    <s v="AP Bills"/>
    <x v="2"/>
    <s v="Wednesday"/>
  </r>
  <r>
    <d v="2024-02-14T00:00:00"/>
    <x v="21"/>
    <s v="Bookkeeping"/>
    <n v="1.03"/>
    <x v="28"/>
    <s v="Yes"/>
    <s v="Dext Prep. AP Items"/>
    <x v="2"/>
    <s v="Wednesday"/>
  </r>
  <r>
    <d v="2024-02-14T00:00:00"/>
    <x v="21"/>
    <s v="Bookkeeping"/>
    <n v="1.1000000000000001"/>
    <x v="28"/>
    <s v="Yes"/>
    <s v="Set-up P&amp;L custom layout as per client (John Cousin) for their forecast reporting"/>
    <x v="2"/>
    <s v="Wednesday"/>
  </r>
  <r>
    <d v="2024-02-14T00:00:00"/>
    <x v="21"/>
    <s v="Meetings"/>
    <n v="0.15"/>
    <x v="12"/>
    <s v="No"/>
    <s v="Automation demo process for fintech"/>
    <x v="2"/>
    <s v="Wednesday"/>
  </r>
  <r>
    <d v="2024-02-14T00:00:00"/>
    <x v="21"/>
    <s v="Payroll Processing"/>
    <n v="0.5"/>
    <x v="41"/>
    <s v="Yes"/>
    <m/>
    <x v="2"/>
    <s v="Wednesday"/>
  </r>
  <r>
    <d v="2024-02-14T00:00:00"/>
    <x v="22"/>
    <s v="Automations"/>
    <n v="8"/>
    <x v="12"/>
    <s v="No"/>
    <s v="Fintech Equity Pty Ltd - Bank Reconciliation Automation"/>
    <x v="2"/>
    <s v="Wednesday"/>
  </r>
  <r>
    <d v="2024-02-14T00:00:00"/>
    <x v="23"/>
    <s v="Automations"/>
    <n v="8"/>
    <x v="12"/>
    <s v="No"/>
    <m/>
    <x v="2"/>
    <s v="Wednesday"/>
  </r>
  <r>
    <d v="2024-02-14T00:00:00"/>
    <x v="24"/>
    <s v="Automations"/>
    <n v="8"/>
    <x v="12"/>
    <s v="No"/>
    <s v="Run: LOC Dev: PrimeBuild Payroll Processing Report Automation"/>
    <x v="2"/>
    <s v="Wednesday"/>
  </r>
  <r>
    <d v="2024-02-14T00:00:00"/>
    <x v="25"/>
    <s v="Bookkeeping"/>
    <n v="0.25"/>
    <x v="24"/>
    <s v="Yes"/>
    <s v="Oporto reporting"/>
    <x v="2"/>
    <s v="Wednesday"/>
  </r>
  <r>
    <d v="2024-02-14T00:00:00"/>
    <x v="25"/>
    <s v="Bookkeeping"/>
    <n v="0.45"/>
    <x v="24"/>
    <s v="Yes"/>
    <s v="Oporto report"/>
    <x v="2"/>
    <s v="Wednesday"/>
  </r>
  <r>
    <d v="2024-02-14T00:00:00"/>
    <x v="25"/>
    <s v="Client Meeting"/>
    <n v="0.52"/>
    <x v="46"/>
    <s v="Yes"/>
    <s v="Introduce Nicole to client.  Meeting re payroll queries"/>
    <x v="2"/>
    <s v="Wednesday"/>
  </r>
  <r>
    <d v="2024-02-14T00:00:00"/>
    <x v="25"/>
    <s v="General"/>
    <n v="0.1"/>
    <x v="12"/>
    <s v="No"/>
    <s v="Xero query with Sylvie - FX discussions"/>
    <x v="2"/>
    <s v="Wednesday"/>
  </r>
  <r>
    <d v="2024-02-14T00:00:00"/>
    <x v="25"/>
    <s v="General"/>
    <n v="0.42"/>
    <x v="12"/>
    <s v="No"/>
    <s v="General queries from Ef"/>
    <x v="2"/>
    <s v="Wednesday"/>
  </r>
  <r>
    <d v="2024-02-14T00:00:00"/>
    <x v="25"/>
    <s v="IAS/BAS Preparation &amp; Lodgement - Jan"/>
    <n v="0.12"/>
    <x v="110"/>
    <s v="Yes"/>
    <s v="Review queries from LM"/>
    <x v="2"/>
    <s v="Wednesday"/>
  </r>
  <r>
    <d v="2024-02-14T00:00:00"/>
    <x v="25"/>
    <s v="IAS/BAS Preparation &amp; Lodgement - Jan"/>
    <n v="0.42"/>
    <x v="110"/>
    <s v="Yes"/>
    <s v="Dec and Jan review LM queries and update Judo loan coding"/>
    <x v="2"/>
    <s v="Wednesday"/>
  </r>
  <r>
    <d v="2024-02-14T00:00:00"/>
    <x v="25"/>
    <s v="Management Reporting"/>
    <n v="0.5"/>
    <x v="24"/>
    <s v="Yes"/>
    <s v="Oporto reports and customise layouts"/>
    <x v="2"/>
    <s v="Wednesday"/>
  </r>
  <r>
    <d v="2024-02-14T00:00:00"/>
    <x v="25"/>
    <s v="Meetings"/>
    <n v="0.92"/>
    <x v="12"/>
    <s v="No"/>
    <s v="Meeting with Insight Software"/>
    <x v="2"/>
    <s v="Wednesday"/>
  </r>
  <r>
    <d v="2024-02-14T00:00:00"/>
    <x v="25"/>
    <s v="Payroll Processing"/>
    <n v="0.12"/>
    <x v="46"/>
    <s v="Yes"/>
    <s v="Update Warrick reimbursement, finalise payrun, run reports, load to shared drive, email client"/>
    <x v="2"/>
    <s v="Wednesday"/>
  </r>
  <r>
    <d v="2024-02-14T00:00:00"/>
    <x v="25"/>
    <s v="Payroll Processing"/>
    <n v="0.13"/>
    <x v="37"/>
    <s v="Yes"/>
    <m/>
    <x v="2"/>
    <s v="Wednesday"/>
  </r>
  <r>
    <d v="2024-02-14T00:00:00"/>
    <x v="25"/>
    <s v="Payroll Processing"/>
    <n v="0.13"/>
    <x v="37"/>
    <s v="Yes"/>
    <s v="Update to Barry Maybury cost centre, rerun report"/>
    <x v="2"/>
    <s v="Wednesday"/>
  </r>
  <r>
    <d v="2024-02-14T00:00:00"/>
    <x v="25"/>
    <s v="Payroll Processing"/>
    <n v="0.15"/>
    <x v="24"/>
    <s v="Yes"/>
    <s v="Review payroll PHG and Oporto stores"/>
    <x v="2"/>
    <s v="Wednesday"/>
  </r>
  <r>
    <d v="2024-02-14T00:00:00"/>
    <x v="25"/>
    <s v="Payroll Processing"/>
    <n v="0.25"/>
    <x v="37"/>
    <s v="Yes"/>
    <s v="Call with Dave M to fix Carl Ellis"/>
    <x v="2"/>
    <s v="Wednesday"/>
  </r>
  <r>
    <d v="2024-02-14T00:00:00"/>
    <x v="25"/>
    <s v="Payroll Processing"/>
    <n v="0.25"/>
    <x v="37"/>
    <s v="Yes"/>
    <s v="Load payruns to Xero and email to team for approval"/>
    <x v="2"/>
    <s v="Wednesday"/>
  </r>
  <r>
    <d v="2024-02-14T00:00:00"/>
    <x v="25"/>
    <s v="Payroll Processing"/>
    <n v="0.55000000000000004"/>
    <x v="37"/>
    <s v="Yes"/>
    <s v="Payroll review and costing check, emails"/>
    <x v="2"/>
    <s v="Wednesday"/>
  </r>
  <r>
    <d v="2024-02-14T00:00:00"/>
    <x v="25"/>
    <s v="Payroll Processing"/>
    <n v="0.83"/>
    <x v="46"/>
    <s v="Yes"/>
    <s v="Updates to reimbursements, queries for Steven"/>
    <x v="2"/>
    <s v="Wednesday"/>
  </r>
  <r>
    <d v="2024-02-14T00:00:00"/>
    <x v="25"/>
    <s v="Payroll Processing"/>
    <n v="0.85"/>
    <x v="43"/>
    <s v="Yes"/>
    <s v="Review Katherine, create pay codes and RCTI doc"/>
    <x v="2"/>
    <s v="Wednesday"/>
  </r>
  <r>
    <d v="2024-02-14T00:00:00"/>
    <x v="25"/>
    <s v="Payroll Processing"/>
    <n v="1.45"/>
    <x v="37"/>
    <s v="Yes"/>
    <s v="Payroll reviews and emails"/>
    <x v="2"/>
    <s v="Wednesday"/>
  </r>
  <r>
    <d v="2024-02-14T00:00:00"/>
    <x v="51"/>
    <s v="Meetings"/>
    <n v="0.5"/>
    <x v="12"/>
    <s v="No"/>
    <s v="Fortnightly Check-In - Alison"/>
    <x v="2"/>
    <s v="Wednesday"/>
  </r>
  <r>
    <d v="2024-02-14T00:00:00"/>
    <x v="51"/>
    <s v="P&amp;C Advisory - Group"/>
    <n v="0.08"/>
    <x v="63"/>
    <s v="Yes"/>
    <s v="Drug &amp; Alcohol Testing e.g. 'Relevant' &amp; 'Hayden Health &amp; Safety' - Nederman - Bayswater - VIC - Alison"/>
    <x v="2"/>
    <s v="Wednesday"/>
  </r>
  <r>
    <d v="2024-02-14T00:00:00"/>
    <x v="51"/>
    <s v="P&amp;C Advisory - Group"/>
    <n v="0.08"/>
    <x v="63"/>
    <s v="Yes"/>
    <s v="Police Check Enquiry (William) - Accountant - Nederman - Alison"/>
    <x v="2"/>
    <s v="Wednesday"/>
  </r>
  <r>
    <d v="2024-02-14T00:00:00"/>
    <x v="51"/>
    <s v="P&amp;C Advisory - Nordfab"/>
    <n v="0.08"/>
    <x v="63"/>
    <s v="Yes"/>
    <s v="Cancellation Face-to-Face Interview (Gonzalo) - Factory Hand/Warehouse Assistant - NSW - Nordfab - Alison_x0009_"/>
    <x v="2"/>
    <s v="Wednesday"/>
  </r>
  <r>
    <d v="2024-02-14T00:00:00"/>
    <x v="51"/>
    <s v="P&amp;C Advisory - Nordfab"/>
    <n v="0.08"/>
    <x v="63"/>
    <s v="Yes"/>
    <s v="Drug &amp; Alcohol Testing e.g. 'Relevant' &amp; 'Hayden Health &amp; Safety' - Nordfab - Sefton - NSW - Alison"/>
    <x v="2"/>
    <s v="Wednesday"/>
  </r>
  <r>
    <d v="2024-02-14T00:00:00"/>
    <x v="51"/>
    <s v="P&amp;C Advisory - Nordfab"/>
    <n v="0.08"/>
    <x v="63"/>
    <s v="Yes"/>
    <s v="Start Trial Monday 19/02/2024 at 7.30am (Zelkjo) - Workshop Hand/Storeperson - VIC - Nordfab - Alison"/>
    <x v="2"/>
    <s v="Wednesday"/>
  </r>
  <r>
    <d v="2024-02-14T00:00:00"/>
    <x v="51"/>
    <s v="P&amp;C Advisory - Nordfab"/>
    <n v="0.17"/>
    <x v="63"/>
    <s v="Yes"/>
    <s v="Schedule &amp; Confirm Face-to-Face Interview (Jameel) - Factory Hand/Warehouse Assistant - NSW - Nordfab - Alison"/>
    <x v="2"/>
    <s v="Wednesday"/>
  </r>
  <r>
    <d v="2024-02-14T00:00:00"/>
    <x v="51"/>
    <s v="P&amp;C Advisory - Nordfab"/>
    <n v="0.33"/>
    <x v="63"/>
    <s v="Yes"/>
    <s v="Schedule &amp; Confirm Face-to-Face Interview (Gonzalo &amp; Apete) - Factory Hand/Warehouse Assistant - NSW - Nordfab - Alison"/>
    <x v="2"/>
    <s v="Wednesday"/>
  </r>
  <r>
    <d v="2024-02-14T00:00:00"/>
    <x v="51"/>
    <s v="P&amp;C Advisory - Nordfab"/>
    <n v="0.5"/>
    <x v="63"/>
    <s v="Yes"/>
    <s v="Reference Check (Kaveh) - Prajwal [PJ] - Technical Customer Service Coordinator - NSW - Nordfab - Alison"/>
    <x v="2"/>
    <s v="Wednesday"/>
  </r>
  <r>
    <d v="2024-02-14T00:00:00"/>
    <x v="51"/>
    <s v="P&amp;C Advisory - Nordfab"/>
    <n v="0.5"/>
    <x v="63"/>
    <s v="Yes"/>
    <s v="Review Linkedin/Email Applications - Sheet Metal Worker - NSW - Nordfab - Alison  Review Linkedin/Email Applications - Factory Hand/Warehouse Assistant - NSW - Nordfab - Alison"/>
    <x v="2"/>
    <s v="Wednesday"/>
  </r>
  <r>
    <d v="2024-02-14T00:00:00"/>
    <x v="51"/>
    <s v="P&amp;C Advisory - Nordfab"/>
    <n v="0.5"/>
    <x v="63"/>
    <s v="Yes"/>
    <s v="Review Seek Applications - Technical Customer Service Coordinator - NSW - Nordfab - Alison  Review Seek Applications - Skilled Tradesperson (Sheetmetal) - VIC - Nordfab - Alison"/>
    <x v="2"/>
    <s v="Wednesday"/>
  </r>
  <r>
    <d v="2024-02-14T00:00:00"/>
    <x v="26"/>
    <s v="Client Meeting"/>
    <n v="0.08"/>
    <x v="42"/>
    <s v="Yes"/>
    <s v="Attending to Efleda query"/>
    <x v="2"/>
    <s v="Wednesday"/>
  </r>
  <r>
    <d v="2024-02-14T00:00:00"/>
    <x v="26"/>
    <s v="Client Meeting"/>
    <n v="0.08"/>
    <x v="110"/>
    <s v="Yes"/>
    <s v="Attending to Efleda query"/>
    <x v="2"/>
    <s v="Wednesday"/>
  </r>
  <r>
    <d v="2024-02-14T00:00:00"/>
    <x v="26"/>
    <s v="Client Meeting"/>
    <n v="0.15"/>
    <x v="120"/>
    <s v="Yes"/>
    <s v="&gt;Asana updates, PAYGI.  &gt;No subfield for Monthly doc. So I put it here temporary"/>
    <x v="2"/>
    <s v="Wednesday"/>
  </r>
  <r>
    <d v="2024-02-14T00:00:00"/>
    <x v="26"/>
    <s v="Client Meeting"/>
    <n v="0.2"/>
    <x v="12"/>
    <s v="No"/>
    <s v="Attending Mel's queries ( BAS &amp; IAS )"/>
    <x v="2"/>
    <s v="Wednesday"/>
  </r>
  <r>
    <d v="2024-02-14T00:00:00"/>
    <x v="26"/>
    <s v="General"/>
    <n v="0.13"/>
    <x v="12"/>
    <s v="No"/>
    <s v="Email"/>
    <x v="2"/>
    <s v="Wednesday"/>
  </r>
  <r>
    <d v="2024-02-14T00:00:00"/>
    <x v="26"/>
    <s v="General"/>
    <n v="0.22"/>
    <x v="12"/>
    <s v="No"/>
    <s v="Response to Shalini, checking the ASANA for the said clients. and validating if possible to finish for tomorrow"/>
    <x v="2"/>
    <s v="Wednesday"/>
  </r>
  <r>
    <d v="2024-02-14T00:00:00"/>
    <x v="26"/>
    <s v="General"/>
    <n v="0.25"/>
    <x v="12"/>
    <s v="No"/>
    <s v="15 mins coffee breaks as paid per Labor Code of the Philippines, Article 85. ( Afternoon Break )  "/>
    <x v="2"/>
    <s v="Wednesday"/>
  </r>
  <r>
    <d v="2024-02-14T00:00:00"/>
    <x v="26"/>
    <s v="General"/>
    <n v="0.25"/>
    <x v="12"/>
    <s v="No"/>
    <s v="15 mins coffee breaks as paid per Labor Code of the Philippines, Article 85. ( Morning Break ) "/>
    <x v="2"/>
    <s v="Wednesday"/>
  </r>
  <r>
    <d v="2024-02-14T00:00:00"/>
    <x v="26"/>
    <s v="General"/>
    <n v="0.52"/>
    <x v="12"/>
    <s v="No"/>
    <s v="Morning emails, teams, Sprout, leave calendar, tax reminders"/>
    <x v="2"/>
    <s v="Wednesday"/>
  </r>
  <r>
    <d v="2024-02-14T00:00:00"/>
    <x v="26"/>
    <s v="IAS/BAS Preparation &amp; Lodgement - Dec"/>
    <n v="0.57999999999999996"/>
    <x v="110"/>
    <s v="Yes"/>
    <s v="Initial review BAS and suggesting solution"/>
    <x v="2"/>
    <s v="Wednesday"/>
  </r>
  <r>
    <d v="2024-02-14T00:00:00"/>
    <x v="26"/>
    <s v="IAS/BAS Preparation &amp; Lodgement - Jan"/>
    <n v="0.03"/>
    <x v="56"/>
    <s v="Yes"/>
    <s v="Email"/>
    <x v="2"/>
    <s v="Wednesday"/>
  </r>
  <r>
    <d v="2024-02-14T00:00:00"/>
    <x v="26"/>
    <s v="IAS/BAS Preparation &amp; Lodgement - Jan"/>
    <n v="0.1"/>
    <x v="16"/>
    <s v="No"/>
    <s v="Attending to queries"/>
    <x v="2"/>
    <s v="Wednesday"/>
  </r>
  <r>
    <d v="2024-02-14T00:00:00"/>
    <x v="26"/>
    <s v="IAS/BAS Preparation &amp; Lodgement - Jan"/>
    <n v="0.4"/>
    <x v="42"/>
    <s v="Yes"/>
    <s v="Updating ASANA, quickreview, &amp; email"/>
    <x v="2"/>
    <s v="Wednesday"/>
  </r>
  <r>
    <d v="2024-02-14T00:00:00"/>
    <x v="26"/>
    <s v="IAS/BAS Preparation &amp; Lodgement - Jan"/>
    <n v="1.37"/>
    <x v="42"/>
    <s v="Yes"/>
    <s v="BAS process, exportation, Email, Recon, digging variance and fixing XPM"/>
    <x v="2"/>
    <s v="Wednesday"/>
  </r>
  <r>
    <d v="2024-02-14T00:00:00"/>
    <x v="26"/>
    <s v="IAS/BAS Preparation &amp; Lodgement - Jan-Mar"/>
    <n v="0.15"/>
    <x v="67"/>
    <s v="Yes"/>
    <s v="Updates, Teams, email, ATO"/>
    <x v="2"/>
    <s v="Wednesday"/>
  </r>
  <r>
    <d v="2024-02-14T00:00:00"/>
    <x v="26"/>
    <s v="IAS/BAS Preparation &amp; Lodgement - Oct-Dec"/>
    <n v="0.57999999999999996"/>
    <x v="49"/>
    <s v="Yes"/>
    <s v="BAS cont,"/>
    <x v="2"/>
    <s v="Wednesday"/>
  </r>
  <r>
    <d v="2024-02-14T00:00:00"/>
    <x v="26"/>
    <s v="IAS/BAS Preparation &amp; Lodgement - Oct-Dec"/>
    <n v="0.57999999999999996"/>
    <x v="1"/>
    <s v="Yes"/>
    <s v="BAS"/>
    <x v="2"/>
    <s v="Wednesday"/>
  </r>
  <r>
    <d v="2024-02-14T00:00:00"/>
    <x v="26"/>
    <s v="IAS/BAS Preparation &amp; Lodgement - Oct-Dec"/>
    <n v="0.82"/>
    <x v="49"/>
    <s v="Yes"/>
    <s v="BAS"/>
    <x v="2"/>
    <s v="Wednesday"/>
  </r>
  <r>
    <d v="2024-02-14T00:00:00"/>
    <x v="26"/>
    <s v="IAS/BAS Preparation &amp; Lodgement - Oct-Dec"/>
    <n v="1.02"/>
    <x v="50"/>
    <s v="Yes"/>
    <s v="Redoing of work due to adjustment and diging of variances. Sent an email and suggested some solution"/>
    <x v="2"/>
    <s v="Wednesday"/>
  </r>
  <r>
    <d v="2024-02-14T00:00:00"/>
    <x v="26"/>
    <s v="IT"/>
    <n v="0.3"/>
    <x v="12"/>
    <s v="No"/>
    <s v="&gt;ASANA error and concern. &gt;Call with Mark Barte"/>
    <x v="2"/>
    <s v="Wednesday"/>
  </r>
  <r>
    <d v="2024-02-14T00:00:00"/>
    <x v="26"/>
    <s v="Philippines"/>
    <n v="0.1"/>
    <x v="12"/>
    <s v="No"/>
    <s v="2316 Form"/>
    <x v="2"/>
    <s v="Wednesday"/>
  </r>
  <r>
    <d v="2024-02-14T00:00:00"/>
    <x v="26"/>
    <s v="Philippines"/>
    <n v="0.1"/>
    <x v="12"/>
    <s v="No"/>
    <s v="Attending to Mel's queries"/>
    <x v="2"/>
    <s v="Wednesday"/>
  </r>
  <r>
    <d v="2024-02-14T00:00:00"/>
    <x v="27"/>
    <s v="P&amp;C Advisory"/>
    <n v="8"/>
    <x v="19"/>
    <s v="Yes"/>
    <s v="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
    <x v="2"/>
    <s v="Wednesday"/>
  </r>
  <r>
    <d v="2024-02-14T00:00:00"/>
    <x v="28"/>
    <s v="Automations"/>
    <n v="0.55000000000000004"/>
    <x v="12"/>
    <s v="No"/>
    <s v="Initial Discussion of SureFire Automation"/>
    <x v="2"/>
    <s v="Wednesday"/>
  </r>
  <r>
    <d v="2024-02-14T00:00:00"/>
    <x v="28"/>
    <s v="Bookkeeping"/>
    <n v="0.92"/>
    <x v="55"/>
    <s v="Yes"/>
    <s v="Assist in reviewing Payroll"/>
    <x v="2"/>
    <s v="Wednesday"/>
  </r>
  <r>
    <d v="2024-02-14T00:00:00"/>
    <x v="28"/>
    <s v="Bookkeeping"/>
    <n v="0.93"/>
    <x v="55"/>
    <s v="Yes"/>
    <s v="Payroll Review"/>
    <x v="2"/>
    <s v="Wednesday"/>
  </r>
  <r>
    <d v="2024-02-14T00:00:00"/>
    <x v="28"/>
    <s v="Bookkeeping"/>
    <n v="2.35"/>
    <x v="18"/>
    <s v="Yes"/>
    <m/>
    <x v="2"/>
    <s v="Wednesday"/>
  </r>
  <r>
    <d v="2024-02-14T00:00:00"/>
    <x v="28"/>
    <s v="Bookkeeping"/>
    <n v="2.92"/>
    <x v="16"/>
    <s v="Yes"/>
    <m/>
    <x v="2"/>
    <s v="Wednesday"/>
  </r>
  <r>
    <d v="2024-02-14T00:00:00"/>
    <x v="28"/>
    <s v="Payroll Processing"/>
    <n v="0.48"/>
    <x v="18"/>
    <s v="Yes"/>
    <m/>
    <x v="2"/>
    <s v="Wednesday"/>
  </r>
  <r>
    <d v="2024-02-14T00:00:00"/>
    <x v="30"/>
    <s v="Adhoc Support &amp; Advice"/>
    <n v="1"/>
    <x v="16"/>
    <s v="No"/>
    <s v="Recon"/>
    <x v="2"/>
    <s v="Wednesday"/>
  </r>
  <r>
    <d v="2024-02-14T00:00:00"/>
    <x v="30"/>
    <s v="Debt Collection"/>
    <n v="3"/>
    <x v="12"/>
    <s v="Yes"/>
    <m/>
    <x v="2"/>
    <s v="Wednesday"/>
  </r>
  <r>
    <d v="2024-02-14T00:00:00"/>
    <x v="30"/>
    <s v="Debt Collection"/>
    <n v="3.5"/>
    <x v="16"/>
    <s v="Yes"/>
    <m/>
    <x v="2"/>
    <s v="Wednesday"/>
  </r>
  <r>
    <d v="2024-02-14T00:00:00"/>
    <x v="30"/>
    <s v="General"/>
    <n v="0.5"/>
    <x v="12"/>
    <s v="No"/>
    <s v="Team activity"/>
    <x v="2"/>
    <s v="Wednesday"/>
  </r>
  <r>
    <d v="2024-02-14T00:00:00"/>
    <x v="31"/>
    <s v="Annual Leave"/>
    <n v="4"/>
    <x v="12"/>
    <s v="No"/>
    <m/>
    <x v="2"/>
    <s v="Wednesday"/>
  </r>
  <r>
    <d v="2024-02-14T00:00:00"/>
    <x v="31"/>
    <s v="Bookkeeping"/>
    <n v="0.55000000000000004"/>
    <x v="16"/>
    <s v="No"/>
    <s v="setup Dec BAS payment"/>
    <x v="2"/>
    <s v="Wednesday"/>
  </r>
  <r>
    <d v="2024-02-14T00:00:00"/>
    <x v="31"/>
    <s v="Client Meeting"/>
    <n v="0.22"/>
    <x v="16"/>
    <s v="Yes"/>
    <s v="email darley about ITR refund"/>
    <x v="2"/>
    <s v="Wednesday"/>
  </r>
  <r>
    <d v="2024-02-14T00:00:00"/>
    <x v="31"/>
    <s v="Client Meeting"/>
    <n v="0.22"/>
    <x v="12"/>
    <s v="No"/>
    <s v="emails"/>
    <x v="2"/>
    <s v="Wednesday"/>
  </r>
  <r>
    <d v="2024-02-14T00:00:00"/>
    <x v="31"/>
    <s v="Client Meeting"/>
    <n v="0.23"/>
    <x v="12"/>
    <s v="No"/>
    <s v="call with Miz"/>
    <x v="2"/>
    <s v="Wednesday"/>
  </r>
  <r>
    <d v="2024-02-14T00:00:00"/>
    <x v="31"/>
    <s v="Client Meeting"/>
    <n v="1.1200000000000001"/>
    <x v="16"/>
    <s v="Yes"/>
    <s v="call with Rejie"/>
    <x v="2"/>
    <s v="Wednesday"/>
  </r>
  <r>
    <d v="2024-02-14T00:00:00"/>
    <x v="31"/>
    <s v="IAS/BAS Preparation &amp; Lodgement - Jan"/>
    <n v="0.72"/>
    <x v="16"/>
    <s v="Yes"/>
    <s v="BAS file to be sent to James / GST rec"/>
    <x v="2"/>
    <s v="Wednesday"/>
  </r>
  <r>
    <d v="2024-02-14T00:00:00"/>
    <x v="31"/>
    <s v="Payroll Processing"/>
    <n v="0.7"/>
    <x v="12"/>
    <s v="No"/>
    <m/>
    <x v="2"/>
    <s v="Wednesday"/>
  </r>
  <r>
    <d v="2024-02-14T00:00:00"/>
    <x v="31"/>
    <s v="Payroll Processing"/>
    <n v="1.2"/>
    <x v="12"/>
    <s v="No"/>
    <s v="timesheet approval / testing the new online form"/>
    <x v="2"/>
    <s v="Wednesday"/>
  </r>
  <r>
    <d v="2024-02-14T00:00:00"/>
    <x v="32"/>
    <s v="Bookkeeping"/>
    <n v="1.52"/>
    <x v="51"/>
    <s v="Yes"/>
    <s v="Updating Clearing Account for domestic for the month of January  Paypal Afterpay Klarna Shopify "/>
    <x v="2"/>
    <s v="Wednesday"/>
  </r>
  <r>
    <d v="2024-02-14T00:00:00"/>
    <x v="32"/>
    <s v="Bookkeeping"/>
    <n v="1.57"/>
    <x v="51"/>
    <s v="Yes"/>
    <s v="Revised the clearing account for the month of January International -Afterpay -Shopify -Shopify installment -Klarna"/>
    <x v="2"/>
    <s v="Wednesday"/>
  </r>
  <r>
    <d v="2024-02-14T00:00:00"/>
    <x v="32"/>
    <s v="Bookkeeping"/>
    <n v="4.42"/>
    <x v="51"/>
    <s v="Yes"/>
    <s v="Email Management Bills raise to xero Find the Variance of Bank revaluation last month with Ms. Rose Bank Reconciliation BM Prepared payment summary report and sent for approval Bank Reconciliation LOC Inc "/>
    <x v="2"/>
    <s v="Wednesday"/>
  </r>
  <r>
    <d v="2024-02-14T00:00:00"/>
    <x v="32"/>
    <s v="General"/>
    <n v="0.5"/>
    <x v="12"/>
    <s v="No"/>
    <s v="Break"/>
    <x v="2"/>
    <s v="Wednesday"/>
  </r>
  <r>
    <d v="2024-02-14T00:00:00"/>
    <x v="33"/>
    <s v="IT"/>
    <n v="9"/>
    <x v="12"/>
    <s v="No"/>
    <s v="IT Support"/>
    <x v="2"/>
    <s v="Wednesday"/>
  </r>
  <r>
    <d v="2024-02-14T00:00:00"/>
    <x v="34"/>
    <s v="Bookkeeping"/>
    <n v="2.87"/>
    <x v="15"/>
    <s v="Yes"/>
    <m/>
    <x v="2"/>
    <s v="Wednesday"/>
  </r>
  <r>
    <d v="2024-02-14T00:00:00"/>
    <x v="34"/>
    <s v="Bookkeeping"/>
    <n v="3.73"/>
    <x v="15"/>
    <s v="Yes"/>
    <s v="Invoice Processing  Bank Recon  Preparation of Weekly Cash flow Email Management Bills Processing  Preparation of Project Recon "/>
    <x v="2"/>
    <s v="Wednesday"/>
  </r>
  <r>
    <d v="2024-02-14T00:00:00"/>
    <x v="34"/>
    <s v="General"/>
    <n v="0.72"/>
    <x v="12"/>
    <s v="No"/>
    <s v="email management"/>
    <x v="2"/>
    <s v="Wednesday"/>
  </r>
  <r>
    <d v="2024-02-14T00:00:00"/>
    <x v="34"/>
    <s v="Payroll Processing"/>
    <n v="0.87"/>
    <x v="6"/>
    <s v="Yes"/>
    <s v="Replying to Lynn's queries about payroll. "/>
    <x v="2"/>
    <s v="Wednesday"/>
  </r>
  <r>
    <d v="2024-02-14T00:00:00"/>
    <x v="35"/>
    <s v="Accounts"/>
    <n v="0.37"/>
    <x v="12"/>
    <s v="No"/>
    <s v="Checking of James' request re: client deposit and invoice checking for ACN"/>
    <x v="2"/>
    <s v="Wednesday"/>
  </r>
  <r>
    <d v="2024-02-14T00:00:00"/>
    <x v="35"/>
    <s v="Accounts"/>
    <n v="1.9"/>
    <x v="12"/>
    <s v="No"/>
    <s v="Clean up payables and other bank recs items. Catch up emails and respond to queries. "/>
    <x v="2"/>
    <s v="Wednesday"/>
  </r>
  <r>
    <d v="2024-02-14T00:00:00"/>
    <x v="35"/>
    <s v="Bookkeeping"/>
    <n v="0.52"/>
    <x v="12"/>
    <s v="No"/>
    <s v="Additional tasks/invoicing in Asana, fixing ATO payments on Xero."/>
    <x v="2"/>
    <s v="Wednesday"/>
  </r>
  <r>
    <d v="2024-02-14T00:00:00"/>
    <x v="35"/>
    <s v="Compliance"/>
    <n v="5.22"/>
    <x v="53"/>
    <s v="No"/>
    <s v="BIR 2316 file update and checking for all."/>
    <x v="2"/>
    <s v="Wednesday"/>
  </r>
  <r>
    <d v="2024-02-14T00:00:00"/>
    <x v="36"/>
    <s v="Web"/>
    <n v="10"/>
    <x v="12"/>
    <s v="No"/>
    <s v="🟥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
    <x v="2"/>
    <s v="Wednesday"/>
  </r>
  <r>
    <d v="2024-02-14T00:00:00"/>
    <x v="37"/>
    <s v="Bookkeeping"/>
    <n v="0.5"/>
    <x v="84"/>
    <s v="Yes"/>
    <s v="Preparing AP list "/>
    <x v="2"/>
    <s v="Wednesday"/>
  </r>
  <r>
    <d v="2024-02-14T00:00:00"/>
    <x v="37"/>
    <s v="Bookkeeping"/>
    <n v="0.5"/>
    <x v="84"/>
    <s v="Yes"/>
    <s v="Uploading payments"/>
    <x v="2"/>
    <s v="Wednesday"/>
  </r>
  <r>
    <d v="2024-02-14T00:00:00"/>
    <x v="37"/>
    <s v="Bookkeeping"/>
    <n v="0.5"/>
    <x v="83"/>
    <s v="Yes"/>
    <m/>
    <x v="2"/>
    <s v="Wednesday"/>
  </r>
  <r>
    <d v="2024-02-14T00:00:00"/>
    <x v="37"/>
    <s v="Bookkeeping"/>
    <n v="0.75"/>
    <x v="59"/>
    <s v="Yes"/>
    <m/>
    <x v="2"/>
    <s v="Wednesday"/>
  </r>
  <r>
    <d v="2024-02-14T00:00:00"/>
    <x v="37"/>
    <s v="Bookkeeping"/>
    <n v="1"/>
    <x v="19"/>
    <s v="Yes"/>
    <m/>
    <x v="2"/>
    <s v="Wednesday"/>
  </r>
  <r>
    <d v="2024-02-14T00:00:00"/>
    <x v="37"/>
    <s v="Bookkeeping"/>
    <n v="1"/>
    <x v="85"/>
    <s v="Yes"/>
    <m/>
    <x v="2"/>
    <s v="Wednesday"/>
  </r>
  <r>
    <d v="2024-02-14T00:00:00"/>
    <x v="37"/>
    <s v="Payroll Processing"/>
    <n v="0.25"/>
    <x v="86"/>
    <s v="Yes"/>
    <m/>
    <x v="2"/>
    <s v="Wednesday"/>
  </r>
  <r>
    <d v="2024-02-14T00:00:00"/>
    <x v="38"/>
    <s v="Bookkeeping"/>
    <n v="0.25"/>
    <x v="2"/>
    <s v="Yes"/>
    <s v="MtM on junior accountant fee"/>
    <x v="2"/>
    <s v="Wednesday"/>
  </r>
  <r>
    <d v="2024-02-14T00:00:00"/>
    <x v="38"/>
    <s v="Client Manager"/>
    <n v="7.0000000000000007E-2"/>
    <x v="46"/>
    <s v="Yes"/>
    <s v="emails"/>
    <x v="2"/>
    <s v="Wednesday"/>
  </r>
  <r>
    <d v="2024-02-14T00:00:00"/>
    <x v="38"/>
    <s v="Client Manager"/>
    <n v="0.08"/>
    <x v="113"/>
    <s v="Yes"/>
    <s v="follow up on new scope of work"/>
    <x v="2"/>
    <s v="Wednesday"/>
  </r>
  <r>
    <d v="2024-02-14T00:00:00"/>
    <x v="38"/>
    <s v="Client Manager"/>
    <n v="0.33"/>
    <x v="54"/>
    <s v="Yes"/>
    <s v="month end"/>
    <x v="2"/>
    <s v="Wednesday"/>
  </r>
  <r>
    <d v="2024-02-14T00:00:00"/>
    <x v="38"/>
    <s v="Client Manager"/>
    <n v="1.22"/>
    <x v="2"/>
    <s v="No"/>
    <s v="follow up on tasks pending"/>
    <x v="2"/>
    <s v="Wednesday"/>
  </r>
  <r>
    <d v="2024-02-14T00:00:00"/>
    <x v="38"/>
    <s v="Client Manager"/>
    <n v="1.93"/>
    <x v="2"/>
    <s v="Yes"/>
    <s v="month end"/>
    <x v="2"/>
    <s v="Wednesday"/>
  </r>
  <r>
    <d v="2024-02-14T00:00:00"/>
    <x v="38"/>
    <s v="Client Meeting"/>
    <n v="0.25"/>
    <x v="46"/>
    <s v="Yes"/>
    <s v="Meeting with Steven and Kate"/>
    <x v="2"/>
    <s v="Wednesday"/>
  </r>
  <r>
    <d v="2024-02-14T00:00:00"/>
    <x v="38"/>
    <s v="Client Meeting"/>
    <n v="1.02"/>
    <x v="54"/>
    <s v="Yes"/>
    <s v="Meeting with Scott on OKR"/>
    <x v="2"/>
    <s v="Wednesday"/>
  </r>
  <r>
    <d v="2024-02-14T00:00:00"/>
    <x v="38"/>
    <s v="General"/>
    <n v="0.85"/>
    <x v="12"/>
    <s v="No"/>
    <s v="emails, teams, Asana"/>
    <x v="2"/>
    <s v="Wednesday"/>
  </r>
  <r>
    <d v="2024-02-14T00:00:00"/>
    <x v="39"/>
    <s v="Bookkeeping"/>
    <n v="0.18"/>
    <x v="14"/>
    <s v="Yes"/>
    <s v="emails "/>
    <x v="2"/>
    <s v="Wednesday"/>
  </r>
  <r>
    <d v="2024-02-14T00:00:00"/>
    <x v="39"/>
    <s v="Bookkeeping"/>
    <n v="0.43"/>
    <x v="55"/>
    <s v="Yes"/>
    <s v="emails, AP"/>
    <x v="2"/>
    <s v="Wednesday"/>
  </r>
  <r>
    <d v="2024-02-14T00:00:00"/>
    <x v="39"/>
    <s v="Bookkeeping"/>
    <n v="0.57999999999999996"/>
    <x v="55"/>
    <s v="Yes"/>
    <s v="AP email awaiting approval bills"/>
    <x v="2"/>
    <s v="Wednesday"/>
  </r>
  <r>
    <d v="2024-02-14T00:00:00"/>
    <x v="39"/>
    <s v="Bookkeeping"/>
    <n v="0.83"/>
    <x v="55"/>
    <s v="Yes"/>
    <s v="Dec AP, MJ"/>
    <x v="2"/>
    <s v="Wednesday"/>
  </r>
  <r>
    <d v="2024-02-14T00:00:00"/>
    <x v="39"/>
    <s v="Bookkeeping"/>
    <n v="1"/>
    <x v="55"/>
    <s v="No"/>
    <s v="review accounts"/>
    <x v="2"/>
    <s v="Wednesday"/>
  </r>
  <r>
    <d v="2024-02-14T00:00:00"/>
    <x v="39"/>
    <s v="Bookkeeping"/>
    <n v="1.1499999999999999"/>
    <x v="55"/>
    <s v="Yes"/>
    <s v="marsil  BS recs query"/>
    <x v="2"/>
    <s v="Wednesday"/>
  </r>
  <r>
    <d v="2024-02-14T00:00:00"/>
    <x v="39"/>
    <s v="Bookkeeping"/>
    <n v="3.05"/>
    <x v="55"/>
    <s v="Yes"/>
    <s v="BS recs and AP"/>
    <x v="2"/>
    <s v="Wednesday"/>
  </r>
  <r>
    <d v="2024-02-14T00:00:00"/>
    <x v="39"/>
    <s v="General"/>
    <n v="0.38"/>
    <x v="12"/>
    <s v="No"/>
    <s v="Team Activity"/>
    <x v="2"/>
    <s v="Wednesday"/>
  </r>
  <r>
    <d v="2024-02-14T00:00:00"/>
    <x v="40"/>
    <s v="Annual Leave"/>
    <n v="8"/>
    <x v="12"/>
    <s v="No"/>
    <m/>
    <x v="2"/>
    <s v="Wednesday"/>
  </r>
  <r>
    <d v="2024-02-14T00:00:00"/>
    <x v="41"/>
    <s v="General"/>
    <n v="4.33"/>
    <x v="12"/>
    <s v="No"/>
    <s v="Xero certification continued"/>
    <x v="2"/>
    <s v="Wednesday"/>
  </r>
  <r>
    <d v="2024-02-14T00:00:00"/>
    <x v="41"/>
    <s v="General"/>
    <n v="4.9000000000000004"/>
    <x v="12"/>
    <s v="No"/>
    <s v="Dashboard study and building for CPR "/>
    <x v="2"/>
    <s v="Wednesday"/>
  </r>
  <r>
    <d v="2024-02-14T00:00:00"/>
    <x v="42"/>
    <s v="Bookkeeping"/>
    <n v="3.92"/>
    <x v="16"/>
    <s v="Yes"/>
    <m/>
    <x v="2"/>
    <s v="Wednesday"/>
  </r>
  <r>
    <d v="2024-02-14T00:00:00"/>
    <x v="42"/>
    <s v="Client Meeting"/>
    <n v="0.8"/>
    <x v="16"/>
    <s v="Yes"/>
    <s v="Meeting with Client and CFO (James and Craig)"/>
    <x v="2"/>
    <s v="Wednesday"/>
  </r>
  <r>
    <d v="2024-02-14T00:00:00"/>
    <x v="42"/>
    <s v="Payroll Processing"/>
    <n v="3.63"/>
    <x v="16"/>
    <s v="Yes"/>
    <s v="Monthly Payroll - ASI "/>
    <x v="2"/>
    <s v="Wednesday"/>
  </r>
  <r>
    <d v="2024-02-14T00:00:00"/>
    <x v="43"/>
    <s v="Bookkeeping"/>
    <n v="0.43"/>
    <x v="32"/>
    <s v="Yes"/>
    <s v="BS rec review"/>
    <x v="2"/>
    <s v="Wednesday"/>
  </r>
  <r>
    <d v="2024-02-14T00:00:00"/>
    <x v="43"/>
    <s v="Bookkeeping"/>
    <n v="0.45"/>
    <x v="51"/>
    <s v="Yes"/>
    <s v="Call with Maan to discuss her queries"/>
    <x v="2"/>
    <s v="Wednesday"/>
  </r>
  <r>
    <d v="2024-02-14T00:00:00"/>
    <x v="43"/>
    <s v="Bookkeeping"/>
    <n v="0.78"/>
    <x v="55"/>
    <s v="Yes"/>
    <s v="Review BS rec, messages with Cess for adjustments"/>
    <x v="2"/>
    <s v="Wednesday"/>
  </r>
  <r>
    <d v="2024-02-14T00:00:00"/>
    <x v="43"/>
    <s v="Bookkeeping"/>
    <n v="0.97"/>
    <x v="74"/>
    <s v="Yes"/>
    <s v="Enter backlogs of weekly spreadsheet, cash expenses, recon cash on hand acct"/>
    <x v="2"/>
    <s v="Wednesday"/>
  </r>
  <r>
    <d v="2024-02-14T00:00:00"/>
    <x v="43"/>
    <s v="General"/>
    <n v="0.5"/>
    <x v="12"/>
    <s v="No"/>
    <s v="Break"/>
    <x v="2"/>
    <s v="Wednesday"/>
  </r>
  <r>
    <d v="2024-02-14T00:00:00"/>
    <x v="43"/>
    <s v="General"/>
    <n v="0.55000000000000004"/>
    <x v="12"/>
    <s v="No"/>
    <s v="Emails, teams messages"/>
    <x v="2"/>
    <s v="Wednesday"/>
  </r>
  <r>
    <d v="2024-02-14T00:00:00"/>
    <x v="43"/>
    <s v="IAS/BAS Preparation &amp; Lodgement - Oct-Dec"/>
    <n v="0.32"/>
    <x v="89"/>
    <s v="Yes"/>
    <s v="Chatswood and Salmon # 2 - GST review and BAS checklist"/>
    <x v="2"/>
    <s v="Wednesday"/>
  </r>
  <r>
    <d v="2024-02-14T00:00:00"/>
    <x v="43"/>
    <s v="IAS/BAS Preparation &amp; Lodgement - Oct-Dec"/>
    <n v="0.5"/>
    <x v="89"/>
    <s v="Yes"/>
    <s v="Red Apple &amp; Kinala - GST review and BAS check list"/>
    <x v="2"/>
    <s v="Wednesday"/>
  </r>
  <r>
    <d v="2024-02-14T00:00:00"/>
    <x v="43"/>
    <s v="IAS/BAS Preparation &amp; Lodgement - Oct-Dec"/>
    <n v="1.95"/>
    <x v="96"/>
    <s v="Yes"/>
    <s v="Complete GST rec for Dec23 quarter, add PAYG figures and assign asana task to LM"/>
    <x v="2"/>
    <s v="Wednesday"/>
  </r>
  <r>
    <d v="2024-02-14T00:00:00"/>
    <x v="43"/>
    <s v="Meetings"/>
    <n v="0.15"/>
    <x v="12"/>
    <s v="No"/>
    <s v="Call with Ralph re Maan's 5th month, messages with Kate and Nica re cover for my tasks during my leave"/>
    <x v="2"/>
    <s v="Wednesday"/>
  </r>
  <r>
    <d v="2024-02-14T00:00:00"/>
    <x v="43"/>
    <s v="Payroll Processing"/>
    <n v="0.6"/>
    <x v="37"/>
    <s v="Yes"/>
    <s v="Finalise payroll and save reports"/>
    <x v="2"/>
    <s v="Wednesday"/>
  </r>
  <r>
    <d v="2024-02-14T00:00:00"/>
    <x v="43"/>
    <s v="Payroll Processing"/>
    <n v="0.8"/>
    <x v="16"/>
    <s v="Yes"/>
    <s v="Monthly payroll review, messages with Rejie re queries and confirmations"/>
    <x v="2"/>
    <s v="Wednesday"/>
  </r>
  <r>
    <d v="2024-02-14T00:00:00"/>
    <x v="45"/>
    <s v="Bookkeeping"/>
    <n v="0.1"/>
    <x v="57"/>
    <s v="Yes"/>
    <s v="Export super reports requested by Ish"/>
    <x v="2"/>
    <s v="Wednesday"/>
  </r>
  <r>
    <d v="2024-02-14T00:00:00"/>
    <x v="45"/>
    <s v="Bookkeeping"/>
    <n v="0.23"/>
    <x v="41"/>
    <s v="Yes"/>
    <s v="AP review"/>
    <x v="2"/>
    <s v="Wednesday"/>
  </r>
  <r>
    <d v="2024-02-14T00:00:00"/>
    <x v="45"/>
    <s v="Bookkeeping"/>
    <n v="0.57999999999999996"/>
    <x v="57"/>
    <s v="Yes"/>
    <s v="Cashflow review AP and bank rec review"/>
    <x v="2"/>
    <s v="Wednesday"/>
  </r>
  <r>
    <d v="2024-02-14T00:00:00"/>
    <x v="45"/>
    <s v="General"/>
    <n v="0.5"/>
    <x v="12"/>
    <s v="No"/>
    <s v="Paid break"/>
    <x v="2"/>
    <s v="Wednesday"/>
  </r>
  <r>
    <d v="2024-02-14T00:00:00"/>
    <x v="45"/>
    <s v="Learning &amp; Development"/>
    <n v="2.75"/>
    <x v="12"/>
    <s v="No"/>
    <s v="Wyzed and Fathom training"/>
    <x v="2"/>
    <s v="Wednesday"/>
  </r>
  <r>
    <d v="2024-02-14T00:00:00"/>
    <x v="45"/>
    <s v="Payroll Processing"/>
    <n v="0.1"/>
    <x v="70"/>
    <s v="Yes"/>
    <s v="Export timesheet Prepare report"/>
    <x v="2"/>
    <s v="Wednesday"/>
  </r>
  <r>
    <d v="2024-02-14T00:00:00"/>
    <x v="45"/>
    <s v="Payroll Processing"/>
    <n v="0.12"/>
    <x v="24"/>
    <s v="Yes"/>
    <s v="Process payroll"/>
    <x v="2"/>
    <s v="Wednesday"/>
  </r>
  <r>
    <d v="2024-02-14T00:00:00"/>
    <x v="45"/>
    <s v="Payroll Processing"/>
    <n v="0.13"/>
    <x v="24"/>
    <s v="Yes"/>
    <s v="Export ABA file and payroll reports Send email to client"/>
    <x v="2"/>
    <s v="Wednesday"/>
  </r>
  <r>
    <d v="2024-02-14T00:00:00"/>
    <x v="45"/>
    <s v="Payroll Processing"/>
    <n v="0.13"/>
    <x v="60"/>
    <s v="Yes"/>
    <s v="Process payroll"/>
    <x v="2"/>
    <s v="Wednesday"/>
  </r>
  <r>
    <d v="2024-02-14T00:00:00"/>
    <x v="45"/>
    <s v="Payroll Processing"/>
    <n v="0.18"/>
    <x v="21"/>
    <s v="Yes"/>
    <s v="Export ABA file and payroll reports Email client"/>
    <x v="2"/>
    <s v="Wednesday"/>
  </r>
  <r>
    <d v="2024-02-14T00:00:00"/>
    <x v="45"/>
    <s v="Payroll Processing"/>
    <n v="0.2"/>
    <x v="21"/>
    <s v="Yes"/>
    <s v="Apply leaves Process payroll"/>
    <x v="2"/>
    <s v="Wednesday"/>
  </r>
  <r>
    <d v="2024-02-14T00:00:00"/>
    <x v="45"/>
    <s v="Payroll Processing"/>
    <n v="0.2"/>
    <x v="22"/>
    <s v="Yes"/>
    <s v="Apply leave Set final pays Process payroll"/>
    <x v="2"/>
    <s v="Wednesday"/>
  </r>
  <r>
    <d v="2024-02-14T00:00:00"/>
    <x v="45"/>
    <s v="Payroll Processing"/>
    <n v="0.23"/>
    <x v="22"/>
    <s v="Yes"/>
    <s v="Export ABA file and payroll reports Email client"/>
    <x v="2"/>
    <s v="Wednesday"/>
  </r>
  <r>
    <d v="2024-02-14T00:00:00"/>
    <x v="45"/>
    <s v="Payroll Processing"/>
    <n v="0.25"/>
    <x v="70"/>
    <s v="Yes"/>
    <s v="Process payroll"/>
    <x v="2"/>
    <s v="Wednesday"/>
  </r>
  <r>
    <d v="2024-02-14T00:00:00"/>
    <x v="45"/>
    <s v="Payroll Processing"/>
    <n v="0.38"/>
    <x v="70"/>
    <s v="Yes"/>
    <s v="Review data in TL"/>
    <x v="2"/>
    <s v="Wednesday"/>
  </r>
  <r>
    <d v="2024-02-14T00:00:00"/>
    <x v="45"/>
    <s v="Payroll Processing"/>
    <n v="1.62"/>
    <x v="70"/>
    <s v="Yes"/>
    <s v="Enter data to TL"/>
    <x v="2"/>
    <s v="Wednesday"/>
  </r>
  <r>
    <d v="2024-02-14T00:00:00"/>
    <x v="45"/>
    <s v="Payroll Processing - Senior"/>
    <n v="0.32"/>
    <x v="41"/>
    <s v="Yes"/>
    <s v="Payroll review"/>
    <x v="2"/>
    <s v="Wednesday"/>
  </r>
  <r>
    <d v="2024-02-14T00:00:00"/>
    <x v="46"/>
    <s v="Client Manager"/>
    <n v="0.25"/>
    <x v="29"/>
    <s v="No"/>
    <s v="Liaise internally re task to enter budget in Xero. Need to line up a meeting"/>
    <x v="2"/>
    <s v="Wednesday"/>
  </r>
  <r>
    <d v="2024-02-14T00:00:00"/>
    <x v="46"/>
    <s v="Client Manager"/>
    <n v="0.5"/>
    <x v="114"/>
    <s v="No"/>
    <s v="Introduction email"/>
    <x v="2"/>
    <s v="Wednesday"/>
  </r>
  <r>
    <d v="2024-02-14T00:00:00"/>
    <x v="46"/>
    <s v="Client Manager"/>
    <n v="0.5"/>
    <x v="119"/>
    <s v="Yes"/>
    <s v="Attend to emails from Cel. Coordinate for Xero file setup etc"/>
    <x v="2"/>
    <s v="Wednesday"/>
  </r>
  <r>
    <d v="2024-02-14T00:00:00"/>
    <x v="46"/>
    <s v="Client Manager"/>
    <n v="0.5"/>
    <x v="57"/>
    <s v="Yes"/>
    <s v="Touch base with Sarah re cashflow and FBT. Respond to Anita's email re same. Coordination on MV and FBT etc"/>
    <x v="2"/>
    <s v="Wednesday"/>
  </r>
  <r>
    <d v="2024-02-14T00:00:00"/>
    <x v="46"/>
    <s v="Client Manager"/>
    <n v="0.5"/>
    <x v="28"/>
    <s v="Yes"/>
    <s v="Attend to email from John re disclosure, give Xero access to R&amp;D consultant, liaise with Jimwelle re salaries clearing, P&amp;L layout for EBITDA"/>
    <x v="2"/>
    <s v="Wednesday"/>
  </r>
  <r>
    <d v="2024-02-14T00:00:00"/>
    <x v="46"/>
    <s v="Client Manager"/>
    <n v="0.5"/>
    <x v="28"/>
    <s v="Yes"/>
    <s v="Fortnightly team meeting"/>
    <x v="2"/>
    <s v="Wednesday"/>
  </r>
  <r>
    <d v="2024-02-14T00:00:00"/>
    <x v="46"/>
    <s v="Client Manager"/>
    <n v="0.5"/>
    <x v="88"/>
    <s v="Yes"/>
    <s v="Review of accounts for Dec 2023 quarter"/>
    <x v="2"/>
    <s v="Wednesday"/>
  </r>
  <r>
    <d v="2024-02-14T00:00:00"/>
    <x v="46"/>
    <s v="Client Manager"/>
    <n v="1.5"/>
    <x v="59"/>
    <s v="Yes"/>
    <s v="Fathom report for Jan 2024, update non-financial metrics, analysis for Jan 2024. Send reports to Zoe. "/>
    <x v="2"/>
    <s v="Wednesday"/>
  </r>
  <r>
    <d v="2024-02-14T00:00:00"/>
    <x v="46"/>
    <s v="General"/>
    <n v="2.75"/>
    <x v="12"/>
    <s v="No"/>
    <s v="NDA for Chemika Pty Ltd. Quick session with Jordan on PandaDoc, onboarding, debtors, Bryan Philips, "/>
    <x v="2"/>
    <s v="Wednesday"/>
  </r>
  <r>
    <d v="2024-02-14T00:00:00"/>
    <x v="47"/>
    <s v="Bookkeeping"/>
    <n v="0.6"/>
    <x v="50"/>
    <s v="Yes"/>
    <s v="RIL - add to portal, run statements, email to Stephen, discuss Nick and Shalini"/>
    <x v="2"/>
    <s v="Wednesday"/>
  </r>
  <r>
    <d v="2024-02-14T00:00:00"/>
    <x v="47"/>
    <s v="Bookkeeping"/>
    <n v="0.9"/>
    <x v="50"/>
    <s v="Yes"/>
    <s v="AP Bloomberg, SDL query, accounts email"/>
    <x v="2"/>
    <s v="Wednesday"/>
  </r>
  <r>
    <d v="2024-02-14T00:00:00"/>
    <x v="47"/>
    <s v="Bookkeeping"/>
    <n v="1"/>
    <x v="4"/>
    <s v="Yes"/>
    <s v="Grant advance income - emails/review - Payroll emails, liaise with Aileen"/>
    <x v="2"/>
    <s v="Wednesday"/>
  </r>
  <r>
    <d v="2024-02-14T00:00:00"/>
    <x v="47"/>
    <s v="Bookkeeping"/>
    <n v="2.5"/>
    <x v="50"/>
    <s v="Yes"/>
    <s v="BLM"/>
    <x v="2"/>
    <s v="Wednesday"/>
  </r>
  <r>
    <d v="2024-02-14T00:00:00"/>
    <x v="47"/>
    <s v="Client Admin"/>
    <n v="0.3"/>
    <x v="12"/>
    <s v="No"/>
    <s v="Discuss Shipley change of CM and scope review"/>
    <x v="2"/>
    <s v="Wednesday"/>
  </r>
  <r>
    <d v="2024-02-14T00:00:00"/>
    <x v="47"/>
    <s v="Client Manager"/>
    <n v="0.5"/>
    <x v="64"/>
    <s v="Yes"/>
    <s v="Discuss fees for Xero set up- liaise Tim, Ann, Shalini"/>
    <x v="2"/>
    <s v="Wednesday"/>
  </r>
  <r>
    <d v="2024-02-14T00:00:00"/>
    <x v="47"/>
    <s v="Client Manager"/>
    <n v="0.8"/>
    <x v="50"/>
    <s v="Yes"/>
    <s v="Liaise with team, emails, liaise with Sam"/>
    <x v="2"/>
    <s v="Wednesday"/>
  </r>
  <r>
    <d v="2024-02-14T00:00:00"/>
    <x v="47"/>
    <s v="General"/>
    <n v="0.6"/>
    <x v="12"/>
    <s v="No"/>
    <s v="emails, teams, Asana, timesheet"/>
    <x v="2"/>
    <s v="Wednesday"/>
  </r>
  <r>
    <d v="2024-02-14T00:00:00"/>
    <x v="47"/>
    <s v="IAS/BAS Preparation &amp; Lodgement - Oct-Dec"/>
    <n v="0.4"/>
    <x v="50"/>
    <s v="Yes"/>
    <s v="LM queries BAM Dec BAS, check PAYG, Chat Shalini"/>
    <x v="2"/>
    <s v="Wednesday"/>
  </r>
  <r>
    <d v="2024-02-14T00:00:00"/>
    <x v="52"/>
    <s v="Automations"/>
    <n v="2"/>
    <x v="12"/>
    <s v="No"/>
    <s v="BAS Automation"/>
    <x v="2"/>
    <s v="Wednesday"/>
  </r>
  <r>
    <d v="2024-02-14T00:00:00"/>
    <x v="48"/>
    <s v="General"/>
    <n v="4"/>
    <x v="12"/>
    <s v="No"/>
    <s v="- finalize Sherly's Induction Plan - Recruitment - general admin"/>
    <x v="2"/>
    <s v="Wednesday"/>
  </r>
  <r>
    <d v="2024-02-14T00:00:00"/>
    <x v="48"/>
    <s v="General"/>
    <n v="4"/>
    <x v="12"/>
    <s v="No"/>
    <s v="- prepare for Sherly's first day (endorse to BDO, reception, coordinate final sched) - communicate promotion and Sherly's joining to the broader group - finalize EOM for Dec and January - respond to emails"/>
    <x v="2"/>
    <s v="Wednesday"/>
  </r>
  <r>
    <d v="2024-02-15T00:00:00"/>
    <x v="0"/>
    <s v="Bookkeeping"/>
    <n v="0.15"/>
    <x v="1"/>
    <s v="Yes"/>
    <s v="Email/Inbox Management"/>
    <x v="2"/>
    <s v="Thursday"/>
  </r>
  <r>
    <d v="2024-02-15T00:00:00"/>
    <x v="0"/>
    <s v="Bookkeeping"/>
    <n v="0.18"/>
    <x v="4"/>
    <s v="Yes"/>
    <s v="Check payments if Approved and Email/Inbox Management"/>
    <x v="2"/>
    <s v="Thursday"/>
  </r>
  <r>
    <d v="2024-02-15T00:00:00"/>
    <x v="0"/>
    <s v="Bookkeeping"/>
    <n v="0.18"/>
    <x v="1"/>
    <s v="Yes"/>
    <s v="Accounts Payable"/>
    <x v="2"/>
    <s v="Thursday"/>
  </r>
  <r>
    <d v="2024-02-15T00:00:00"/>
    <x v="0"/>
    <s v="Bookkeeping"/>
    <n v="0.18"/>
    <x v="3"/>
    <s v="Yes"/>
    <s v="Batch Payment"/>
    <x v="2"/>
    <s v="Thursday"/>
  </r>
  <r>
    <d v="2024-02-15T00:00:00"/>
    <x v="0"/>
    <s v="Bookkeeping"/>
    <n v="0.27"/>
    <x v="6"/>
    <s v="Yes"/>
    <s v="AP and Email/Inbox Management"/>
    <x v="2"/>
    <s v="Thursday"/>
  </r>
  <r>
    <d v="2024-02-15T00:00:00"/>
    <x v="0"/>
    <s v="Bookkeeping"/>
    <n v="0.35"/>
    <x v="4"/>
    <s v="Yes"/>
    <s v="Accounts Payable"/>
    <x v="2"/>
    <s v="Thursday"/>
  </r>
  <r>
    <d v="2024-02-15T00:00:00"/>
    <x v="0"/>
    <s v="Bookkeeping"/>
    <n v="0.37"/>
    <x v="7"/>
    <s v="Yes"/>
    <s v="Bank Reconciliation"/>
    <x v="2"/>
    <s v="Thursday"/>
  </r>
  <r>
    <d v="2024-02-15T00:00:00"/>
    <x v="0"/>
    <s v="Bookkeeping"/>
    <n v="0.38"/>
    <x v="9"/>
    <s v="Yes"/>
    <s v="Bank Reconciliation"/>
    <x v="2"/>
    <s v="Thursday"/>
  </r>
  <r>
    <d v="2024-02-15T00:00:00"/>
    <x v="0"/>
    <s v="Bookkeeping"/>
    <n v="0.47"/>
    <x v="2"/>
    <s v="No"/>
    <s v="Review ABN and GST Registration with Xavi"/>
    <x v="2"/>
    <s v="Thursday"/>
  </r>
  <r>
    <d v="2024-02-15T00:00:00"/>
    <x v="0"/>
    <s v="Bookkeeping"/>
    <n v="0.5"/>
    <x v="6"/>
    <s v="Yes"/>
    <s v="Accounts Payable"/>
    <x v="2"/>
    <s v="Thursday"/>
  </r>
  <r>
    <d v="2024-02-15T00:00:00"/>
    <x v="0"/>
    <s v="Bookkeeping"/>
    <n v="0.56999999999999995"/>
    <x v="62"/>
    <s v="Yes"/>
    <s v="Re-code transactions"/>
    <x v="2"/>
    <s v="Thursday"/>
  </r>
  <r>
    <d v="2024-02-15T00:00:00"/>
    <x v="0"/>
    <s v="Bookkeeping"/>
    <n v="1.1499999999999999"/>
    <x v="3"/>
    <s v="Yes"/>
    <s v="Process batch payment"/>
    <x v="2"/>
    <s v="Thursday"/>
  </r>
  <r>
    <d v="2024-02-15T00:00:00"/>
    <x v="0"/>
    <s v="General"/>
    <n v="0.25"/>
    <x v="12"/>
    <s v="No"/>
    <s v="Afternoon Break"/>
    <x v="2"/>
    <s v="Thursday"/>
  </r>
  <r>
    <d v="2024-02-15T00:00:00"/>
    <x v="0"/>
    <s v="General"/>
    <n v="0.25"/>
    <x v="12"/>
    <s v="No"/>
    <s v="Morning Break"/>
    <x v="2"/>
    <s v="Thursday"/>
  </r>
  <r>
    <d v="2024-02-15T00:00:00"/>
    <x v="0"/>
    <s v="Management Reporting"/>
    <n v="0.47"/>
    <x v="0"/>
    <s v="Yes"/>
    <s v="Director's Loan Summary"/>
    <x v="2"/>
    <s v="Thursday"/>
  </r>
  <r>
    <d v="2024-02-15T00:00:00"/>
    <x v="0"/>
    <s v="Management Reporting"/>
    <n v="1.87"/>
    <x v="4"/>
    <s v="Yes"/>
    <s v="Balance Sheet Reconciliation"/>
    <x v="2"/>
    <s v="Thursday"/>
  </r>
  <r>
    <d v="2024-02-15T00:00:00"/>
    <x v="0"/>
    <s v="Payroll Processing"/>
    <n v="0.42"/>
    <x v="4"/>
    <s v="Yes"/>
    <m/>
    <x v="2"/>
    <s v="Thursday"/>
  </r>
  <r>
    <d v="2024-02-15T00:00:00"/>
    <x v="49"/>
    <s v="P&amp;C Advisory - Group"/>
    <n v="2.75"/>
    <x v="63"/>
    <s v="Yes"/>
    <s v="Goal Setting workshop Discussion with Accounting Manager HR Issues log Follow up re. performance reviews "/>
    <x v="2"/>
    <s v="Thursday"/>
  </r>
  <r>
    <d v="2024-02-15T00:00:00"/>
    <x v="49"/>
    <s v="P&amp;C Advisory - Nederman Mikropul"/>
    <n v="1.42"/>
    <x v="63"/>
    <s v="Yes"/>
    <s v="Discussion with manager re. performance concerns/pending notice from staff member Call with MD Correspondence re. drug and alcohol testing Emails Draft acknowledgements of resignation"/>
    <x v="2"/>
    <s v="Thursday"/>
  </r>
  <r>
    <d v="2024-02-15T00:00:00"/>
    <x v="49"/>
    <s v="P&amp;C Advisory - Nordfab"/>
    <n v="1"/>
    <x v="63"/>
    <s v="Yes"/>
    <s v="Call with GM re. people issues Correspondence re. coordinating drug and alcohol testing  Follow up re. recruitment Coordinating re. email accounts Correspondence re. performance reviews"/>
    <x v="2"/>
    <s v="Thursday"/>
  </r>
  <r>
    <d v="2024-02-15T00:00:00"/>
    <x v="1"/>
    <s v="Bookkeeping"/>
    <n v="0.08"/>
    <x v="64"/>
    <s v="Yes"/>
    <s v="check GST in CPDF"/>
    <x v="2"/>
    <s v="Thursday"/>
  </r>
  <r>
    <d v="2024-02-15T00:00:00"/>
    <x v="1"/>
    <s v="Bookkeeping"/>
    <n v="0.82"/>
    <x v="64"/>
    <s v="Yes"/>
    <m/>
    <x v="2"/>
    <s v="Thursday"/>
  </r>
  <r>
    <d v="2024-02-15T00:00:00"/>
    <x v="1"/>
    <s v="General"/>
    <n v="7.0000000000000007E-2"/>
    <x v="12"/>
    <s v="No"/>
    <s v="chats, Sprout"/>
    <x v="2"/>
    <s v="Thursday"/>
  </r>
  <r>
    <d v="2024-02-15T00:00:00"/>
    <x v="1"/>
    <s v="General"/>
    <n v="0.25"/>
    <x v="12"/>
    <s v="No"/>
    <s v="chats, emails, capacity file"/>
    <x v="2"/>
    <s v="Thursday"/>
  </r>
  <r>
    <d v="2024-02-15T00:00:00"/>
    <x v="1"/>
    <s v="General"/>
    <n v="0.6"/>
    <x v="12"/>
    <s v="No"/>
    <s v="chats re concerns, capacity, emails"/>
    <x v="2"/>
    <s v="Thursday"/>
  </r>
  <r>
    <d v="2024-02-15T00:00:00"/>
    <x v="1"/>
    <s v="General"/>
    <n v="0.75"/>
    <x v="12"/>
    <s v="No"/>
    <s v="chats, emails, concerns, deferred rev template, capacity"/>
    <x v="2"/>
    <s v="Thursday"/>
  </r>
  <r>
    <d v="2024-02-15T00:00:00"/>
    <x v="1"/>
    <s v="Payroll Processing"/>
    <n v="2.33"/>
    <x v="15"/>
    <s v="Yes"/>
    <m/>
    <x v="2"/>
    <s v="Thursday"/>
  </r>
  <r>
    <d v="2024-02-15T00:00:00"/>
    <x v="1"/>
    <s v="Payroll Processing"/>
    <n v="3"/>
    <x v="14"/>
    <s v="Yes"/>
    <m/>
    <x v="2"/>
    <s v="Thursday"/>
  </r>
  <r>
    <d v="2024-02-15T00:00:00"/>
    <x v="1"/>
    <s v="Xero Migration"/>
    <n v="0.1"/>
    <x v="64"/>
    <s v="Yes"/>
    <s v="request new Xero file set up"/>
    <x v="2"/>
    <s v="Thursday"/>
  </r>
  <r>
    <d v="2024-02-15T00:00:00"/>
    <x v="2"/>
    <s v="General"/>
    <n v="7.5"/>
    <x v="12"/>
    <s v="No"/>
    <s v="Checking files for Final Handover - Pelan and Harmony"/>
    <x v="2"/>
    <s v="Thursday"/>
  </r>
  <r>
    <d v="2024-02-15T00:00:00"/>
    <x v="2"/>
    <s v="Meetings"/>
    <n v="0.5"/>
    <x v="12"/>
    <s v="No"/>
    <s v="Quick catch up - Last day with Ms Rose and TL RJ"/>
    <x v="2"/>
    <s v="Thursday"/>
  </r>
  <r>
    <d v="2024-02-15T00:00:00"/>
    <x v="3"/>
    <s v="Business Development"/>
    <n v="8"/>
    <x v="12"/>
    <s v="Yes"/>
    <s v="Multiple meetings to confirm details / points for manual  Orientation/ QMS Review with Shirly   Management Meeting   Continuation of remaining flows and manuals"/>
    <x v="2"/>
    <s v="Thursday"/>
  </r>
  <r>
    <d v="2024-02-15T00:00:00"/>
    <x v="4"/>
    <s v="Business Development"/>
    <n v="8"/>
    <x v="12"/>
    <s v="No"/>
    <m/>
    <x v="2"/>
    <s v="Thursday"/>
  </r>
  <r>
    <d v="2024-02-15T00:00:00"/>
    <x v="5"/>
    <s v="Bookkeeping"/>
    <n v="1.9"/>
    <x v="16"/>
    <s v="Yes"/>
    <s v="Email Management"/>
    <x v="2"/>
    <s v="Thursday"/>
  </r>
  <r>
    <d v="2024-02-15T00:00:00"/>
    <x v="5"/>
    <s v="Bookkeeping"/>
    <n v="2.42"/>
    <x v="16"/>
    <s v="Yes"/>
    <s v="Checking of Statements"/>
    <x v="2"/>
    <s v="Thursday"/>
  </r>
  <r>
    <d v="2024-02-15T00:00:00"/>
    <x v="5"/>
    <s v="Bookkeeping"/>
    <n v="3.23"/>
    <x v="16"/>
    <s v="Yes"/>
    <s v="Posting of Invoices"/>
    <x v="2"/>
    <s v="Thursday"/>
  </r>
  <r>
    <d v="2024-02-15T00:00:00"/>
    <x v="5"/>
    <s v="Meetings"/>
    <n v="1"/>
    <x v="12"/>
    <s v="No"/>
    <s v="AP Team Meeting"/>
    <x v="2"/>
    <s v="Thursday"/>
  </r>
  <r>
    <d v="2024-02-15T00:00:00"/>
    <x v="6"/>
    <s v="Annual Leave"/>
    <n v="8"/>
    <x v="12"/>
    <s v="No"/>
    <m/>
    <x v="2"/>
    <s v="Thursday"/>
  </r>
  <r>
    <d v="2024-02-15T00:00:00"/>
    <x v="7"/>
    <s v="Automations"/>
    <n v="11.88"/>
    <x v="12"/>
    <s v="No"/>
    <m/>
    <x v="2"/>
    <s v="Thursday"/>
  </r>
  <r>
    <d v="2024-02-15T00:00:00"/>
    <x v="8"/>
    <s v="Budget - Monthly"/>
    <n v="0.02"/>
    <x v="121"/>
    <s v="No"/>
    <m/>
    <x v="2"/>
    <s v="Thursday"/>
  </r>
  <r>
    <d v="2024-02-15T00:00:00"/>
    <x v="9"/>
    <s v="Automations"/>
    <n v="2.5"/>
    <x v="12"/>
    <s v="No"/>
    <s v="Run four Alliance automations + AP automation; Added 2 supplier to Alliance Automation Statements"/>
    <x v="2"/>
    <s v="Thursday"/>
  </r>
  <r>
    <d v="2024-02-15T00:00:00"/>
    <x v="10"/>
    <s v="Automations"/>
    <n v="9.1999999999999993"/>
    <x v="12"/>
    <s v="No"/>
    <s v="Alliance Report Automation Part 2 and 3 development"/>
    <x v="2"/>
    <s v="Thursday"/>
  </r>
  <r>
    <d v="2024-02-15T00:00:00"/>
    <x v="11"/>
    <s v="Bookkeeping"/>
    <n v="0.17"/>
    <x v="26"/>
    <s v="Yes"/>
    <s v="bank recon"/>
    <x v="2"/>
    <s v="Thursday"/>
  </r>
  <r>
    <d v="2024-02-15T00:00:00"/>
    <x v="11"/>
    <s v="Bookkeeping"/>
    <n v="0.17"/>
    <x v="22"/>
    <s v="Yes"/>
    <s v="bank recon, leave provision"/>
    <x v="2"/>
    <s v="Thursday"/>
  </r>
  <r>
    <d v="2024-02-15T00:00:00"/>
    <x v="11"/>
    <s v="Bookkeeping"/>
    <n v="0.25"/>
    <x v="23"/>
    <s v="Yes"/>
    <s v="bank recon"/>
    <x v="2"/>
    <s v="Thursday"/>
  </r>
  <r>
    <d v="2024-02-15T00:00:00"/>
    <x v="11"/>
    <s v="Bookkeeping"/>
    <n v="0.25"/>
    <x v="21"/>
    <s v="Yes"/>
    <s v="bank recon, leave provision"/>
    <x v="2"/>
    <s v="Thursday"/>
  </r>
  <r>
    <d v="2024-02-15T00:00:00"/>
    <x v="11"/>
    <s v="Bookkeeping"/>
    <n v="0.25"/>
    <x v="60"/>
    <s v="Yes"/>
    <s v="bank recon, leave provision"/>
    <x v="2"/>
    <s v="Thursday"/>
  </r>
  <r>
    <d v="2024-02-15T00:00:00"/>
    <x v="11"/>
    <s v="Bookkeeping"/>
    <n v="0.25"/>
    <x v="42"/>
    <s v="Yes"/>
    <s v="Checking inbox, loading bills"/>
    <x v="2"/>
    <s v="Thursday"/>
  </r>
  <r>
    <d v="2024-02-15T00:00:00"/>
    <x v="11"/>
    <s v="Bookkeeping"/>
    <n v="0.5"/>
    <x v="116"/>
    <s v="Yes"/>
    <s v="Loading bills, bank recon"/>
    <x v="2"/>
    <s v="Thursday"/>
  </r>
  <r>
    <d v="2024-02-15T00:00:00"/>
    <x v="11"/>
    <s v="Bookkeeping"/>
    <n v="0.83"/>
    <x v="24"/>
    <s v="Yes"/>
    <s v="bank recon, leave provision"/>
    <x v="2"/>
    <s v="Thursday"/>
  </r>
  <r>
    <d v="2024-02-15T00:00:00"/>
    <x v="11"/>
    <s v="Bookkeeping"/>
    <n v="3.75"/>
    <x v="25"/>
    <s v="Yes"/>
    <s v="Checking emails, loading bills, bank recon"/>
    <x v="2"/>
    <s v="Thursday"/>
  </r>
  <r>
    <d v="2024-02-15T00:00:00"/>
    <x v="11"/>
    <s v="General"/>
    <n v="0.5"/>
    <x v="12"/>
    <s v="No"/>
    <s v="break"/>
    <x v="2"/>
    <s v="Thursday"/>
  </r>
  <r>
    <d v="2024-02-15T00:00:00"/>
    <x v="11"/>
    <s v="Out-of-Scope Services"/>
    <n v="0.92"/>
    <x v="122"/>
    <s v="Yes"/>
    <s v="entering bills, adding journals, bank recon"/>
    <x v="2"/>
    <s v="Thursday"/>
  </r>
  <r>
    <d v="2024-02-15T00:00:00"/>
    <x v="11"/>
    <s v="Payroll Processing"/>
    <n v="0.17"/>
    <x v="25"/>
    <s v="Yes"/>
    <s v="weekly payroll"/>
    <x v="2"/>
    <s v="Thursday"/>
  </r>
  <r>
    <d v="2024-02-15T00:00:00"/>
    <x v="12"/>
    <s v="CFO001 - CFO Services"/>
    <n v="1.5"/>
    <x v="6"/>
    <s v="Yes"/>
    <s v="Review+fix+finalise TGS Respond to emails + issue instructions FBT discussion with Eli"/>
    <x v="2"/>
    <s v="Thursday"/>
  </r>
  <r>
    <d v="2024-02-15T00:00:00"/>
    <x v="13"/>
    <s v="Company Tax Returns"/>
    <n v="1.33"/>
    <x v="123"/>
    <s v="Yes"/>
    <s v="final check on the CTR and finalise 2023 CTR"/>
    <x v="2"/>
    <s v="Thursday"/>
  </r>
  <r>
    <d v="2024-02-15T00:00:00"/>
    <x v="13"/>
    <s v="Company Tax Returns"/>
    <n v="5"/>
    <x v="79"/>
    <s v="Yes"/>
    <s v="DIVIDEND STATEMENT; update and final check on accounts; finalize tax rec; finalise tax return in XPM; review journal entries before sending to Rebecca. "/>
    <x v="2"/>
    <s v="Thursday"/>
  </r>
  <r>
    <d v="2024-02-15T00:00:00"/>
    <x v="13"/>
    <s v="Individual Tax Returns"/>
    <n v="0.33"/>
    <x v="124"/>
    <s v="Yes"/>
    <s v="finalise 2023 tax return"/>
    <x v="2"/>
    <s v="Thursday"/>
  </r>
  <r>
    <d v="2024-02-15T00:00:00"/>
    <x v="13"/>
    <s v="Individual Tax Returns"/>
    <n v="0.33"/>
    <x v="125"/>
    <s v="Yes"/>
    <s v="finalise 2023 tax return"/>
    <x v="2"/>
    <s v="Thursday"/>
  </r>
  <r>
    <d v="2024-02-15T00:00:00"/>
    <x v="14"/>
    <s v="Bookkeeping"/>
    <n v="0.17"/>
    <x v="34"/>
    <s v="Yes"/>
    <s v="queries"/>
    <x v="2"/>
    <s v="Thursday"/>
  </r>
  <r>
    <d v="2024-02-15T00:00:00"/>
    <x v="14"/>
    <s v="Bookkeeping"/>
    <n v="0.25"/>
    <x v="119"/>
    <s v="Yes"/>
    <s v="Xero set-up"/>
    <x v="2"/>
    <s v="Thursday"/>
  </r>
  <r>
    <d v="2024-02-15T00:00:00"/>
    <x v="14"/>
    <s v="General"/>
    <n v="0.48"/>
    <x v="12"/>
    <s v="No"/>
    <s v="teams - multiple queries"/>
    <x v="2"/>
    <s v="Thursday"/>
  </r>
  <r>
    <d v="2024-02-15T00:00:00"/>
    <x v="14"/>
    <s v="General"/>
    <n v="0.56999999999999995"/>
    <x v="12"/>
    <s v="No"/>
    <s v="Tasman Agri GST and ABN review"/>
    <x v="2"/>
    <s v="Thursday"/>
  </r>
  <r>
    <d v="2024-02-15T00:00:00"/>
    <x v="14"/>
    <s v="General"/>
    <n v="0.57999999999999996"/>
    <x v="12"/>
    <s v="No"/>
    <s v="emails/teams"/>
    <x v="2"/>
    <s v="Thursday"/>
  </r>
  <r>
    <d v="2024-02-15T00:00:00"/>
    <x v="14"/>
    <s v="Payroll Processing"/>
    <n v="0.17"/>
    <x v="16"/>
    <s v="Yes"/>
    <s v="approval, STP, pay slips"/>
    <x v="2"/>
    <s v="Thursday"/>
  </r>
  <r>
    <d v="2024-02-15T00:00:00"/>
    <x v="14"/>
    <s v="Payroll Processing"/>
    <n v="0.25"/>
    <x v="16"/>
    <s v="Yes"/>
    <s v="approval"/>
    <x v="2"/>
    <s v="Thursday"/>
  </r>
  <r>
    <d v="2024-02-15T00:00:00"/>
    <x v="14"/>
    <s v="Payroll Processing"/>
    <n v="0.37"/>
    <x v="16"/>
    <s v="Yes"/>
    <s v="payment upload and approval"/>
    <x v="2"/>
    <s v="Thursday"/>
  </r>
  <r>
    <d v="2024-02-15T00:00:00"/>
    <x v="14"/>
    <s v="Payroll Processing"/>
    <n v="0.72"/>
    <x v="16"/>
    <s v="Yes"/>
    <s v="review/adjustment"/>
    <x v="2"/>
    <s v="Thursday"/>
  </r>
  <r>
    <d v="2024-02-15T00:00:00"/>
    <x v="14"/>
    <s v="Payroll Processing"/>
    <n v="0.88"/>
    <x v="16"/>
    <s v="Yes"/>
    <s v="review"/>
    <x v="2"/>
    <s v="Thursday"/>
  </r>
  <r>
    <d v="2024-02-15T00:00:00"/>
    <x v="14"/>
    <s v="Payroll Processing"/>
    <n v="3.57"/>
    <x v="16"/>
    <s v="Yes"/>
    <m/>
    <x v="2"/>
    <s v="Thursday"/>
  </r>
  <r>
    <d v="2024-02-15T00:00:00"/>
    <x v="15"/>
    <s v="Bookkeeping"/>
    <n v="1.28"/>
    <x v="16"/>
    <s v="Yes"/>
    <e v="#NAME?"/>
    <x v="2"/>
    <s v="Thursday"/>
  </r>
  <r>
    <d v="2024-02-15T00:00:00"/>
    <x v="15"/>
    <s v="General"/>
    <n v="3.33"/>
    <x v="12"/>
    <s v="No"/>
    <m/>
    <x v="2"/>
    <s v="Thursday"/>
  </r>
  <r>
    <d v="2024-02-15T00:00:00"/>
    <x v="15"/>
    <s v="General"/>
    <n v="5.23"/>
    <x v="12"/>
    <s v="No"/>
    <e v="#NAME?"/>
    <x v="2"/>
    <s v="Thursday"/>
  </r>
  <r>
    <d v="2024-02-15T00:00:00"/>
    <x v="16"/>
    <s v="Bookkeeping"/>
    <n v="0.27"/>
    <x v="73"/>
    <s v="No"/>
    <s v="call with Ms.Rose"/>
    <x v="2"/>
    <s v="Thursday"/>
  </r>
  <r>
    <d v="2024-02-15T00:00:00"/>
    <x v="16"/>
    <s v="Bookkeeping"/>
    <n v="0.47"/>
    <x v="29"/>
    <s v="No"/>
    <s v="checking of actual/forecast budget report (non billable)"/>
    <x v="2"/>
    <s v="Thursday"/>
  </r>
  <r>
    <d v="2024-02-15T00:00:00"/>
    <x v="16"/>
    <s v="Bookkeeping"/>
    <n v="0.47"/>
    <x v="31"/>
    <s v="No"/>
    <s v="bank recon Email"/>
    <x v="2"/>
    <s v="Thursday"/>
  </r>
  <r>
    <d v="2024-02-15T00:00:00"/>
    <x v="16"/>
    <s v="Bookkeeping"/>
    <n v="0.55000000000000004"/>
    <x v="32"/>
    <s v="Yes"/>
    <s v="creating bills for payment plan"/>
    <x v="2"/>
    <s v="Thursday"/>
  </r>
  <r>
    <d v="2024-02-15T00:00:00"/>
    <x v="16"/>
    <s v="Bookkeeping"/>
    <n v="0.77"/>
    <x v="32"/>
    <s v="Yes"/>
    <s v="bank recon emails"/>
    <x v="2"/>
    <s v="Thursday"/>
  </r>
  <r>
    <d v="2024-02-15T00:00:00"/>
    <x v="16"/>
    <s v="Bookkeeping"/>
    <n v="1.22"/>
    <x v="30"/>
    <s v="Yes"/>
    <s v="process ap invoices from inbox"/>
    <x v="2"/>
    <s v="Thursday"/>
  </r>
  <r>
    <d v="2024-02-15T00:00:00"/>
    <x v="16"/>
    <s v="Bookkeeping - AP"/>
    <n v="1.6"/>
    <x v="33"/>
    <s v="Yes"/>
    <s v="approved ap invoices"/>
    <x v="2"/>
    <s v="Thursday"/>
  </r>
  <r>
    <d v="2024-02-15T00:00:00"/>
    <x v="16"/>
    <s v="Bookkeeping - AP"/>
    <n v="2.17"/>
    <x v="33"/>
    <s v="Yes"/>
    <s v="approve ap invoices bank recon email regarding invoices"/>
    <x v="2"/>
    <s v="Thursday"/>
  </r>
  <r>
    <d v="2024-02-15T00:00:00"/>
    <x v="16"/>
    <s v="General"/>
    <n v="0.5"/>
    <x v="12"/>
    <s v="No"/>
    <s v="break"/>
    <x v="2"/>
    <s v="Thursday"/>
  </r>
  <r>
    <d v="2024-02-15T00:00:00"/>
    <x v="17"/>
    <s v="Annual Leave"/>
    <n v="8"/>
    <x v="12"/>
    <s v="No"/>
    <m/>
    <x v="2"/>
    <s v="Thursday"/>
  </r>
  <r>
    <d v="2024-02-15T00:00:00"/>
    <x v="18"/>
    <s v="Bookkeeping"/>
    <n v="1.2"/>
    <x v="22"/>
    <s v="Yes"/>
    <s v="import standard report codes and review"/>
    <x v="2"/>
    <s v="Thursday"/>
  </r>
  <r>
    <d v="2024-02-15T00:00:00"/>
    <x v="18"/>
    <s v="Bookkeeping"/>
    <n v="4.75"/>
    <x v="21"/>
    <s v="Yes"/>
    <s v="customised reports, review COA for all oporto stores, report codes to have report in xero hq"/>
    <x v="2"/>
    <s v="Thursday"/>
  </r>
  <r>
    <d v="2024-02-15T00:00:00"/>
    <x v="18"/>
    <s v="General"/>
    <n v="0.82"/>
    <x v="12"/>
    <s v="No"/>
    <s v="emails, chat with Kate- Oporto Chat with Ann   XPM Asana"/>
    <x v="2"/>
    <s v="Thursday"/>
  </r>
  <r>
    <d v="2024-02-15T00:00:00"/>
    <x v="18"/>
    <s v="General"/>
    <n v="0.88"/>
    <x v="12"/>
    <s v="No"/>
    <s v="call with Jim to do scope review -- shipley"/>
    <x v="2"/>
    <s v="Thursday"/>
  </r>
  <r>
    <d v="2024-02-15T00:00:00"/>
    <x v="18"/>
    <s v="Meetings"/>
    <n v="0.57999999999999996"/>
    <x v="12"/>
    <s v="No"/>
    <s v="chat with Kate - Oporto reports"/>
    <x v="2"/>
    <s v="Thursday"/>
  </r>
  <r>
    <d v="2024-02-15T00:00:00"/>
    <x v="19"/>
    <s v="Bookkeeping"/>
    <n v="7.18"/>
    <x v="36"/>
    <s v="Yes"/>
    <m/>
    <x v="2"/>
    <s v="Thursday"/>
  </r>
  <r>
    <d v="2024-02-15T00:00:00"/>
    <x v="19"/>
    <s v="Meetings"/>
    <n v="0.55000000000000004"/>
    <x v="12"/>
    <s v="No"/>
    <s v="Catch Up - Ralph"/>
    <x v="2"/>
    <s v="Thursday"/>
  </r>
  <r>
    <d v="2024-02-15T00:00:00"/>
    <x v="19"/>
    <s v="Payroll Processing"/>
    <n v="0.23"/>
    <x v="54"/>
    <s v="Yes"/>
    <s v="Payroll 15th"/>
    <x v="2"/>
    <s v="Thursday"/>
  </r>
  <r>
    <d v="2024-02-15T00:00:00"/>
    <x v="20"/>
    <s v="P&amp;C Advisory"/>
    <n v="0.67"/>
    <x v="38"/>
    <s v="Yes"/>
    <s v="Mtg with employee on extended leave - Sonam - &amp; provisions of written advice following mtg"/>
    <x v="2"/>
    <s v="Thursday"/>
  </r>
  <r>
    <d v="2024-02-15T00:00:00"/>
    <x v="20"/>
    <s v="P&amp;C Advisory"/>
    <n v="3.85"/>
    <x v="38"/>
    <s v="Yes"/>
    <s v="Reconciliation of visas/repayment plans &amp; updating of master tracker Inbox mgmt Mtg with COO, Head HR Progression of FEB24 change mgmt plan"/>
    <x v="2"/>
    <s v="Thursday"/>
  </r>
  <r>
    <d v="2024-02-15T00:00:00"/>
    <x v="20"/>
    <s v="P&amp;C Advisory"/>
    <n v="4.12"/>
    <x v="37"/>
    <s v="Yes"/>
    <s v="HR inbox &amp; calls HR daily mtg with HR Admin Shortlisting - Finance &amp; Estimating Phone calls with Recruiters End probation letter - Michael D "/>
    <x v="2"/>
    <s v="Thursday"/>
  </r>
  <r>
    <d v="2024-02-15T00:00:00"/>
    <x v="21"/>
    <s v="Bookkeeping"/>
    <n v="0.08"/>
    <x v="72"/>
    <s v="Yes"/>
    <s v="bank recon"/>
    <x v="2"/>
    <s v="Thursday"/>
  </r>
  <r>
    <d v="2024-02-15T00:00:00"/>
    <x v="21"/>
    <s v="Bookkeeping"/>
    <n v="0.23"/>
    <x v="40"/>
    <s v="Yes"/>
    <s v="Bank recon"/>
    <x v="2"/>
    <s v="Thursday"/>
  </r>
  <r>
    <d v="2024-02-15T00:00:00"/>
    <x v="21"/>
    <s v="Bookkeeping"/>
    <n v="0.35"/>
    <x v="40"/>
    <s v="Yes"/>
    <s v="Fintech - setup of custom P&amp;L report for new tasks asked by client (John Cousin) for their forecast"/>
    <x v="2"/>
    <s v="Thursday"/>
  </r>
  <r>
    <d v="2024-02-15T00:00:00"/>
    <x v="21"/>
    <s v="Bookkeeping"/>
    <n v="0.56999999999999995"/>
    <x v="57"/>
    <s v="Yes"/>
    <s v="bank recon, ap items, email query to client"/>
    <x v="2"/>
    <s v="Thursday"/>
  </r>
  <r>
    <d v="2024-02-15T00:00:00"/>
    <x v="21"/>
    <s v="Bookkeeping"/>
    <n v="0.67"/>
    <x v="72"/>
    <s v="Yes"/>
    <s v="bank recon. ap items"/>
    <x v="2"/>
    <s v="Thursday"/>
  </r>
  <r>
    <d v="2024-02-15T00:00:00"/>
    <x v="21"/>
    <s v="Bookkeeping"/>
    <n v="0.98"/>
    <x v="41"/>
    <s v="Yes"/>
    <m/>
    <x v="2"/>
    <s v="Thursday"/>
  </r>
  <r>
    <d v="2024-02-15T00:00:00"/>
    <x v="21"/>
    <s v="Bookkeeping"/>
    <n v="1"/>
    <x v="39"/>
    <s v="Yes"/>
    <s v="AP Items, bank recon, payroll"/>
    <x v="2"/>
    <s v="Thursday"/>
  </r>
  <r>
    <d v="2024-02-15T00:00:00"/>
    <x v="21"/>
    <s v="Bookkeeping"/>
    <n v="1.22"/>
    <x v="28"/>
    <s v="Yes"/>
    <s v="Dext Prep, AP Items"/>
    <x v="2"/>
    <s v="Thursday"/>
  </r>
  <r>
    <d v="2024-02-15T00:00:00"/>
    <x v="21"/>
    <s v="Bookkeeping"/>
    <n v="1.97"/>
    <x v="36"/>
    <s v="Yes"/>
    <s v="ap bills review"/>
    <x v="2"/>
    <s v="Thursday"/>
  </r>
  <r>
    <d v="2024-02-15T00:00:00"/>
    <x v="21"/>
    <s v="Meetings"/>
    <n v="0.42"/>
    <x v="12"/>
    <s v="No"/>
    <s v="Discuss client (Shipley) scope with Nica"/>
    <x v="2"/>
    <s v="Thursday"/>
  </r>
  <r>
    <d v="2024-02-15T00:00:00"/>
    <x v="21"/>
    <s v="Meetings"/>
    <n v="0.52"/>
    <x v="12"/>
    <s v="No"/>
    <s v="Monthly catch up with RJ"/>
    <x v="2"/>
    <s v="Thursday"/>
  </r>
  <r>
    <d v="2024-02-15T00:00:00"/>
    <x v="22"/>
    <s v="Automations"/>
    <n v="8"/>
    <x v="12"/>
    <s v="No"/>
    <s v="SureFire Services - Automation"/>
    <x v="2"/>
    <s v="Thursday"/>
  </r>
  <r>
    <d v="2024-02-15T00:00:00"/>
    <x v="23"/>
    <s v="Automations"/>
    <n v="8"/>
    <x v="12"/>
    <s v="No"/>
    <m/>
    <x v="2"/>
    <s v="Thursday"/>
  </r>
  <r>
    <d v="2024-02-15T00:00:00"/>
    <x v="24"/>
    <s v="Automations"/>
    <n v="8"/>
    <x v="12"/>
    <s v="No"/>
    <s v="Run: LOC Run: AR Ageing Report Dev: PrimeBuild Payroll Processing Report Automation"/>
    <x v="2"/>
    <s v="Thursday"/>
  </r>
  <r>
    <d v="2024-02-15T00:00:00"/>
    <x v="25"/>
    <s v="Bookkeeping"/>
    <n v="0.15"/>
    <x v="52"/>
    <s v="Yes"/>
    <s v="Review fie and bank rec  queries"/>
    <x v="2"/>
    <s v="Thursday"/>
  </r>
  <r>
    <d v="2024-02-15T00:00:00"/>
    <x v="25"/>
    <s v="Bookkeeping"/>
    <n v="0.17"/>
    <x v="52"/>
    <s v="Yes"/>
    <s v="Update card info and transfer balance"/>
    <x v="2"/>
    <s v="Thursday"/>
  </r>
  <r>
    <d v="2024-02-15T00:00:00"/>
    <x v="25"/>
    <s v="Bookkeeping"/>
    <n v="0.42"/>
    <x v="52"/>
    <s v="Yes"/>
    <s v="REview and send notes to Mary ann"/>
    <x v="2"/>
    <s v="Thursday"/>
  </r>
  <r>
    <d v="2024-02-15T00:00:00"/>
    <x v="25"/>
    <s v="Bookkeeping"/>
    <n v="0.67"/>
    <x v="52"/>
    <s v="Yes"/>
    <s v="Richbox review rec."/>
    <x v="2"/>
    <s v="Thursday"/>
  </r>
  <r>
    <d v="2024-02-15T00:00:00"/>
    <x v="25"/>
    <s v="Bookkeeping"/>
    <n v="2.5299999999999998"/>
    <x v="2"/>
    <s v="No"/>
    <s v="Non billable - assist Nicole.  2.5 hours teams call re MtM accounting"/>
    <x v="2"/>
    <s v="Thursday"/>
  </r>
  <r>
    <d v="2024-02-15T00:00:00"/>
    <x v="25"/>
    <s v="General"/>
    <n v="0.25"/>
    <x v="12"/>
    <s v="No"/>
    <s v="Call from Services Australia, email, teams"/>
    <x v="2"/>
    <s v="Thursday"/>
  </r>
  <r>
    <d v="2024-02-15T00:00:00"/>
    <x v="25"/>
    <s v="General"/>
    <n v="0.27"/>
    <x v="12"/>
    <s v="No"/>
    <s v="Teams and emails"/>
    <x v="2"/>
    <s v="Thursday"/>
  </r>
  <r>
    <d v="2024-02-15T00:00:00"/>
    <x v="25"/>
    <s v="General"/>
    <n v="0.33"/>
    <x v="12"/>
    <s v="No"/>
    <s v="Emails, Mark info re Angela McHugh, etc"/>
    <x v="2"/>
    <s v="Thursday"/>
  </r>
  <r>
    <d v="2024-02-15T00:00:00"/>
    <x v="25"/>
    <s v="General"/>
    <n v="0.37"/>
    <x v="12"/>
    <s v="No"/>
    <s v="Emails"/>
    <x v="2"/>
    <s v="Thursday"/>
  </r>
  <r>
    <d v="2024-02-15T00:00:00"/>
    <x v="25"/>
    <s v="General"/>
    <n v="0.47"/>
    <x v="12"/>
    <s v="No"/>
    <s v="Teams and emails.  Review Nica's work."/>
    <x v="2"/>
    <s v="Thursday"/>
  </r>
  <r>
    <d v="2024-02-15T00:00:00"/>
    <x v="25"/>
    <s v="General"/>
    <n v="1.17"/>
    <x v="12"/>
    <s v="No"/>
    <s v="Emails, farewell cards, Vigilant find contacts, Thinkbox suggestions, liaise with Jordan, review calendar settings, review new action planner Liaise with Carly re new client meeting"/>
    <x v="2"/>
    <s v="Thursday"/>
  </r>
  <r>
    <d v="2024-02-15T00:00:00"/>
    <x v="25"/>
    <s v="IAS/BAS Preparation &amp; Lodgement - Jan"/>
    <n v="0.1"/>
    <x v="110"/>
    <s v="Yes"/>
    <s v="REview BAS with shalini"/>
    <x v="2"/>
    <s v="Thursday"/>
  </r>
  <r>
    <d v="2024-02-15T00:00:00"/>
    <x v="25"/>
    <s v="Management Reporting"/>
    <n v="0.45"/>
    <x v="24"/>
    <s v="Yes"/>
    <s v="Review Oporto reporting requirements with Nica"/>
    <x v="2"/>
    <s v="Thursday"/>
  </r>
  <r>
    <d v="2024-02-15T00:00:00"/>
    <x v="25"/>
    <s v="Payroll Processing"/>
    <n v="0.13"/>
    <x v="22"/>
    <s v="Yes"/>
    <s v="Review super and temrination updates, add to Xero"/>
    <x v="2"/>
    <s v="Thursday"/>
  </r>
  <r>
    <d v="2024-02-15T00:00:00"/>
    <x v="51"/>
    <s v="P&amp;C Advisory - Group"/>
    <n v="0.08"/>
    <x v="63"/>
    <s v="Yes"/>
    <s v="Drug &amp; Alcohol Testing e.g. 'Relevant' &amp; 'Hayden Health &amp; Safety' - Nederman - Bayswater - VIC - Alison_x0009_"/>
    <x v="2"/>
    <s v="Thursday"/>
  </r>
  <r>
    <d v="2024-02-15T00:00:00"/>
    <x v="51"/>
    <s v="P&amp;C Advisory - Group"/>
    <n v="0.08"/>
    <x v="63"/>
    <s v="Yes"/>
    <s v="Police Check Completed (William) - Accountant - Nederman - Alison"/>
    <x v="2"/>
    <s v="Thursday"/>
  </r>
  <r>
    <d v="2024-02-15T00:00:00"/>
    <x v="51"/>
    <s v="P&amp;C Advisory - Nordfab"/>
    <n v="0.08"/>
    <x v="63"/>
    <s v="Yes"/>
    <s v="Drug &amp; Alcohol Testing e.g. 'Relevant' &amp; 'Hayden Health &amp; Safety' - Nordfab - Sefton - NSW - Alison"/>
    <x v="2"/>
    <s v="Thursday"/>
  </r>
  <r>
    <d v="2024-02-15T00:00:00"/>
    <x v="51"/>
    <s v="P&amp;C Advisory - Nordfab"/>
    <n v="0.08"/>
    <x v="63"/>
    <s v="Yes"/>
    <s v="Onboarding Enquiry (Zelkjo) - Workshop Hand/Storeperson - VIC - Nordfab - Alison"/>
    <x v="2"/>
    <s v="Thursday"/>
  </r>
  <r>
    <d v="2024-02-15T00:00:00"/>
    <x v="51"/>
    <s v="P&amp;C Advisory - Nordfab"/>
    <n v="0.17"/>
    <x v="63"/>
    <s v="Yes"/>
    <s v="Follow Up Face-to-Face Interview (Akhil) - Technical Customer Service Coordinator - NSW - Nordfab - Alison"/>
    <x v="2"/>
    <s v="Thursday"/>
  </r>
  <r>
    <d v="2024-02-15T00:00:00"/>
    <x v="51"/>
    <s v="P&amp;C Advisory - Nordfab"/>
    <n v="0.5"/>
    <x v="63"/>
    <s v="Yes"/>
    <s v="Review Seek Applications - Technical Customer Service Coordinator - NSW - Nordfab - Alison  Review Seek Applications - Factory Hand/Warehouse Assistant - NSW - Nordfab - Alison"/>
    <x v="2"/>
    <s v="Thursday"/>
  </r>
  <r>
    <d v="2024-02-15T00:00:00"/>
    <x v="26"/>
    <s v="Client Meeting"/>
    <n v="0.08"/>
    <x v="12"/>
    <s v="No"/>
    <s v="Teams Shalini and keeping her updated. "/>
    <x v="2"/>
    <s v="Thursday"/>
  </r>
  <r>
    <d v="2024-02-15T00:00:00"/>
    <x v="26"/>
    <s v="General"/>
    <n v="0.13"/>
    <x v="12"/>
    <s v="No"/>
    <s v="XPM"/>
    <x v="2"/>
    <s v="Thursday"/>
  </r>
  <r>
    <d v="2024-02-15T00:00:00"/>
    <x v="26"/>
    <s v="General"/>
    <n v="0.25"/>
    <x v="53"/>
    <s v="No"/>
    <s v="15 mins coffee breaks as paid per Labor Code of the Philippines, Article 85. ( Afternoon Break )  "/>
    <x v="2"/>
    <s v="Thursday"/>
  </r>
  <r>
    <d v="2024-02-15T00:00:00"/>
    <x v="26"/>
    <s v="General"/>
    <n v="0.25"/>
    <x v="12"/>
    <s v="No"/>
    <s v="15 mins coffee breaks as paid per Labor Code of the Philippines, Article 85. ( Morning Break ) "/>
    <x v="2"/>
    <s v="Thursday"/>
  </r>
  <r>
    <d v="2024-02-15T00:00:00"/>
    <x v="26"/>
    <s v="General"/>
    <n v="0.55000000000000004"/>
    <x v="12"/>
    <s v="No"/>
    <s v="Emails, TeamsChat. reading Asana comments and attending to queries"/>
    <x v="2"/>
    <s v="Thursday"/>
  </r>
  <r>
    <d v="2024-02-15T00:00:00"/>
    <x v="26"/>
    <s v="IAS/BAS Preparation &amp; Lodgement - Dec"/>
    <n v="0.18"/>
    <x v="64"/>
    <s v="Yes"/>
    <s v="&gt;Temporary enter time to this client. I already informed Mark to create a job number THE TRUSTEE FOR CAPSPACEPRIVATE DEBT FUND &gt;Email &gt;Creation of ASANA &gt;Checking of XPM"/>
    <x v="2"/>
    <s v="Thursday"/>
  </r>
  <r>
    <d v="2024-02-15T00:00:00"/>
    <x v="26"/>
    <s v="IAS/BAS Preparation &amp; Lodgement - Dec"/>
    <n v="0.18"/>
    <x v="110"/>
    <s v="Yes"/>
    <s v="Redo due to adjustment"/>
    <x v="2"/>
    <s v="Thursday"/>
  </r>
  <r>
    <d v="2024-02-15T00:00:00"/>
    <x v="26"/>
    <s v="IAS/BAS Preparation &amp; Lodgement - Dec"/>
    <n v="1.3"/>
    <x v="110"/>
    <s v="Yes"/>
    <s v="BAs cont &amp; Redo due to adjustment "/>
    <x v="2"/>
    <s v="Thursday"/>
  </r>
  <r>
    <d v="2024-02-15T00:00:00"/>
    <x v="26"/>
    <s v="IAS/BAS Preparation &amp; Lodgement - Jan"/>
    <n v="0.1"/>
    <x v="110"/>
    <s v="Yes"/>
    <s v="Redo due to adjusement."/>
    <x v="2"/>
    <s v="Thursday"/>
  </r>
  <r>
    <d v="2024-02-15T00:00:00"/>
    <x v="26"/>
    <s v="IAS/BAS Preparation &amp; Lodgement - Jan"/>
    <n v="0.12"/>
    <x v="42"/>
    <s v="No"/>
    <s v="Updating WPS and Xero file"/>
    <x v="2"/>
    <s v="Thursday"/>
  </r>
  <r>
    <d v="2024-02-15T00:00:00"/>
    <x v="26"/>
    <s v="IAS/BAS Preparation &amp; Lodgement - Jan"/>
    <n v="0.2"/>
    <x v="27"/>
    <s v="No"/>
    <s v="Attending to Query, Fixing link and checking folder. "/>
    <x v="2"/>
    <s v="Thursday"/>
  </r>
  <r>
    <d v="2024-02-15T00:00:00"/>
    <x v="26"/>
    <s v="IAS/BAS Preparation &amp; Lodgement - Jan"/>
    <n v="0.23"/>
    <x v="42"/>
    <s v="No"/>
    <s v="PAYGI. attending to query, message kate and update ASANA. Check the history"/>
    <x v="2"/>
    <s v="Thursday"/>
  </r>
  <r>
    <d v="2024-02-15T00:00:00"/>
    <x v="26"/>
    <s v="IAS/BAS Preparation &amp; Lodgement - Jan"/>
    <n v="0.42"/>
    <x v="56"/>
    <s v="No"/>
    <s v="Responding to shalini and checking the Non-purchase ( MJ and Purchase report )"/>
    <x v="2"/>
    <s v="Thursday"/>
  </r>
  <r>
    <d v="2024-02-15T00:00:00"/>
    <x v="26"/>
    <s v="IAS/BAS Preparation &amp; Lodgement - Jan"/>
    <n v="0.57999999999999996"/>
    <x v="27"/>
    <s v="Yes"/>
    <s v="PAYGI January"/>
    <x v="2"/>
    <s v="Thursday"/>
  </r>
  <r>
    <d v="2024-02-15T00:00:00"/>
    <x v="26"/>
    <s v="IAS/BAS Preparation &amp; Lodgement - Jan"/>
    <n v="0.98"/>
    <x v="56"/>
    <s v="Yes"/>
    <s v="BAS prep, WPS Template, XPM &amp; Asana updates, &amp; ATO. Checking of 8K variance"/>
    <x v="2"/>
    <s v="Thursday"/>
  </r>
  <r>
    <d v="2024-02-15T00:00:00"/>
    <x v="26"/>
    <s v="IAS/BAS Preparation &amp; Lodgement - Jan"/>
    <n v="1.37"/>
    <x v="110"/>
    <s v="Yes"/>
    <s v="BAS process, WPS creation, Onedrive issue, digging variance previous months, email CM and propose solution., Fixing Xero setting "/>
    <x v="2"/>
    <s v="Thursday"/>
  </r>
  <r>
    <d v="2024-02-15T00:00:00"/>
    <x v="26"/>
    <s v="IAS/BAS Preparation &amp; Lodgement - Oct-Dec"/>
    <n v="0.18"/>
    <x v="126"/>
    <s v="Yes"/>
    <s v="Sept &amp; Dec BAS nil, ASANA creation. XPM interface and updates. "/>
    <x v="2"/>
    <s v="Thursday"/>
  </r>
  <r>
    <d v="2024-02-15T00:00:00"/>
    <x v="26"/>
    <s v="IAS/BAS Preparation &amp; Lodgement - Oct-Dec"/>
    <n v="0.48"/>
    <x v="98"/>
    <s v="Yes"/>
    <s v="Dec BAS 2023"/>
    <x v="2"/>
    <s v="Thursday"/>
  </r>
  <r>
    <d v="2024-02-15T00:00:00"/>
    <x v="26"/>
    <s v="IAS/BAS Preparation &amp; Lodgement - Oct-Dec"/>
    <n v="0.48"/>
    <x v="1"/>
    <s v="Yes"/>
    <s v="BAS"/>
    <x v="2"/>
    <s v="Thursday"/>
  </r>
  <r>
    <d v="2024-02-15T00:00:00"/>
    <x v="26"/>
    <s v="Unpaid Leave"/>
    <n v="0.15"/>
    <x v="12"/>
    <s v="No"/>
    <s v="Work late, not paid"/>
    <x v="2"/>
    <s v="Thursday"/>
  </r>
  <r>
    <d v="2024-02-15T00:00:00"/>
    <x v="27"/>
    <s v="Meetings"/>
    <n v="0.5"/>
    <x v="12"/>
    <s v="No"/>
    <s v="Meeting with AH for HR update"/>
    <x v="2"/>
    <s v="Thursday"/>
  </r>
  <r>
    <d v="2024-02-15T00:00:00"/>
    <x v="27"/>
    <s v="P&amp;C Advisory"/>
    <n v="7.5"/>
    <x v="19"/>
    <s v="Yes"/>
    <s v="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
    <x v="2"/>
    <s v="Thursday"/>
  </r>
  <r>
    <d v="2024-02-15T00:00:00"/>
    <x v="28"/>
    <s v="Bookkeeping"/>
    <n v="0.27"/>
    <x v="17"/>
    <s v="Yes"/>
    <m/>
    <x v="2"/>
    <s v="Thursday"/>
  </r>
  <r>
    <d v="2024-02-15T00:00:00"/>
    <x v="28"/>
    <s v="Bookkeeping"/>
    <n v="3.2"/>
    <x v="16"/>
    <s v="Yes"/>
    <m/>
    <x v="2"/>
    <s v="Thursday"/>
  </r>
  <r>
    <d v="2024-02-15T00:00:00"/>
    <x v="28"/>
    <s v="Bookkeeping"/>
    <n v="3.3"/>
    <x v="16"/>
    <s v="Yes"/>
    <s v="Includes AP meeting"/>
    <x v="2"/>
    <s v="Thursday"/>
  </r>
  <r>
    <d v="2024-02-15T00:00:00"/>
    <x v="28"/>
    <s v="General"/>
    <n v="0.3"/>
    <x v="12"/>
    <s v="No"/>
    <s v="emails and Asana"/>
    <x v="2"/>
    <s v="Thursday"/>
  </r>
  <r>
    <d v="2024-02-15T00:00:00"/>
    <x v="28"/>
    <s v="IT"/>
    <n v="0.7"/>
    <x v="12"/>
    <s v="No"/>
    <s v="PI discussion with Jordan"/>
    <x v="2"/>
    <s v="Thursday"/>
  </r>
  <r>
    <d v="2024-02-15T00:00:00"/>
    <x v="28"/>
    <s v="Payroll Processing"/>
    <n v="0.43"/>
    <x v="18"/>
    <s v="Yes"/>
    <m/>
    <x v="2"/>
    <s v="Thursday"/>
  </r>
  <r>
    <d v="2024-02-15T00:00:00"/>
    <x v="30"/>
    <s v="Adhoc Support &amp; Advice"/>
    <n v="3.83"/>
    <x v="16"/>
    <s v="No"/>
    <s v="Recon"/>
    <x v="2"/>
    <s v="Thursday"/>
  </r>
  <r>
    <d v="2024-02-15T00:00:00"/>
    <x v="30"/>
    <s v="Debt Collection"/>
    <n v="0.67"/>
    <x v="12"/>
    <s v="Yes"/>
    <m/>
    <x v="2"/>
    <s v="Thursday"/>
  </r>
  <r>
    <d v="2024-02-15T00:00:00"/>
    <x v="30"/>
    <s v="Debt Collection"/>
    <n v="3.5"/>
    <x v="16"/>
    <s v="Yes"/>
    <m/>
    <x v="2"/>
    <s v="Thursday"/>
  </r>
  <r>
    <d v="2024-02-15T00:00:00"/>
    <x v="31"/>
    <s v="Client Meeting"/>
    <n v="0.38"/>
    <x v="12"/>
    <s v="No"/>
    <s v="emails"/>
    <x v="2"/>
    <s v="Thursday"/>
  </r>
  <r>
    <d v="2024-02-15T00:00:00"/>
    <x v="31"/>
    <s v="Client Meeting"/>
    <n v="2.0499999999999998"/>
    <x v="12"/>
    <s v="No"/>
    <s v="monthly reporting / meet Sherly"/>
    <x v="2"/>
    <s v="Thursday"/>
  </r>
  <r>
    <d v="2024-02-15T00:00:00"/>
    <x v="31"/>
    <s v="Client Meeting"/>
    <n v="2.27"/>
    <x v="16"/>
    <s v="No"/>
    <s v="call with James / call with AP team / Reporting "/>
    <x v="2"/>
    <s v="Thursday"/>
  </r>
  <r>
    <d v="2024-02-15T00:00:00"/>
    <x v="31"/>
    <s v="Management Reporting"/>
    <n v="2"/>
    <x v="16"/>
    <s v="Yes"/>
    <s v="Jan2024 Dashboard"/>
    <x v="2"/>
    <s v="Thursday"/>
  </r>
  <r>
    <d v="2024-02-15T00:00:00"/>
    <x v="31"/>
    <s v="Management Reporting"/>
    <n v="2.92"/>
    <x v="16"/>
    <s v="Yes"/>
    <s v="month-end / dashboard / adhoc analysis"/>
    <x v="2"/>
    <s v="Thursday"/>
  </r>
  <r>
    <d v="2024-02-15T00:00:00"/>
    <x v="32"/>
    <s v="Bookkeeping"/>
    <n v="1.08"/>
    <x v="51"/>
    <s v="Yes"/>
    <s v="Prepared Clearing Account for: -Shopify -Afterpay -Klarna"/>
    <x v="2"/>
    <s v="Thursday"/>
  </r>
  <r>
    <d v="2024-02-15T00:00:00"/>
    <x v="32"/>
    <s v="Bookkeeping"/>
    <n v="1.68"/>
    <x v="51"/>
    <s v="Yes"/>
    <s v="Bills raise to xero Responds to Emails Approving sales to a2x Prepared Clearing Account International for  -Afterpay -Klarna -Shopify"/>
    <x v="2"/>
    <s v="Thursday"/>
  </r>
  <r>
    <d v="2024-02-15T00:00:00"/>
    <x v="32"/>
    <s v="Bookkeeping"/>
    <n v="4.7300000000000004"/>
    <x v="51"/>
    <s v="Yes"/>
    <s v="updated Fixed Assets BS RECS Revision BM and LOC INC EMail Management  Bills raise to xero Process payment to Combizz Bank Reconciliation BM and LOC Inc"/>
    <x v="2"/>
    <s v="Thursday"/>
  </r>
  <r>
    <d v="2024-02-15T00:00:00"/>
    <x v="32"/>
    <s v="General"/>
    <n v="0.5"/>
    <x v="12"/>
    <s v="No"/>
    <m/>
    <x v="2"/>
    <s v="Thursday"/>
  </r>
  <r>
    <d v="2024-02-15T00:00:00"/>
    <x v="33"/>
    <s v="IT"/>
    <n v="9"/>
    <x v="12"/>
    <s v="No"/>
    <s v="IT Support"/>
    <x v="2"/>
    <s v="Thursday"/>
  </r>
  <r>
    <d v="2024-02-15T00:00:00"/>
    <x v="34"/>
    <s v="Bookkeeping"/>
    <n v="1.3"/>
    <x v="43"/>
    <s v="Yes"/>
    <s v="Email Management Process invoice to Hubdoc"/>
    <x v="2"/>
    <s v="Thursday"/>
  </r>
  <r>
    <d v="2024-02-15T00:00:00"/>
    <x v="34"/>
    <s v="Bookkeeping"/>
    <n v="1.82"/>
    <x v="15"/>
    <s v="Yes"/>
    <m/>
    <x v="2"/>
    <s v="Thursday"/>
  </r>
  <r>
    <d v="2024-02-15T00:00:00"/>
    <x v="34"/>
    <s v="Bookkeeping"/>
    <n v="3.8"/>
    <x v="15"/>
    <s v="Yes"/>
    <s v="Email Management Bills processing Invoice Processing Credit card and Bank Recon Supplers Batch Payment Preparation   Month-end Adjustment Finalizing of Project Recon "/>
    <x v="2"/>
    <s v="Thursday"/>
  </r>
  <r>
    <d v="2024-02-15T00:00:00"/>
    <x v="34"/>
    <s v="Payroll Processing"/>
    <n v="1.2"/>
    <x v="6"/>
    <s v="Yes"/>
    <s v="Journal Entry Adjustment Payroll Processing Preparation of Wage increase letter "/>
    <x v="2"/>
    <s v="Thursday"/>
  </r>
  <r>
    <d v="2024-02-15T00:00:00"/>
    <x v="35"/>
    <s v="Accounts"/>
    <n v="0.85"/>
    <x v="53"/>
    <s v="No"/>
    <s v="Process bills for PH Branch"/>
    <x v="2"/>
    <s v="Thursday"/>
  </r>
  <r>
    <d v="2024-02-15T00:00:00"/>
    <x v="35"/>
    <s v="Accounts"/>
    <n v="0.93"/>
    <x v="12"/>
    <s v="No"/>
    <s v="Checking/coordinating with Shalini re: Bryan Philips tax return. Preparation of TS as per Shalini's request."/>
    <x v="2"/>
    <s v="Thursday"/>
  </r>
  <r>
    <d v="2024-02-15T00:00:00"/>
    <x v="35"/>
    <s v="Accounts"/>
    <n v="1.07"/>
    <x v="12"/>
    <s v="No"/>
    <s v="Process bills/update bank recs. Catch up emails and respond. "/>
    <x v="2"/>
    <s v="Thursday"/>
  </r>
  <r>
    <d v="2024-02-15T00:00:00"/>
    <x v="35"/>
    <s v="Accounts"/>
    <n v="1.1299999999999999"/>
    <x v="12"/>
    <s v="No"/>
    <s v="Prepare additional invoices as per Shalini's instructions/Coordination regarding Paternity Leave with Z"/>
    <x v="2"/>
    <s v="Thursday"/>
  </r>
  <r>
    <d v="2024-02-15T00:00:00"/>
    <x v="35"/>
    <s v="Accounts"/>
    <n v="1.33"/>
    <x v="53"/>
    <s v="No"/>
    <s v="Update bank recs as of 15 Feb 2024"/>
    <x v="2"/>
    <s v="Thursday"/>
  </r>
  <r>
    <d v="2024-02-15T00:00:00"/>
    <x v="35"/>
    <s v="Bookkeeping"/>
    <n v="0.3"/>
    <x v="12"/>
    <s v="No"/>
    <s v="King River Xero subs billing/checking of Additional Expense charges for January 2024"/>
    <x v="2"/>
    <s v="Thursday"/>
  </r>
  <r>
    <d v="2024-02-15T00:00:00"/>
    <x v="35"/>
    <s v="Compliance"/>
    <n v="0.56999999999999995"/>
    <x v="53"/>
    <s v="No"/>
    <s v="Prepare 2307 for the suppliers"/>
    <x v="2"/>
    <s v="Thursday"/>
  </r>
  <r>
    <d v="2024-02-15T00:00:00"/>
    <x v="35"/>
    <s v="Compliance"/>
    <n v="0.8"/>
    <x v="53"/>
    <s v="No"/>
    <s v="1702Q for FY2024 working file"/>
    <x v="2"/>
    <s v="Thursday"/>
  </r>
  <r>
    <d v="2024-02-15T00:00:00"/>
    <x v="35"/>
    <s v="Compliance"/>
    <n v="1.1499999999999999"/>
    <x v="12"/>
    <s v="No"/>
    <s v="Compliance invoicing update and rechecking of invoices"/>
    <x v="2"/>
    <s v="Thursday"/>
  </r>
  <r>
    <d v="2024-02-15T00:00:00"/>
    <x v="36"/>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s v="Thursday"/>
  </r>
  <r>
    <d v="2024-02-15T00:00:00"/>
    <x v="37"/>
    <s v="Bookkeeping"/>
    <n v="0.25"/>
    <x v="83"/>
    <s v="Yes"/>
    <m/>
    <x v="2"/>
    <s v="Thursday"/>
  </r>
  <r>
    <d v="2024-02-15T00:00:00"/>
    <x v="37"/>
    <s v="Bookkeeping"/>
    <n v="0.25"/>
    <x v="19"/>
    <s v="Yes"/>
    <m/>
    <x v="2"/>
    <s v="Thursday"/>
  </r>
  <r>
    <d v="2024-02-15T00:00:00"/>
    <x v="37"/>
    <s v="Bookkeeping"/>
    <n v="0.5"/>
    <x v="59"/>
    <s v="Yes"/>
    <m/>
    <x v="2"/>
    <s v="Thursday"/>
  </r>
  <r>
    <d v="2024-02-15T00:00:00"/>
    <x v="37"/>
    <s v="Bookkeeping"/>
    <n v="0.5"/>
    <x v="85"/>
    <s v="Yes"/>
    <m/>
    <x v="2"/>
    <s v="Thursday"/>
  </r>
  <r>
    <d v="2024-02-15T00:00:00"/>
    <x v="37"/>
    <s v="Bookkeeping"/>
    <n v="1"/>
    <x v="84"/>
    <s v="Yes"/>
    <s v="Bank Reco and supplier bills"/>
    <x v="2"/>
    <s v="Thursday"/>
  </r>
  <r>
    <d v="2024-02-15T00:00:00"/>
    <x v="37"/>
    <s v="Learning &amp; Development"/>
    <n v="1"/>
    <x v="12"/>
    <s v="No"/>
    <s v="XERO certification product update and assessment"/>
    <x v="2"/>
    <s v="Thursday"/>
  </r>
  <r>
    <d v="2024-02-15T00:00:00"/>
    <x v="37"/>
    <s v="Management Reporting"/>
    <n v="0.5"/>
    <x v="59"/>
    <s v="Yes"/>
    <m/>
    <x v="2"/>
    <s v="Thursday"/>
  </r>
  <r>
    <d v="2024-02-15T00:00:00"/>
    <x v="37"/>
    <s v="Payroll Processing"/>
    <n v="0.5"/>
    <x v="84"/>
    <s v="Yes"/>
    <s v="Chloe revised salary"/>
    <x v="2"/>
    <s v="Thursday"/>
  </r>
  <r>
    <d v="2024-02-15T00:00:00"/>
    <x v="37"/>
    <s v="Payroll Processing"/>
    <n v="0.5"/>
    <x v="59"/>
    <s v="Yes"/>
    <m/>
    <x v="2"/>
    <s v="Thursday"/>
  </r>
  <r>
    <d v="2024-02-15T00:00:00"/>
    <x v="38"/>
    <s v="Client Manager"/>
    <n v="0.15"/>
    <x v="50"/>
    <s v="No"/>
    <s v="Fathom report"/>
    <x v="2"/>
    <s v="Thursday"/>
  </r>
  <r>
    <d v="2024-02-15T00:00:00"/>
    <x v="38"/>
    <s v="Client Manager"/>
    <n v="0.65"/>
    <x v="2"/>
    <s v="Yes"/>
    <s v="MtM"/>
    <x v="2"/>
    <s v="Thursday"/>
  </r>
  <r>
    <d v="2024-02-15T00:00:00"/>
    <x v="38"/>
    <s v="Client Manager"/>
    <n v="1.57"/>
    <x v="2"/>
    <s v="No"/>
    <s v="BAS checklist review"/>
    <x v="2"/>
    <s v="Thursday"/>
  </r>
  <r>
    <d v="2024-02-15T00:00:00"/>
    <x v="38"/>
    <s v="Client Manager"/>
    <n v="2.5"/>
    <x v="2"/>
    <s v="No"/>
    <s v="Meeting with Kate on MtM"/>
    <x v="2"/>
    <s v="Thursday"/>
  </r>
  <r>
    <d v="2024-02-15T00:00:00"/>
    <x v="38"/>
    <s v="General"/>
    <n v="1.1299999999999999"/>
    <x v="12"/>
    <s v="No"/>
    <s v="emails, teams, Asana"/>
    <x v="2"/>
    <s v="Thursday"/>
  </r>
  <r>
    <d v="2024-02-15T00:00:00"/>
    <x v="39"/>
    <s v="Bookkeeping"/>
    <n v="0.12"/>
    <x v="34"/>
    <s v="Yes"/>
    <s v="AAA"/>
    <x v="2"/>
    <s v="Thursday"/>
  </r>
  <r>
    <d v="2024-02-15T00:00:00"/>
    <x v="39"/>
    <s v="Bookkeeping"/>
    <n v="0.2"/>
    <x v="55"/>
    <s v="Yes"/>
    <m/>
    <x v="2"/>
    <s v="Thursday"/>
  </r>
  <r>
    <d v="2024-02-15T00:00:00"/>
    <x v="39"/>
    <s v="Bookkeeping"/>
    <n v="0.25"/>
    <x v="34"/>
    <s v="Yes"/>
    <s v="ATBA - AP - box"/>
    <x v="2"/>
    <s v="Thursday"/>
  </r>
  <r>
    <d v="2024-02-15T00:00:00"/>
    <x v="39"/>
    <s v="Bookkeeping"/>
    <n v="0.4"/>
    <x v="34"/>
    <s v="Yes"/>
    <s v="accounts emails"/>
    <x v="2"/>
    <s v="Thursday"/>
  </r>
  <r>
    <d v="2024-02-15T00:00:00"/>
    <x v="39"/>
    <s v="Bookkeeping"/>
    <n v="0.45"/>
    <x v="55"/>
    <s v="Yes"/>
    <s v="files"/>
    <x v="2"/>
    <s v="Thursday"/>
  </r>
  <r>
    <d v="2024-02-15T00:00:00"/>
    <x v="39"/>
    <s v="Bookkeeping"/>
    <n v="0.5"/>
    <x v="14"/>
    <s v="Yes"/>
    <s v="BR"/>
    <x v="2"/>
    <s v="Thursday"/>
  </r>
  <r>
    <d v="2024-02-15T00:00:00"/>
    <x v="39"/>
    <s v="Bookkeeping"/>
    <n v="0.55000000000000004"/>
    <x v="14"/>
    <s v="Yes"/>
    <s v="AP - bill query"/>
    <x v="2"/>
    <s v="Thursday"/>
  </r>
  <r>
    <d v="2024-02-15T00:00:00"/>
    <x v="39"/>
    <s v="Bookkeeping"/>
    <n v="0.73"/>
    <x v="34"/>
    <s v="Yes"/>
    <m/>
    <x v="2"/>
    <s v="Thursday"/>
  </r>
  <r>
    <d v="2024-02-15T00:00:00"/>
    <x v="39"/>
    <s v="Bookkeeping"/>
    <n v="0.85"/>
    <x v="55"/>
    <s v="Yes"/>
    <s v="Supplier Recs"/>
    <x v="2"/>
    <s v="Thursday"/>
  </r>
  <r>
    <d v="2024-02-15T00:00:00"/>
    <x v="39"/>
    <s v="Bookkeeping"/>
    <n v="1.1499999999999999"/>
    <x v="34"/>
    <s v="Yes"/>
    <s v="Box"/>
    <x v="2"/>
    <s v="Thursday"/>
  </r>
  <r>
    <d v="2024-02-15T00:00:00"/>
    <x v="39"/>
    <s v="Bookkeeping"/>
    <n v="1.17"/>
    <x v="55"/>
    <s v="Yes"/>
    <s v="BR"/>
    <x v="2"/>
    <s v="Thursday"/>
  </r>
  <r>
    <d v="2024-02-15T00:00:00"/>
    <x v="39"/>
    <s v="General"/>
    <n v="0.22"/>
    <x v="12"/>
    <s v="No"/>
    <s v="asana"/>
    <x v="2"/>
    <s v="Thursday"/>
  </r>
  <r>
    <d v="2024-02-15T00:00:00"/>
    <x v="39"/>
    <s v="General"/>
    <n v="0.65"/>
    <x v="12"/>
    <s v="No"/>
    <s v="dext review shadow for afluens"/>
    <x v="2"/>
    <s v="Thursday"/>
  </r>
  <r>
    <d v="2024-02-15T00:00:00"/>
    <x v="39"/>
    <s v="Payroll Processing"/>
    <n v="0.08"/>
    <x v="33"/>
    <s v="Yes"/>
    <s v="update employee and send payslip"/>
    <x v="2"/>
    <s v="Thursday"/>
  </r>
  <r>
    <d v="2024-02-15T00:00:00"/>
    <x v="40"/>
    <s v="Bookkeeping"/>
    <n v="0.67"/>
    <x v="36"/>
    <s v="Yes"/>
    <s v="Reviewed AP"/>
    <x v="2"/>
    <s v="Thursday"/>
  </r>
  <r>
    <d v="2024-02-15T00:00:00"/>
    <x v="40"/>
    <s v="Bookkeeping"/>
    <n v="0.77"/>
    <x v="36"/>
    <s v="Yes"/>
    <s v="clients email"/>
    <x v="2"/>
    <s v="Thursday"/>
  </r>
  <r>
    <d v="2024-02-15T00:00:00"/>
    <x v="40"/>
    <s v="Bookkeeping"/>
    <n v="0.78"/>
    <x v="36"/>
    <s v="Yes"/>
    <m/>
    <x v="2"/>
    <s v="Thursday"/>
  </r>
  <r>
    <d v="2024-02-15T00:00:00"/>
    <x v="40"/>
    <s v="Bookkeeping"/>
    <n v="1"/>
    <x v="36"/>
    <s v="Yes"/>
    <s v="AP"/>
    <x v="2"/>
    <s v="Thursday"/>
  </r>
  <r>
    <d v="2024-02-15T00:00:00"/>
    <x v="40"/>
    <s v="Bookkeeping"/>
    <n v="1.22"/>
    <x v="50"/>
    <s v="Yes"/>
    <s v="Update pross workflow  ASANA task lists"/>
    <x v="2"/>
    <s v="Thursday"/>
  </r>
  <r>
    <d v="2024-02-15T00:00:00"/>
    <x v="40"/>
    <s v="Bookkeeping"/>
    <n v="1.43"/>
    <x v="50"/>
    <s v="Yes"/>
    <m/>
    <x v="2"/>
    <s v="Thursday"/>
  </r>
  <r>
    <d v="2024-02-15T00:00:00"/>
    <x v="40"/>
    <s v="Bookkeeping"/>
    <n v="1.9"/>
    <x v="50"/>
    <s v="Yes"/>
    <s v="  "/>
    <x v="2"/>
    <s v="Thursday"/>
  </r>
  <r>
    <d v="2024-02-15T00:00:00"/>
    <x v="40"/>
    <s v="General"/>
    <n v="0.25"/>
    <x v="12"/>
    <s v="No"/>
    <s v="Dex emails"/>
    <x v="2"/>
    <s v="Thursday"/>
  </r>
  <r>
    <d v="2024-02-15T00:00:00"/>
    <x v="40"/>
    <s v="Payroll Processing"/>
    <n v="0.47"/>
    <x v="36"/>
    <s v="Yes"/>
    <s v="CHecked and updated Angie's super "/>
    <x v="2"/>
    <s v="Thursday"/>
  </r>
  <r>
    <d v="2024-02-15T00:00:00"/>
    <x v="41"/>
    <s v="General"/>
    <n v="0.45"/>
    <x v="12"/>
    <s v="No"/>
    <s v="Clearance - April. Discussion and coordination"/>
    <x v="2"/>
    <s v="Thursday"/>
  </r>
  <r>
    <d v="2024-02-15T00:00:00"/>
    <x v="41"/>
    <s v="General"/>
    <n v="1.52"/>
    <x v="12"/>
    <s v="No"/>
    <s v="Prod tool study check CPR dashboard Xero cert Staff admin - queries and issues"/>
    <x v="2"/>
    <s v="Thursday"/>
  </r>
  <r>
    <d v="2024-02-15T00:00:00"/>
    <x v="41"/>
    <s v="General"/>
    <n v="2.48"/>
    <x v="12"/>
    <s v="No"/>
    <s v="Wyzed Continue dashboard building Staff admin - queries, emails Attend to con's metric request Sprout approvals"/>
    <x v="2"/>
    <s v="Thursday"/>
  </r>
  <r>
    <d v="2024-02-15T00:00:00"/>
    <x v="41"/>
    <s v="General"/>
    <n v="3.25"/>
    <x v="12"/>
    <s v="No"/>
    <s v="Xero cert WIP dashboard study building"/>
    <x v="2"/>
    <s v="Thursday"/>
  </r>
  <r>
    <d v="2024-02-15T00:00:00"/>
    <x v="41"/>
    <s v="Meetings"/>
    <n v="0.2"/>
    <x v="12"/>
    <s v="No"/>
    <s v="Last day run through - April"/>
    <x v="2"/>
    <s v="Thursday"/>
  </r>
  <r>
    <d v="2024-02-15T00:00:00"/>
    <x v="41"/>
    <s v="Meetings"/>
    <n v="0.32"/>
    <x v="12"/>
    <s v="No"/>
    <s v="Call with jordan and mark BIT Call with Carly Call with Linds"/>
    <x v="2"/>
    <s v="Thursday"/>
  </r>
  <r>
    <d v="2024-02-15T00:00:00"/>
    <x v="41"/>
    <s v="Meetings"/>
    <n v="0.4"/>
    <x v="12"/>
    <s v="No"/>
    <s v="1:1 Jim"/>
    <x v="2"/>
    <s v="Thursday"/>
  </r>
  <r>
    <d v="2024-02-15T00:00:00"/>
    <x v="41"/>
    <s v="Meetings"/>
    <n v="0.68"/>
    <x v="12"/>
    <s v="No"/>
    <s v="1:1 Jeric"/>
    <x v="2"/>
    <s v="Thursday"/>
  </r>
  <r>
    <d v="2024-02-15T00:00:00"/>
    <x v="42"/>
    <s v="Bookkeeping"/>
    <n v="7.47"/>
    <x v="16"/>
    <s v="Yes"/>
    <m/>
    <x v="2"/>
    <s v="Thursday"/>
  </r>
  <r>
    <d v="2024-02-15T00:00:00"/>
    <x v="42"/>
    <s v="Meetings"/>
    <n v="0.63"/>
    <x v="12"/>
    <s v="No"/>
    <s v="Alliance SI - AP TEAM MEETING"/>
    <x v="2"/>
    <s v="Thursday"/>
  </r>
  <r>
    <d v="2024-02-15T00:00:00"/>
    <x v="43"/>
    <s v="Bookkeeping"/>
    <n v="0.55000000000000004"/>
    <x v="51"/>
    <s v="Yes"/>
    <s v="Teams messages with Maan to fix FAR, call to discuss"/>
    <x v="2"/>
    <s v="Thursday"/>
  </r>
  <r>
    <d v="2024-02-15T00:00:00"/>
    <x v="43"/>
    <s v="Bookkeeping"/>
    <n v="0.62"/>
    <x v="73"/>
    <s v="Yes"/>
    <s v="Discuss all the tasks needed for Pelan, discuss questions from Gerardo, sched next handover session"/>
    <x v="2"/>
    <s v="Thursday"/>
  </r>
  <r>
    <d v="2024-02-15T00:00:00"/>
    <x v="43"/>
    <s v="Bookkeeping"/>
    <n v="2.95"/>
    <x v="75"/>
    <s v="Yes"/>
    <s v="Qtr end checking of accounts, gaming revenue recon for 3 hotels"/>
    <x v="2"/>
    <s v="Thursday"/>
  </r>
  <r>
    <d v="2024-02-15T00:00:00"/>
    <x v="43"/>
    <s v="General"/>
    <n v="0.5"/>
    <x v="12"/>
    <s v="No"/>
    <s v="Break"/>
    <x v="2"/>
    <s v="Thursday"/>
  </r>
  <r>
    <d v="2024-02-15T00:00:00"/>
    <x v="43"/>
    <s v="Meetings"/>
    <n v="0.22"/>
    <x v="12"/>
    <s v="No"/>
    <s v="Call with RJ and April re last working day"/>
    <x v="2"/>
    <s v="Thursday"/>
  </r>
  <r>
    <d v="2024-02-15T00:00:00"/>
    <x v="43"/>
    <s v="Payroll Processing"/>
    <n v="0.28000000000000003"/>
    <x v="16"/>
    <s v="Yes"/>
    <s v="Complete peer review, add new employee to NSW LS Corp portal"/>
    <x v="2"/>
    <s v="Thursday"/>
  </r>
  <r>
    <d v="2024-02-15T00:00:00"/>
    <x v="43"/>
    <s v="Payroll Processing"/>
    <n v="0.4"/>
    <x v="37"/>
    <s v="Yes"/>
    <s v="Payroll journals"/>
    <x v="2"/>
    <s v="Thursday"/>
  </r>
  <r>
    <d v="2024-02-15T00:00:00"/>
    <x v="43"/>
    <s v="Payroll Processing"/>
    <n v="2.62"/>
    <x v="16"/>
    <s v="Yes"/>
    <s v="Payroll processing"/>
    <x v="2"/>
    <s v="Thursday"/>
  </r>
  <r>
    <d v="2024-02-15T00:00:00"/>
    <x v="44"/>
    <s v="Individual Tax Returns"/>
    <n v="0.5"/>
    <x v="127"/>
    <s v="Yes"/>
    <s v="Queries with Maria Update return and send out for signature"/>
    <x v="2"/>
    <s v="Thursday"/>
  </r>
  <r>
    <d v="2024-02-15T00:00:00"/>
    <x v="44"/>
    <s v="Individual Tax Returns"/>
    <n v="1"/>
    <x v="127"/>
    <s v="Yes"/>
    <s v="Review information Draft ITR and workpapers Respond to Maria's email, clarify deductions and request spouse income"/>
    <x v="2"/>
    <s v="Thursday"/>
  </r>
  <r>
    <d v="2024-02-15T00:00:00"/>
    <x v="45"/>
    <s v="Bookkeeping"/>
    <n v="0.7"/>
    <x v="57"/>
    <s v="Yes"/>
    <s v="Cashflow review AP and bank rec review "/>
    <x v="2"/>
    <s v="Thursday"/>
  </r>
  <r>
    <d v="2024-02-15T00:00:00"/>
    <x v="45"/>
    <s v="Bookkeeping"/>
    <n v="3.15"/>
    <x v="50"/>
    <s v="Yes"/>
    <s v="Raise invoice and prepare master schedule for two new MSNs Inbox management Process documents Prepare staff expenses for BASS"/>
    <x v="2"/>
    <s v="Thursday"/>
  </r>
  <r>
    <d v="2024-02-15T00:00:00"/>
    <x v="45"/>
    <s v="General"/>
    <n v="0.5"/>
    <x v="12"/>
    <s v="No"/>
    <s v="Paid break"/>
    <x v="2"/>
    <s v="Thursday"/>
  </r>
  <r>
    <d v="2024-02-15T00:00:00"/>
    <x v="45"/>
    <s v="Learning &amp; Development"/>
    <n v="2.25"/>
    <x v="12"/>
    <s v="No"/>
    <s v="Fathom training"/>
    <x v="2"/>
    <s v="Thursday"/>
  </r>
  <r>
    <d v="2024-02-15T00:00:00"/>
    <x v="45"/>
    <s v="Management Reporting"/>
    <n v="1.33"/>
    <x v="71"/>
    <s v="Yes"/>
    <s v="Balance sheet reconciliation"/>
    <x v="2"/>
    <s v="Thursday"/>
  </r>
  <r>
    <d v="2024-02-15T00:00:00"/>
    <x v="45"/>
    <s v="Payroll Processing"/>
    <n v="0.2"/>
    <x v="58"/>
    <s v="Yes"/>
    <s v="Process payroll"/>
    <x v="2"/>
    <s v="Thursday"/>
  </r>
  <r>
    <d v="2024-02-15T00:00:00"/>
    <x v="46"/>
    <s v="Client Manager"/>
    <n v="0.5"/>
    <x v="59"/>
    <s v="Yes"/>
    <s v="Upload payables and email Zoe. Attend to email re salary increase, seek confirmation re updating budget. Liaise with Neeti re same. Review salary increase worksheet"/>
    <x v="2"/>
    <s v="Thursday"/>
  </r>
  <r>
    <d v="2024-02-15T00:00:00"/>
    <x v="46"/>
    <s v="Client Manager"/>
    <n v="0.5"/>
    <x v="88"/>
    <s v="Yes"/>
    <s v="Update employee details. Process monthly payroll for Feb 2024. STP filing, send payslips"/>
    <x v="2"/>
    <s v="Thursday"/>
  </r>
  <r>
    <d v="2024-02-15T00:00:00"/>
    <x v="46"/>
    <s v="Client Manager"/>
    <n v="0.75"/>
    <x v="14"/>
    <s v="Yes"/>
    <s v="Review payroll for F/E 14/02/2024. Upload in the bank. Email Katherine/Shalisa for approval"/>
    <x v="2"/>
    <s v="Thursday"/>
  </r>
  <r>
    <d v="2024-02-15T00:00:00"/>
    <x v="46"/>
    <s v="General"/>
    <n v="2.25"/>
    <x v="12"/>
    <s v="No"/>
    <s v="Invoices, debtors, Emily re tax return for Tom Mackay, liaise with Sam re work done for ACN (Bryan Philips), messages to Mel, Elena - escalate to Ann her request to change team member, Ezidebit change for Emma, for Simpson re overdue invoice, Sylvie re fee for Capspace"/>
    <x v="2"/>
    <s v="Thursday"/>
  </r>
  <r>
    <d v="2024-02-15T00:00:00"/>
    <x v="46"/>
    <s v="IAS/BAS Preparation &amp; Lodgement - Jan"/>
    <n v="0.33"/>
    <x v="27"/>
    <s v="Yes"/>
    <s v="Jan 2024 PAYGI notice review and lodgement. Update amount via ATO portal and send for approval"/>
    <x v="2"/>
    <s v="Thursday"/>
  </r>
  <r>
    <d v="2024-02-15T00:00:00"/>
    <x v="46"/>
    <s v="IAS/BAS Preparation &amp; Lodgement - Jan"/>
    <n v="0.5"/>
    <x v="27"/>
    <s v="Yes"/>
    <s v="Jan 2024 BAS review and lodgement. Send draft BAS for approval"/>
    <x v="2"/>
    <s v="Thursday"/>
  </r>
  <r>
    <d v="2024-02-15T00:00:00"/>
    <x v="46"/>
    <s v="IAS/BAS Preparation &amp; Lodgement - Jan"/>
    <n v="0.5"/>
    <x v="56"/>
    <s v="Yes"/>
    <s v="Jan 2024 BAS review and lodgement. Put in refund request for Nov &amp; Dec 2023. Send draft report for approval"/>
    <x v="2"/>
    <s v="Thursday"/>
  </r>
  <r>
    <d v="2024-02-15T00:00:00"/>
    <x v="46"/>
    <s v="IAS/BAS Preparation &amp; Lodgement - Jan"/>
    <n v="0.5"/>
    <x v="42"/>
    <s v="Yes"/>
    <s v="Jan 2024 BAS review and lodgement. Update WPS and XPM to take up GST adj for FY 2023. Liaise with LM re updating Xero blue to match with BAS lodgement"/>
    <x v="2"/>
    <s v="Thursday"/>
  </r>
  <r>
    <d v="2024-02-15T00:00:00"/>
    <x v="46"/>
    <s v="IAS/BAS Preparation &amp; Lodgement - Jan"/>
    <n v="1"/>
    <x v="110"/>
    <s v="Yes"/>
    <s v="Review of BAS for Dec 2023 and Jan 2024. Liaise with Kate re prior period adjustments, update XPM etc "/>
    <x v="2"/>
    <s v="Thursday"/>
  </r>
  <r>
    <d v="2024-02-15T00:00:00"/>
    <x v="46"/>
    <s v="IAS/BAS Preparation &amp; Lodgement - Oct-Dec"/>
    <n v="0.25"/>
    <x v="126"/>
    <s v="Yes"/>
    <s v="Nil lodgement of Sep 2023 and Dec 2023 BAS"/>
    <x v="2"/>
    <s v="Thursday"/>
  </r>
  <r>
    <d v="2024-02-15T00:00:00"/>
    <x v="53"/>
    <s v="General"/>
    <n v="5.93"/>
    <x v="12"/>
    <s v="No"/>
    <s v="1st Day Orientation &amp; Training"/>
    <x v="2"/>
    <s v="Thursday"/>
  </r>
  <r>
    <d v="2024-02-15T00:00:00"/>
    <x v="53"/>
    <s v="Learning &amp; Development"/>
    <n v="1.5"/>
    <x v="12"/>
    <s v="No"/>
    <s v="training courses"/>
    <x v="2"/>
    <s v="Thursday"/>
  </r>
  <r>
    <d v="2024-02-15T00:00:00"/>
    <x v="53"/>
    <s v="Meetings"/>
    <n v="0.88"/>
    <x v="12"/>
    <s v="No"/>
    <s v="Meetings with Ali and Nick Con and Carly"/>
    <x v="2"/>
    <s v="Thursday"/>
  </r>
  <r>
    <d v="2024-02-15T00:00:00"/>
    <x v="47"/>
    <s v="Bookkeeping"/>
    <n v="0.4"/>
    <x v="50"/>
    <s v="Yes"/>
    <s v="AP"/>
    <x v="2"/>
    <s v="Thursday"/>
  </r>
  <r>
    <d v="2024-02-15T00:00:00"/>
    <x v="47"/>
    <s v="Bookkeeping"/>
    <n v="0.7"/>
    <x v="50"/>
    <s v="Yes"/>
    <s v="Rachele - OMS Xero setup"/>
    <x v="2"/>
    <s v="Thursday"/>
  </r>
  <r>
    <d v="2024-02-15T00:00:00"/>
    <x v="47"/>
    <s v="Bookkeeping"/>
    <n v="0.92"/>
    <x v="64"/>
    <s v="Yes"/>
    <m/>
    <x v="2"/>
    <s v="Thursday"/>
  </r>
  <r>
    <d v="2024-02-15T00:00:00"/>
    <x v="47"/>
    <s v="Bookkeeping"/>
    <n v="1.6"/>
    <x v="64"/>
    <s v="Yes"/>
    <s v="Review BS Rec all entities, corrections, liaise with Ann"/>
    <x v="2"/>
    <s v="Thursday"/>
  </r>
  <r>
    <d v="2024-02-15T00:00:00"/>
    <x v="47"/>
    <s v="Budget - Monthly"/>
    <n v="1.3"/>
    <x v="109"/>
    <s v="Yes"/>
    <s v="NZ GST return Nov-Dec - calculations, lodgement, emails"/>
    <x v="2"/>
    <s v="Thursday"/>
  </r>
  <r>
    <d v="2024-02-15T00:00:00"/>
    <x v="47"/>
    <s v="Client Manager"/>
    <n v="0.6"/>
    <x v="50"/>
    <s v="Yes"/>
    <s v="emails, liaise with team"/>
    <x v="2"/>
    <s v="Thursday"/>
  </r>
  <r>
    <d v="2024-02-15T00:00:00"/>
    <x v="47"/>
    <s v="Management Reporting"/>
    <n v="3"/>
    <x v="50"/>
    <s v="Yes"/>
    <s v="Fathom- changes in budget, actuals, fathom layout"/>
    <x v="2"/>
    <s v="Thursday"/>
  </r>
  <r>
    <d v="2024-02-15T00:00:00"/>
    <x v="47"/>
    <s v="Payroll Processing"/>
    <n v="0.2"/>
    <x v="50"/>
    <s v="Yes"/>
    <s v="F/up emails re Chris Turner payroll"/>
    <x v="2"/>
    <s v="Thursday"/>
  </r>
  <r>
    <d v="2024-02-15T00:00:00"/>
    <x v="47"/>
    <s v="Payroll Processing"/>
    <n v="0.28000000000000003"/>
    <x v="50"/>
    <s v="Yes"/>
    <s v="Review Cian's first payroll"/>
    <x v="2"/>
    <s v="Thursday"/>
  </r>
  <r>
    <d v="2024-02-15T00:00:00"/>
    <x v="47"/>
    <s v="Payroll Processing"/>
    <n v="0.4"/>
    <x v="4"/>
    <s v="Yes"/>
    <s v="Review payroll, emails"/>
    <x v="2"/>
    <s v="Thursday"/>
  </r>
  <r>
    <d v="2024-02-15T00:00:00"/>
    <x v="47"/>
    <s v="Xero Migration"/>
    <n v="0.2"/>
    <x v="64"/>
    <s v="Yes"/>
    <s v="Liaise with Ann re CFM Xero setup"/>
    <x v="2"/>
    <s v="Thursday"/>
  </r>
  <r>
    <d v="2024-02-15T00:00:00"/>
    <x v="52"/>
    <s v="Automations"/>
    <n v="5"/>
    <x v="12"/>
    <s v="No"/>
    <s v="BAS Automation"/>
    <x v="2"/>
    <s v="Thursday"/>
  </r>
  <r>
    <d v="2024-02-15T00:00:00"/>
    <x v="48"/>
    <s v="General"/>
    <n v="1"/>
    <x v="12"/>
    <s v="No"/>
    <e v="#NAME?"/>
    <x v="2"/>
    <s v="Thursday"/>
  </r>
  <r>
    <d v="2024-02-15T00:00:00"/>
    <x v="48"/>
    <s v="General"/>
    <n v="2"/>
    <x v="12"/>
    <s v="No"/>
    <s v="- Sherly's onboarding"/>
    <x v="2"/>
    <s v="Thursday"/>
  </r>
  <r>
    <d v="2024-02-15T00:00:00"/>
    <x v="48"/>
    <s v="General"/>
    <n v="4"/>
    <x v="12"/>
    <s v="No"/>
    <e v="#NAME?"/>
    <x v="2"/>
    <s v="Thursday"/>
  </r>
  <r>
    <d v="2024-02-15T00:00:00"/>
    <x v="48"/>
    <s v="Meetings"/>
    <n v="1"/>
    <x v="12"/>
    <s v="No"/>
    <s v="Management Meeting"/>
    <x v="2"/>
    <s v="Thursday"/>
  </r>
  <r>
    <d v="2024-02-16T00:00:00"/>
    <x v="0"/>
    <s v="Bookkeeping"/>
    <n v="0.05"/>
    <x v="3"/>
    <s v="Yes"/>
    <s v="Email"/>
    <x v="2"/>
    <s v="Friday"/>
  </r>
  <r>
    <d v="2024-02-16T00:00:00"/>
    <x v="0"/>
    <s v="Bookkeeping"/>
    <n v="7.0000000000000007E-2"/>
    <x v="1"/>
    <s v="Yes"/>
    <s v="Send RA to suppliers"/>
    <x v="2"/>
    <s v="Friday"/>
  </r>
  <r>
    <d v="2024-02-16T00:00:00"/>
    <x v="0"/>
    <s v="Bookkeeping"/>
    <n v="0.08"/>
    <x v="0"/>
    <s v="Yes"/>
    <s v="Accounts Receivable"/>
    <x v="2"/>
    <s v="Friday"/>
  </r>
  <r>
    <d v="2024-02-16T00:00:00"/>
    <x v="0"/>
    <s v="Bookkeeping"/>
    <n v="0.12"/>
    <x v="2"/>
    <s v="Yes"/>
    <s v="Email/Inbox Management"/>
    <x v="2"/>
    <s v="Friday"/>
  </r>
  <r>
    <d v="2024-02-16T00:00:00"/>
    <x v="0"/>
    <s v="Bookkeeping"/>
    <n v="0.12"/>
    <x v="11"/>
    <s v="Yes"/>
    <s v="Set lock date"/>
    <x v="2"/>
    <s v="Friday"/>
  </r>
  <r>
    <d v="2024-02-16T00:00:00"/>
    <x v="0"/>
    <s v="Bookkeeping"/>
    <n v="0.13"/>
    <x v="6"/>
    <s v="Yes"/>
    <s v="Send RA to suppliers"/>
    <x v="2"/>
    <s v="Friday"/>
  </r>
  <r>
    <d v="2024-02-16T00:00:00"/>
    <x v="0"/>
    <s v="Bookkeeping"/>
    <n v="0.18"/>
    <x v="19"/>
    <s v="Yes"/>
    <s v="Inbox/Email Management"/>
    <x v="2"/>
    <s v="Friday"/>
  </r>
  <r>
    <d v="2024-02-16T00:00:00"/>
    <x v="0"/>
    <s v="Bookkeeping"/>
    <n v="0.2"/>
    <x v="3"/>
    <s v="Yes"/>
    <s v="Clear AP inbox"/>
    <x v="2"/>
    <s v="Friday"/>
  </r>
  <r>
    <d v="2024-02-16T00:00:00"/>
    <x v="0"/>
    <s v="Bookkeeping"/>
    <n v="0.4"/>
    <x v="6"/>
    <s v="Yes"/>
    <s v="Email/Inbox Management"/>
    <x v="2"/>
    <s v="Friday"/>
  </r>
  <r>
    <d v="2024-02-16T00:00:00"/>
    <x v="0"/>
    <s v="Bookkeeping"/>
    <n v="0.57999999999999996"/>
    <x v="4"/>
    <s v="Yes"/>
    <s v="Bank Reconciliation"/>
    <x v="2"/>
    <s v="Friday"/>
  </r>
  <r>
    <d v="2024-02-16T00:00:00"/>
    <x v="0"/>
    <s v="Bookkeeping"/>
    <n v="1.42"/>
    <x v="11"/>
    <s v="Yes"/>
    <s v="Bank Reconciliation"/>
    <x v="2"/>
    <s v="Friday"/>
  </r>
  <r>
    <d v="2024-02-16T00:00:00"/>
    <x v="0"/>
    <s v="General"/>
    <n v="0.12"/>
    <x v="12"/>
    <s v="No"/>
    <s v="Admin Emails"/>
    <x v="2"/>
    <s v="Friday"/>
  </r>
  <r>
    <d v="2024-02-16T00:00:00"/>
    <x v="0"/>
    <s v="General"/>
    <n v="0.17"/>
    <x v="12"/>
    <s v="No"/>
    <s v="Admin emails and Chats"/>
    <x v="2"/>
    <s v="Friday"/>
  </r>
  <r>
    <d v="2024-02-16T00:00:00"/>
    <x v="0"/>
    <s v="General"/>
    <n v="0.18"/>
    <x v="12"/>
    <s v="No"/>
    <s v="Update team huddle file"/>
    <x v="2"/>
    <s v="Friday"/>
  </r>
  <r>
    <d v="2024-02-16T00:00:00"/>
    <x v="0"/>
    <s v="General"/>
    <n v="0.25"/>
    <x v="12"/>
    <s v="No"/>
    <s v="Afternoon Break"/>
    <x v="2"/>
    <s v="Friday"/>
  </r>
  <r>
    <d v="2024-02-16T00:00:00"/>
    <x v="0"/>
    <s v="General"/>
    <n v="0.25"/>
    <x v="12"/>
    <s v="No"/>
    <s v="Morning Break"/>
    <x v="2"/>
    <s v="Friday"/>
  </r>
  <r>
    <d v="2024-02-16T00:00:00"/>
    <x v="0"/>
    <s v="General"/>
    <n v="0.25"/>
    <x v="12"/>
    <s v="No"/>
    <s v="Submit Employee Referral"/>
    <x v="2"/>
    <s v="Friday"/>
  </r>
  <r>
    <d v="2024-02-16T00:00:00"/>
    <x v="0"/>
    <s v="IAS/BAS Preparation &amp; Lodgement - Jan"/>
    <n v="0.22"/>
    <x v="8"/>
    <s v="Yes"/>
    <s v="Export IAS reports"/>
    <x v="2"/>
    <s v="Friday"/>
  </r>
  <r>
    <d v="2024-02-16T00:00:00"/>
    <x v="0"/>
    <s v="Learning &amp; Development"/>
    <n v="0.17"/>
    <x v="12"/>
    <s v="No"/>
    <s v="Cyber Security Training"/>
    <x v="2"/>
    <s v="Friday"/>
  </r>
  <r>
    <d v="2024-02-16T00:00:00"/>
    <x v="0"/>
    <s v="Learning &amp; Development"/>
    <n v="0.38"/>
    <x v="12"/>
    <s v="No"/>
    <s v="Wyzed Training"/>
    <x v="2"/>
    <s v="Friday"/>
  </r>
  <r>
    <d v="2024-02-16T00:00:00"/>
    <x v="0"/>
    <s v="Management Reporting"/>
    <n v="0.18"/>
    <x v="5"/>
    <s v="Yes"/>
    <s v="Marketing Fund P&amp;L"/>
    <x v="2"/>
    <s v="Friday"/>
  </r>
  <r>
    <d v="2024-02-16T00:00:00"/>
    <x v="0"/>
    <s v="Management Reporting"/>
    <n v="1.35"/>
    <x v="0"/>
    <s v="Yes"/>
    <s v="Balance Sheet Reconciliation"/>
    <x v="2"/>
    <s v="Friday"/>
  </r>
  <r>
    <d v="2024-02-16T00:00:00"/>
    <x v="0"/>
    <s v="Meetings"/>
    <n v="0.78"/>
    <x v="12"/>
    <s v="No"/>
    <s v="Team Huddle"/>
    <x v="2"/>
    <s v="Friday"/>
  </r>
  <r>
    <d v="2024-02-16T00:00:00"/>
    <x v="0"/>
    <s v="Payroll Processing"/>
    <n v="0.35"/>
    <x v="8"/>
    <s v="Yes"/>
    <m/>
    <x v="2"/>
    <s v="Friday"/>
  </r>
  <r>
    <d v="2024-02-16T00:00:00"/>
    <x v="49"/>
    <s v="P&amp;C Advisory - Group"/>
    <n v="0.33"/>
    <x v="63"/>
    <s v="Yes"/>
    <s v="Correspondence re. Scribe"/>
    <x v="2"/>
    <s v="Friday"/>
  </r>
  <r>
    <d v="2024-02-16T00:00:00"/>
    <x v="49"/>
    <s v="P&amp;C Advisory - Nederman Mikropul"/>
    <n v="1"/>
    <x v="63"/>
    <s v="Yes"/>
    <s v="NGage workshop Acknowledgement of resignation"/>
    <x v="2"/>
    <s v="Friday"/>
  </r>
  <r>
    <d v="2024-02-16T00:00:00"/>
    <x v="49"/>
    <s v="P&amp;C Advisory - Nederman PT"/>
    <n v="0.5"/>
    <x v="63"/>
    <s v="Yes"/>
    <s v="Weekly call with Manager"/>
    <x v="2"/>
    <s v="Friday"/>
  </r>
  <r>
    <d v="2024-02-16T00:00:00"/>
    <x v="49"/>
    <s v="P&amp;C Advisory - Nordfab"/>
    <n v="1.58"/>
    <x v="63"/>
    <s v="Yes"/>
    <s v="Call with manager re. employee attendance concerns Draft invitation to attend disciplinary meeting Correspondence re. newstarter Correspondence re. CSG recruitment and people issues  Correspondence re. goal setting and reporting access  Correspondence re. warehouse email accounts"/>
    <x v="2"/>
    <s v="Friday"/>
  </r>
  <r>
    <d v="2024-02-16T00:00:00"/>
    <x v="1"/>
    <s v="Bookkeeping"/>
    <n v="0.7"/>
    <x v="14"/>
    <s v="Yes"/>
    <m/>
    <x v="2"/>
    <s v="Friday"/>
  </r>
  <r>
    <d v="2024-02-16T00:00:00"/>
    <x v="1"/>
    <s v="Bookkeeping"/>
    <n v="2.5"/>
    <x v="15"/>
    <s v="Yes"/>
    <m/>
    <x v="2"/>
    <s v="Friday"/>
  </r>
  <r>
    <d v="2024-02-16T00:00:00"/>
    <x v="1"/>
    <s v="General"/>
    <n v="0.17"/>
    <x v="12"/>
    <s v="No"/>
    <s v="chats, emails"/>
    <x v="2"/>
    <s v="Friday"/>
  </r>
  <r>
    <d v="2024-02-16T00:00:00"/>
    <x v="1"/>
    <s v="General"/>
    <n v="0.23"/>
    <x v="12"/>
    <s v="No"/>
    <s v="chats, check remaining hrs and book meeting room"/>
    <x v="2"/>
    <s v="Friday"/>
  </r>
  <r>
    <d v="2024-02-16T00:00:00"/>
    <x v="1"/>
    <s v="General"/>
    <n v="0.28000000000000003"/>
    <x v="12"/>
    <s v="No"/>
    <s v="chats, Sprout, timesheets"/>
    <x v="2"/>
    <s v="Friday"/>
  </r>
  <r>
    <d v="2024-02-16T00:00:00"/>
    <x v="1"/>
    <s v="General"/>
    <n v="1.72"/>
    <x v="12"/>
    <s v="No"/>
    <s v="emails, chats re client/staff concerns, call with Ali re concerns, Sprout - check attendance and reach out to directs with missing logs, perf eval, etc"/>
    <x v="2"/>
    <s v="Friday"/>
  </r>
  <r>
    <d v="2024-02-16T00:00:00"/>
    <x v="1"/>
    <s v="Meetings"/>
    <n v="0.23"/>
    <x v="12"/>
    <s v="No"/>
    <s v="call with Mary re concerns"/>
    <x v="2"/>
    <s v="Friday"/>
  </r>
  <r>
    <d v="2024-02-16T00:00:00"/>
    <x v="1"/>
    <s v="Meetings"/>
    <n v="0.27"/>
    <x v="12"/>
    <s v="No"/>
    <s v="meet with She"/>
    <x v="2"/>
    <s v="Friday"/>
  </r>
  <r>
    <d v="2024-02-16T00:00:00"/>
    <x v="1"/>
    <s v="Meetings"/>
    <n v="0.75"/>
    <x v="12"/>
    <s v="No"/>
    <s v="monthly catchup with Mary"/>
    <x v="2"/>
    <s v="Friday"/>
  </r>
  <r>
    <d v="2024-02-16T00:00:00"/>
    <x v="1"/>
    <s v="Meetings"/>
    <n v="0.78"/>
    <x v="12"/>
    <s v="No"/>
    <s v="weekly huddle"/>
    <x v="2"/>
    <s v="Friday"/>
  </r>
  <r>
    <d v="2024-02-16T00:00:00"/>
    <x v="1"/>
    <s v="Payroll Processing"/>
    <n v="0.37"/>
    <x v="14"/>
    <s v="Yes"/>
    <m/>
    <x v="2"/>
    <s v="Friday"/>
  </r>
  <r>
    <d v="2024-02-16T00:00:00"/>
    <x v="3"/>
    <s v="Business Development"/>
    <n v="8"/>
    <x v="12"/>
    <s v="No"/>
    <s v="Multiple meetings to confirm details / points for manual  continuation of remaining flows and manuals  Schedule setup for start of video recording next week"/>
    <x v="2"/>
    <s v="Friday"/>
  </r>
  <r>
    <d v="2024-02-16T00:00:00"/>
    <x v="4"/>
    <s v="Business Development"/>
    <n v="8"/>
    <x v="12"/>
    <s v="No"/>
    <m/>
    <x v="2"/>
    <s v="Friday"/>
  </r>
  <r>
    <d v="2024-02-16T00:00:00"/>
    <x v="5"/>
    <s v="Bookkeeping"/>
    <n v="0.95"/>
    <x v="16"/>
    <s v="Yes"/>
    <s v="Leave Reports and Balances"/>
    <x v="2"/>
    <s v="Friday"/>
  </r>
  <r>
    <d v="2024-02-16T00:00:00"/>
    <x v="5"/>
    <s v="Bookkeeping"/>
    <n v="1.83"/>
    <x v="16"/>
    <s v="Yes"/>
    <s v="Email Management"/>
    <x v="2"/>
    <s v="Friday"/>
  </r>
  <r>
    <d v="2024-02-16T00:00:00"/>
    <x v="5"/>
    <s v="Bookkeeping"/>
    <n v="4.62"/>
    <x v="16"/>
    <s v="Yes"/>
    <s v="AP Processing"/>
    <x v="2"/>
    <s v="Friday"/>
  </r>
  <r>
    <d v="2024-02-16T00:00:00"/>
    <x v="5"/>
    <s v="Meetings"/>
    <n v="1"/>
    <x v="12"/>
    <s v="No"/>
    <s v="AP Catch up with James and Craig"/>
    <x v="2"/>
    <s v="Friday"/>
  </r>
  <r>
    <d v="2024-02-16T00:00:00"/>
    <x v="6"/>
    <s v="Annual Leave"/>
    <n v="4"/>
    <x v="12"/>
    <s v="No"/>
    <m/>
    <x v="2"/>
    <s v="Friday"/>
  </r>
  <r>
    <d v="2024-02-16T00:00:00"/>
    <x v="6"/>
    <s v="Bookkeeping"/>
    <n v="2.75"/>
    <x v="19"/>
    <s v="No"/>
    <s v="Assists Neeti on Bank Recs"/>
    <x v="2"/>
    <s v="Friday"/>
  </r>
  <r>
    <d v="2024-02-16T00:00:00"/>
    <x v="6"/>
    <s v="General"/>
    <n v="0.42"/>
    <x v="12"/>
    <s v="No"/>
    <s v="Asana Checking Sprout Checking XPM  Check Emails"/>
    <x v="2"/>
    <s v="Friday"/>
  </r>
  <r>
    <d v="2024-02-16T00:00:00"/>
    <x v="6"/>
    <s v="General"/>
    <n v="0.83"/>
    <x v="12"/>
    <s v="No"/>
    <m/>
    <x v="2"/>
    <s v="Friday"/>
  </r>
  <r>
    <d v="2024-02-16T00:00:00"/>
    <x v="7"/>
    <s v="Automations"/>
    <n v="9.7200000000000006"/>
    <x v="12"/>
    <s v="No"/>
    <m/>
    <x v="2"/>
    <s v="Friday"/>
  </r>
  <r>
    <d v="2024-02-16T00:00:00"/>
    <x v="9"/>
    <s v="Automations"/>
    <n v="3"/>
    <x v="12"/>
    <s v="No"/>
    <s v="Run four Alliance automations + AP automation; Added 4 supplier to Alliance Automation Credit/Adjustments"/>
    <x v="2"/>
    <s v="Friday"/>
  </r>
  <r>
    <d v="2024-02-16T00:00:00"/>
    <x v="10"/>
    <s v="Automations"/>
    <n v="9"/>
    <x v="12"/>
    <s v="No"/>
    <s v="Alliance Report Automation Part 2 and 3 development"/>
    <x v="2"/>
    <s v="Friday"/>
  </r>
  <r>
    <d v="2024-02-16T00:00:00"/>
    <x v="11"/>
    <s v="Bookkeeping"/>
    <n v="0.17"/>
    <x v="24"/>
    <s v="Yes"/>
    <s v="bank recon"/>
    <x v="2"/>
    <s v="Friday"/>
  </r>
  <r>
    <d v="2024-02-16T00:00:00"/>
    <x v="11"/>
    <s v="Bookkeeping"/>
    <n v="0.25"/>
    <x v="116"/>
    <s v="No"/>
    <s v="Checking the account"/>
    <x v="2"/>
    <s v="Friday"/>
  </r>
  <r>
    <d v="2024-02-16T00:00:00"/>
    <x v="11"/>
    <s v="Bookkeeping"/>
    <n v="0.42"/>
    <x v="44"/>
    <s v="Yes"/>
    <s v="entering bills"/>
    <x v="2"/>
    <s v="Friday"/>
  </r>
  <r>
    <d v="2024-02-16T00:00:00"/>
    <x v="11"/>
    <s v="Bookkeeping"/>
    <n v="1.08"/>
    <x v="116"/>
    <s v="Yes"/>
    <s v="adding bills, bank recon"/>
    <x v="2"/>
    <s v="Friday"/>
  </r>
  <r>
    <d v="2024-02-16T00:00:00"/>
    <x v="11"/>
    <s v="Bookkeeping"/>
    <n v="4.58"/>
    <x v="25"/>
    <s v="Yes"/>
    <s v="inbox management, loading bills, bank recon, weekly report, AP payment"/>
    <x v="2"/>
    <s v="Friday"/>
  </r>
  <r>
    <d v="2024-02-16T00:00:00"/>
    <x v="11"/>
    <s v="General"/>
    <n v="0.5"/>
    <x v="12"/>
    <s v="No"/>
    <s v="break"/>
    <x v="2"/>
    <s v="Friday"/>
  </r>
  <r>
    <d v="2024-02-16T00:00:00"/>
    <x v="11"/>
    <s v="Meetings"/>
    <n v="0.83"/>
    <x v="12"/>
    <s v="No"/>
    <s v="Team huddle"/>
    <x v="2"/>
    <s v="Friday"/>
  </r>
  <r>
    <d v="2024-02-16T00:00:00"/>
    <x v="11"/>
    <s v="Out-of-Scope Services"/>
    <n v="0.17"/>
    <x v="128"/>
    <s v="Yes"/>
    <s v="entering bills"/>
    <x v="2"/>
    <s v="Friday"/>
  </r>
  <r>
    <d v="2024-02-16T00:00:00"/>
    <x v="14"/>
    <s v="Bookkeeping"/>
    <n v="7.0000000000000007E-2"/>
    <x v="42"/>
    <s v="No"/>
    <s v="call w/ Kate"/>
    <x v="2"/>
    <s v="Friday"/>
  </r>
  <r>
    <d v="2024-02-16T00:00:00"/>
    <x v="14"/>
    <s v="Bookkeeping"/>
    <n v="0.17"/>
    <x v="34"/>
    <s v="Yes"/>
    <s v="email"/>
    <x v="2"/>
    <s v="Friday"/>
  </r>
  <r>
    <d v="2024-02-16T00:00:00"/>
    <x v="14"/>
    <s v="Bookkeeping"/>
    <n v="0.32"/>
    <x v="34"/>
    <s v="Yes"/>
    <s v="cessation of services"/>
    <x v="2"/>
    <s v="Friday"/>
  </r>
  <r>
    <d v="2024-02-16T00:00:00"/>
    <x v="14"/>
    <s v="Bookkeeping"/>
    <n v="0.33"/>
    <x v="52"/>
    <s v="No"/>
    <s v="call w/ Kate"/>
    <x v="2"/>
    <s v="Friday"/>
  </r>
  <r>
    <d v="2024-02-16T00:00:00"/>
    <x v="14"/>
    <s v="Bookkeeping"/>
    <n v="0.42"/>
    <x v="80"/>
    <s v="Yes"/>
    <s v="bills entry &amp; bank recs"/>
    <x v="2"/>
    <s v="Friday"/>
  </r>
  <r>
    <d v="2024-02-16T00:00:00"/>
    <x v="14"/>
    <s v="Bookkeeping"/>
    <n v="0.83"/>
    <x v="80"/>
    <s v="Yes"/>
    <s v="bills entry, bank rec"/>
    <x v="2"/>
    <s v="Friday"/>
  </r>
  <r>
    <d v="2024-02-16T00:00:00"/>
    <x v="14"/>
    <s v="Bookkeeping"/>
    <n v="4.3499999999999996"/>
    <x v="80"/>
    <s v="Yes"/>
    <s v="bills entry &amp; bank rec"/>
    <x v="2"/>
    <s v="Friday"/>
  </r>
  <r>
    <d v="2024-02-16T00:00:00"/>
    <x v="14"/>
    <s v="General"/>
    <n v="0.75"/>
    <x v="12"/>
    <s v="No"/>
    <s v="emails/teams"/>
    <x v="2"/>
    <s v="Friday"/>
  </r>
  <r>
    <d v="2024-02-16T00:00:00"/>
    <x v="14"/>
    <s v="Meetings"/>
    <n v="0.77"/>
    <x v="12"/>
    <s v="No"/>
    <s v="team Ann"/>
    <x v="2"/>
    <s v="Friday"/>
  </r>
  <r>
    <d v="2024-02-16T00:00:00"/>
    <x v="15"/>
    <s v="General"/>
    <n v="9.75"/>
    <x v="12"/>
    <s v="No"/>
    <e v="#NAME?"/>
    <x v="2"/>
    <s v="Friday"/>
  </r>
  <r>
    <d v="2024-02-16T00:00:00"/>
    <x v="16"/>
    <s v="Bookkeeping"/>
    <n v="0.68"/>
    <x v="32"/>
    <s v="Yes"/>
    <s v="bank recon process ap invoices"/>
    <x v="2"/>
    <s v="Friday"/>
  </r>
  <r>
    <d v="2024-02-16T00:00:00"/>
    <x v="16"/>
    <s v="Bookkeeping"/>
    <n v="0.8"/>
    <x v="31"/>
    <s v="Yes"/>
    <s v="bank recon creating bills for installment payments"/>
    <x v="2"/>
    <s v="Friday"/>
  </r>
  <r>
    <d v="2024-02-16T00:00:00"/>
    <x v="16"/>
    <s v="Bookkeeping - AP"/>
    <n v="0.75"/>
    <x v="33"/>
    <s v="Yes"/>
    <s v="batch payment report"/>
    <x v="2"/>
    <s v="Friday"/>
  </r>
  <r>
    <d v="2024-02-16T00:00:00"/>
    <x v="16"/>
    <s v="Bookkeeping - AP"/>
    <n v="0.78"/>
    <x v="33"/>
    <s v="Yes"/>
    <s v="export aba files "/>
    <x v="2"/>
    <s v="Friday"/>
  </r>
  <r>
    <d v="2024-02-16T00:00:00"/>
    <x v="16"/>
    <s v="Bookkeeping - AP"/>
    <n v="1.42"/>
    <x v="33"/>
    <s v="Yes"/>
    <s v="approve ap invoices emails"/>
    <x v="2"/>
    <s v="Friday"/>
  </r>
  <r>
    <d v="2024-02-16T00:00:00"/>
    <x v="16"/>
    <s v="General"/>
    <n v="0.5"/>
    <x v="12"/>
    <s v="No"/>
    <s v="break"/>
    <x v="2"/>
    <s v="Friday"/>
  </r>
  <r>
    <d v="2024-02-16T00:00:00"/>
    <x v="16"/>
    <s v="General"/>
    <n v="0.88"/>
    <x v="12"/>
    <s v="No"/>
    <s v="team huddle"/>
    <x v="2"/>
    <s v="Friday"/>
  </r>
  <r>
    <d v="2024-02-16T00:00:00"/>
    <x v="16"/>
    <s v="Learning &amp; Development"/>
    <n v="0.63"/>
    <x v="12"/>
    <s v="No"/>
    <s v="reviewing hand over task"/>
    <x v="2"/>
    <s v="Friday"/>
  </r>
  <r>
    <d v="2024-02-16T00:00:00"/>
    <x v="16"/>
    <s v="Meetings"/>
    <n v="1.55"/>
    <x v="12"/>
    <s v="No"/>
    <s v="call with Ms.Rose"/>
    <x v="2"/>
    <s v="Friday"/>
  </r>
  <r>
    <d v="2024-02-16T00:00:00"/>
    <x v="17"/>
    <s v="Annual Leave"/>
    <n v="8"/>
    <x v="12"/>
    <s v="No"/>
    <m/>
    <x v="2"/>
    <s v="Friday"/>
  </r>
  <r>
    <d v="2024-02-16T00:00:00"/>
    <x v="18"/>
    <s v="General"/>
    <n v="0.42"/>
    <x v="12"/>
    <s v="No"/>
    <s v="emails, teams chat"/>
    <x v="2"/>
    <s v="Friday"/>
  </r>
  <r>
    <d v="2024-02-16T00:00:00"/>
    <x v="18"/>
    <s v="General"/>
    <n v="0.45"/>
    <x v="12"/>
    <s v="No"/>
    <s v="emails - responses to Kate, Shalini, Bern Asana and XPM"/>
    <x v="2"/>
    <s v="Friday"/>
  </r>
  <r>
    <d v="2024-02-16T00:00:00"/>
    <x v="18"/>
    <s v="General"/>
    <n v="0.57999999999999996"/>
    <x v="12"/>
    <s v="No"/>
    <s v="check journals in JPE, onedrive?"/>
    <x v="2"/>
    <s v="Friday"/>
  </r>
  <r>
    <d v="2024-02-16T00:00:00"/>
    <x v="18"/>
    <s v="General"/>
    <n v="0.8"/>
    <x v="12"/>
    <s v="No"/>
    <s v="idle"/>
    <x v="2"/>
    <s v="Friday"/>
  </r>
  <r>
    <d v="2024-02-16T00:00:00"/>
    <x v="18"/>
    <s v="General"/>
    <n v="1.38"/>
    <x v="12"/>
    <s v="No"/>
    <s v="scoping form draft"/>
    <x v="2"/>
    <s v="Friday"/>
  </r>
  <r>
    <d v="2024-02-16T00:00:00"/>
    <x v="18"/>
    <s v="General"/>
    <n v="1.77"/>
    <x v="12"/>
    <s v="No"/>
    <s v="draft scoping form, check JPE trust"/>
    <x v="2"/>
    <s v="Friday"/>
  </r>
  <r>
    <d v="2024-02-16T00:00:00"/>
    <x v="18"/>
    <s v="General"/>
    <n v="1.77"/>
    <x v="12"/>
    <s v="No"/>
    <s v="finalised drafted scoping form"/>
    <x v="2"/>
    <s v="Friday"/>
  </r>
  <r>
    <d v="2024-02-16T00:00:00"/>
    <x v="18"/>
    <s v="Meetings"/>
    <n v="0.78"/>
    <x v="12"/>
    <s v="No"/>
    <s v="CET meeting"/>
    <x v="2"/>
    <s v="Friday"/>
  </r>
  <r>
    <d v="2024-02-16T00:00:00"/>
    <x v="19"/>
    <s v="Bookkeeping"/>
    <n v="6.9"/>
    <x v="36"/>
    <s v="Yes"/>
    <m/>
    <x v="2"/>
    <s v="Friday"/>
  </r>
  <r>
    <d v="2024-02-16T00:00:00"/>
    <x v="19"/>
    <s v="Meetings"/>
    <n v="0.87"/>
    <x v="12"/>
    <s v="No"/>
    <s v="Team RJ"/>
    <x v="2"/>
    <s v="Friday"/>
  </r>
  <r>
    <d v="2024-02-16T00:00:00"/>
    <x v="19"/>
    <s v="Payroll Processing"/>
    <n v="0.3"/>
    <x v="3"/>
    <s v="Yes"/>
    <m/>
    <x v="2"/>
    <s v="Friday"/>
  </r>
  <r>
    <d v="2024-02-16T00:00:00"/>
    <x v="21"/>
    <s v="Bookkeeping"/>
    <n v="0.17"/>
    <x v="39"/>
    <s v="Yes"/>
    <s v="AP items"/>
    <x v="2"/>
    <s v="Friday"/>
  </r>
  <r>
    <d v="2024-02-16T00:00:00"/>
    <x v="21"/>
    <s v="Bookkeeping"/>
    <n v="0.27"/>
    <x v="40"/>
    <s v="Yes"/>
    <s v="Bank recon"/>
    <x v="2"/>
    <s v="Friday"/>
  </r>
  <r>
    <d v="2024-02-16T00:00:00"/>
    <x v="21"/>
    <s v="Bookkeeping"/>
    <n v="0.33"/>
    <x v="40"/>
    <s v="Yes"/>
    <s v="Dext Prepare, bank recon"/>
    <x v="2"/>
    <s v="Friday"/>
  </r>
  <r>
    <d v="2024-02-16T00:00:00"/>
    <x v="21"/>
    <s v="Bookkeeping"/>
    <n v="0.33"/>
    <x v="72"/>
    <s v="Yes"/>
    <s v="bank recon"/>
    <x v="2"/>
    <s v="Friday"/>
  </r>
  <r>
    <d v="2024-02-16T00:00:00"/>
    <x v="21"/>
    <s v="Bookkeeping"/>
    <n v="0.33"/>
    <x v="28"/>
    <s v="Yes"/>
    <m/>
    <x v="2"/>
    <s v="Friday"/>
  </r>
  <r>
    <d v="2024-02-16T00:00:00"/>
    <x v="21"/>
    <s v="Bookkeeping"/>
    <n v="0.33"/>
    <x v="66"/>
    <s v="Yes"/>
    <s v="bank recon items and p&amp;l and bs sent to client"/>
    <x v="2"/>
    <s v="Friday"/>
  </r>
  <r>
    <d v="2024-02-16T00:00:00"/>
    <x v="21"/>
    <s v="Bookkeeping"/>
    <n v="0.5"/>
    <x v="57"/>
    <s v="Yes"/>
    <s v="bank recon, ap items"/>
    <x v="2"/>
    <s v="Friday"/>
  </r>
  <r>
    <d v="2024-02-16T00:00:00"/>
    <x v="21"/>
    <s v="Bookkeeping"/>
    <n v="0.53"/>
    <x v="39"/>
    <s v="Yes"/>
    <s v="AP Items, bank recon"/>
    <x v="2"/>
    <s v="Friday"/>
  </r>
  <r>
    <d v="2024-02-16T00:00:00"/>
    <x v="21"/>
    <s v="Bookkeeping"/>
    <n v="1.1200000000000001"/>
    <x v="28"/>
    <s v="Yes"/>
    <s v="AP Bills, bank recon"/>
    <x v="2"/>
    <s v="Friday"/>
  </r>
  <r>
    <d v="2024-02-16T00:00:00"/>
    <x v="21"/>
    <s v="Bookkeeping"/>
    <n v="1.5"/>
    <x v="41"/>
    <s v="Yes"/>
    <s v="ap email sort to project folders, ap items email and procore, employment hero items sync from xero"/>
    <x v="2"/>
    <s v="Friday"/>
  </r>
  <r>
    <d v="2024-02-16T00:00:00"/>
    <x v="21"/>
    <s v="Bookkeeping"/>
    <n v="1.65"/>
    <x v="28"/>
    <s v="Yes"/>
    <s v="Dext Prepare, AP ITems,"/>
    <x v="2"/>
    <s v="Friday"/>
  </r>
  <r>
    <d v="2024-02-16T00:00:00"/>
    <x v="21"/>
    <s v="Meetings"/>
    <n v="0.95"/>
    <x v="12"/>
    <s v="No"/>
    <s v="Team weekly catchup"/>
    <x v="2"/>
    <s v="Friday"/>
  </r>
  <r>
    <d v="2024-02-16T00:00:00"/>
    <x v="22"/>
    <s v="Automations"/>
    <n v="8"/>
    <x v="12"/>
    <s v="No"/>
    <s v="Fintech Equity Pty Ltd - Bank Reconciliation Automation"/>
    <x v="2"/>
    <s v="Friday"/>
  </r>
  <r>
    <d v="2024-02-16T00:00:00"/>
    <x v="23"/>
    <s v="Automations"/>
    <n v="8"/>
    <x v="12"/>
    <s v="No"/>
    <m/>
    <x v="2"/>
    <s v="Friday"/>
  </r>
  <r>
    <d v="2024-02-16T00:00:00"/>
    <x v="24"/>
    <s v="Automations"/>
    <n v="8"/>
    <x v="12"/>
    <s v="No"/>
    <s v="Run: LOC Run: AR Ageing Report Dev: PrimeBuild Payroll Processing Report Automation"/>
    <x v="2"/>
    <s v="Friday"/>
  </r>
  <r>
    <d v="2024-02-16T00:00:00"/>
    <x v="25"/>
    <s v="Bookkeeping"/>
    <n v="0.97"/>
    <x v="43"/>
    <s v="Yes"/>
    <s v="Review file and update issues list"/>
    <x v="2"/>
    <s v="Friday"/>
  </r>
  <r>
    <d v="2024-02-16T00:00:00"/>
    <x v="25"/>
    <s v="Client Admin"/>
    <n v="1.67"/>
    <x v="12"/>
    <s v="No"/>
    <s v="Meeting with Xavi re Richbox handover and review of Mary Ann's work Arrange RSVP handover meeting  Follow up outstanding invoices and message to Angela on status Emails - general responses"/>
    <x v="2"/>
    <s v="Friday"/>
  </r>
  <r>
    <d v="2024-02-16T00:00:00"/>
    <x v="25"/>
    <s v="Client Manager"/>
    <n v="0.4"/>
    <x v="115"/>
    <s v="Yes"/>
    <s v="Review prrevious notes, services, previous bills and call to Blair (VM left)"/>
    <x v="2"/>
    <s v="Friday"/>
  </r>
  <r>
    <d v="2024-02-16T00:00:00"/>
    <x v="25"/>
    <s v="Client Meeting"/>
    <n v="0.75"/>
    <x v="121"/>
    <s v="No"/>
    <s v="Meeting with Carly to overview client, Kick off email Non billable - initial handover"/>
    <x v="2"/>
    <s v="Friday"/>
  </r>
  <r>
    <d v="2024-02-16T00:00:00"/>
    <x v="25"/>
    <s v="Client Meeting"/>
    <n v="0.77"/>
    <x v="2"/>
    <s v="No"/>
    <s v="Meeting with Nicole - journals, report layouts etc. "/>
    <x v="2"/>
    <s v="Friday"/>
  </r>
  <r>
    <d v="2024-02-16T00:00:00"/>
    <x v="25"/>
    <s v="General"/>
    <n v="0.13"/>
    <x v="12"/>
    <s v="No"/>
    <s v="Asana"/>
    <x v="2"/>
    <s v="Friday"/>
  </r>
  <r>
    <d v="2024-02-16T00:00:00"/>
    <x v="25"/>
    <s v="General"/>
    <n v="0.22"/>
    <x v="12"/>
    <s v="No"/>
    <s v="Emails"/>
    <x v="2"/>
    <s v="Friday"/>
  </r>
  <r>
    <d v="2024-02-16T00:00:00"/>
    <x v="25"/>
    <s v="Meetings"/>
    <n v="0.73"/>
    <x v="12"/>
    <s v="No"/>
    <s v="Meeting with new CM Sherly"/>
    <x v="2"/>
    <s v="Friday"/>
  </r>
  <r>
    <d v="2024-02-16T00:00:00"/>
    <x v="25"/>
    <s v="Meetings"/>
    <n v="1"/>
    <x v="12"/>
    <s v="No"/>
    <s v="Client Engagement team meeting, follow up meeting wtih Ali re /Tasman Agri"/>
    <x v="2"/>
    <s v="Friday"/>
  </r>
  <r>
    <d v="2024-02-16T00:00:00"/>
    <x v="25"/>
    <s v="Payroll Processing"/>
    <n v="0.28000000000000003"/>
    <x v="46"/>
    <s v="Yes"/>
    <s v="Reimbursement journal process notes, Asana task allocation"/>
    <x v="2"/>
    <s v="Friday"/>
  </r>
  <r>
    <d v="2024-02-16T00:00:00"/>
    <x v="25"/>
    <s v="Payroll Processing"/>
    <n v="0.33"/>
    <x v="37"/>
    <s v="Yes"/>
    <s v="Parental leave notification and email to Jess"/>
    <x v="2"/>
    <s v="Friday"/>
  </r>
  <r>
    <d v="2024-02-16T00:00:00"/>
    <x v="25"/>
    <s v="Payroll Processing"/>
    <n v="0.67"/>
    <x v="46"/>
    <s v="Yes"/>
    <s v="Process superannuation for February Reimbursements allocation journal Email to client"/>
    <x v="2"/>
    <s v="Friday"/>
  </r>
  <r>
    <d v="2024-02-16T00:00:00"/>
    <x v="26"/>
    <s v="Client Meeting"/>
    <n v="0.08"/>
    <x v="8"/>
    <s v="Yes"/>
    <s v="Email and Updating ASANA"/>
    <x v="2"/>
    <s v="Friday"/>
  </r>
  <r>
    <d v="2024-02-16T00:00:00"/>
    <x v="26"/>
    <s v="Client Meeting"/>
    <n v="0.08"/>
    <x v="31"/>
    <s v="No"/>
    <s v="Email and updating ASANA"/>
    <x v="2"/>
    <s v="Friday"/>
  </r>
  <r>
    <d v="2024-02-16T00:00:00"/>
    <x v="26"/>
    <s v="Client Meeting"/>
    <n v="0.08"/>
    <x v="68"/>
    <s v="No"/>
    <s v="Email "/>
    <x v="2"/>
    <s v="Friday"/>
  </r>
  <r>
    <d v="2024-02-16T00:00:00"/>
    <x v="26"/>
    <s v="Client Meeting"/>
    <n v="0.08"/>
    <x v="66"/>
    <s v="Yes"/>
    <s v="Email and update ASANA"/>
    <x v="2"/>
    <s v="Friday"/>
  </r>
  <r>
    <d v="2024-02-16T00:00:00"/>
    <x v="26"/>
    <s v="Client Meeting"/>
    <n v="0.15"/>
    <x v="68"/>
    <s v="Yes"/>
    <s v="Emai and XPM updates"/>
    <x v="2"/>
    <s v="Friday"/>
  </r>
  <r>
    <d v="2024-02-16T00:00:00"/>
    <x v="26"/>
    <s v="General"/>
    <n v="0.25"/>
    <x v="12"/>
    <s v="No"/>
    <s v="15 mins coffee breaks as paid per Labor Code of the Philippines, Article 85. ( Afternoon Break )  "/>
    <x v="2"/>
    <s v="Friday"/>
  </r>
  <r>
    <d v="2024-02-16T00:00:00"/>
    <x v="26"/>
    <s v="General"/>
    <n v="0.25"/>
    <x v="12"/>
    <s v="No"/>
    <s v="15 mins coffee breaks as paid per Labor Code of the Philippines, Article 85. ( Morning Break ) "/>
    <x v="2"/>
    <s v="Friday"/>
  </r>
  <r>
    <d v="2024-02-16T00:00:00"/>
    <x v="26"/>
    <s v="IAS/BAS Preparation &amp; Lodgement - Jan"/>
    <n v="0.03"/>
    <x v="71"/>
    <s v="Yes"/>
    <s v="IAS"/>
    <x v="2"/>
    <s v="Friday"/>
  </r>
  <r>
    <d v="2024-02-16T00:00:00"/>
    <x v="26"/>
    <s v="IAS/BAS Preparation &amp; Lodgement - Jan"/>
    <n v="0.05"/>
    <x v="71"/>
    <s v="Yes"/>
    <m/>
    <x v="2"/>
    <s v="Friday"/>
  </r>
  <r>
    <d v="2024-02-16T00:00:00"/>
    <x v="26"/>
    <s v="IAS/BAS Preparation &amp; Lodgement - Jan"/>
    <n v="0.05"/>
    <x v="58"/>
    <s v="Yes"/>
    <m/>
    <x v="2"/>
    <s v="Friday"/>
  </r>
  <r>
    <d v="2024-02-16T00:00:00"/>
    <x v="26"/>
    <s v="IAS/BAS Preparation &amp; Lodgement - Jan"/>
    <n v="7.0000000000000007E-2"/>
    <x v="58"/>
    <s v="Yes"/>
    <s v="IAS"/>
    <x v="2"/>
    <s v="Friday"/>
  </r>
  <r>
    <d v="2024-02-16T00:00:00"/>
    <x v="26"/>
    <s v="IAS/BAS Preparation &amp; Lodgement - Jan"/>
    <n v="7.0000000000000007E-2"/>
    <x v="8"/>
    <s v="Yes"/>
    <m/>
    <x v="2"/>
    <s v="Friday"/>
  </r>
  <r>
    <d v="2024-02-16T00:00:00"/>
    <x v="26"/>
    <s v="IAS/BAS Preparation &amp; Lodgement - Jan"/>
    <n v="7.0000000000000007E-2"/>
    <x v="8"/>
    <s v="Yes"/>
    <s v="IAS"/>
    <x v="2"/>
    <s v="Friday"/>
  </r>
  <r>
    <d v="2024-02-16T00:00:00"/>
    <x v="26"/>
    <s v="IAS/BAS Preparation &amp; Lodgement - Jan"/>
    <n v="0.1"/>
    <x v="31"/>
    <s v="Yes"/>
    <s v="IAS"/>
    <x v="2"/>
    <s v="Friday"/>
  </r>
  <r>
    <d v="2024-02-16T00:00:00"/>
    <x v="26"/>
    <s v="IAS/BAS Preparation &amp; Lodgement - Jan"/>
    <n v="0.13"/>
    <x v="66"/>
    <s v="Yes"/>
    <s v="IAS"/>
    <x v="2"/>
    <s v="Friday"/>
  </r>
  <r>
    <d v="2024-02-16T00:00:00"/>
    <x v="26"/>
    <s v="IAS/BAS Preparation &amp; Lodgement - Oct-Dec"/>
    <n v="7.0000000000000007E-2"/>
    <x v="6"/>
    <s v="Yes"/>
    <s v="Email and updates"/>
    <x v="2"/>
    <s v="Friday"/>
  </r>
  <r>
    <d v="2024-02-16T00:00:00"/>
    <x v="26"/>
    <s v="IAS/BAS Preparation &amp; Lodgement - Oct-Dec"/>
    <n v="0.1"/>
    <x v="18"/>
    <s v="Yes"/>
    <s v="Checklist"/>
    <x v="2"/>
    <s v="Friday"/>
  </r>
  <r>
    <d v="2024-02-16T00:00:00"/>
    <x v="26"/>
    <s v="IAS/BAS Preparation &amp; Lodgement - Oct-Dec"/>
    <n v="0.42"/>
    <x v="57"/>
    <s v="Yes"/>
    <s v="BAS"/>
    <x v="2"/>
    <s v="Friday"/>
  </r>
  <r>
    <d v="2024-02-16T00:00:00"/>
    <x v="26"/>
    <s v="IAS/BAS Preparation &amp; Lodgement - Oct-Dec"/>
    <n v="0.82"/>
    <x v="68"/>
    <s v="Yes"/>
    <s v="Initial BAS review, follow up email, giving resolution for BAS deadline and BAS findings, update ASANA and inform Shalini too"/>
    <x v="2"/>
    <s v="Friday"/>
  </r>
  <r>
    <d v="2024-02-16T00:00:00"/>
    <x v="26"/>
    <s v="IAS/BAS Preparation &amp; Lodgement - Oct-Dec"/>
    <n v="1.02"/>
    <x v="34"/>
    <s v="Yes"/>
    <s v="BAS"/>
    <x v="2"/>
    <s v="Friday"/>
  </r>
  <r>
    <d v="2024-02-16T00:00:00"/>
    <x v="26"/>
    <s v="IAS/BAS Preparation &amp; Lodgement - Oct-Dec"/>
    <n v="1.53"/>
    <x v="98"/>
    <s v="Yes"/>
    <s v="BAS"/>
    <x v="2"/>
    <s v="Friday"/>
  </r>
  <r>
    <d v="2024-02-16T00:00:00"/>
    <x v="26"/>
    <s v="IAS/BAS Preparation &amp; Lodgement - Oct-Dec"/>
    <n v="1.55"/>
    <x v="57"/>
    <s v="Yes"/>
    <s v="BAS conti. and further digging of variance. Year 2022 and sent an email to Sarah and give a resolution/"/>
    <x v="2"/>
    <s v="Friday"/>
  </r>
  <r>
    <d v="2024-02-16T00:00:00"/>
    <x v="26"/>
    <s v="IT"/>
    <n v="0.48"/>
    <x v="12"/>
    <s v="No"/>
    <s v="Google sheet and Excell app issue. Already raised to IT team"/>
    <x v="2"/>
    <s v="Friday"/>
  </r>
  <r>
    <d v="2024-02-16T00:00:00"/>
    <x v="26"/>
    <s v="Tax Admin"/>
    <n v="0.28000000000000003"/>
    <x v="12"/>
    <s v="No"/>
    <s v="Email. ARC clients and Teams Bern"/>
    <x v="2"/>
    <s v="Friday"/>
  </r>
  <r>
    <d v="2024-02-16T00:00:00"/>
    <x v="26"/>
    <s v="Tax Admin"/>
    <n v="0.65"/>
    <x v="12"/>
    <s v="No"/>
    <s v="Morning email, ASANA message, updates XPM and Teams"/>
    <x v="2"/>
    <s v="Friday"/>
  </r>
  <r>
    <d v="2024-02-16T00:00:00"/>
    <x v="28"/>
    <s v="Bookkeeping"/>
    <n v="1.1200000000000001"/>
    <x v="16"/>
    <s v="Yes"/>
    <m/>
    <x v="2"/>
    <s v="Friday"/>
  </r>
  <r>
    <d v="2024-02-16T00:00:00"/>
    <x v="28"/>
    <s v="Bookkeeping"/>
    <n v="3.28"/>
    <x v="18"/>
    <s v="Yes"/>
    <m/>
    <x v="2"/>
    <s v="Friday"/>
  </r>
  <r>
    <d v="2024-02-16T00:00:00"/>
    <x v="28"/>
    <s v="General"/>
    <n v="0.32"/>
    <x v="12"/>
    <s v="No"/>
    <s v="Asana, emails"/>
    <x v="2"/>
    <s v="Friday"/>
  </r>
  <r>
    <d v="2024-02-16T00:00:00"/>
    <x v="28"/>
    <s v="IT"/>
    <n v="1.82"/>
    <x v="12"/>
    <s v="No"/>
    <s v="Fixing mailbox - issue in receiving emails"/>
    <x v="2"/>
    <s v="Friday"/>
  </r>
  <r>
    <d v="2024-02-16T00:00:00"/>
    <x v="28"/>
    <s v="Meetings"/>
    <n v="1.55"/>
    <x v="12"/>
    <s v="No"/>
    <s v="weekly huddle including email issue resolution"/>
    <x v="2"/>
    <s v="Friday"/>
  </r>
  <r>
    <d v="2024-02-16T00:00:00"/>
    <x v="30"/>
    <s v="Debt Collection"/>
    <n v="3"/>
    <x v="12"/>
    <s v="Yes"/>
    <m/>
    <x v="2"/>
    <s v="Friday"/>
  </r>
  <r>
    <d v="2024-02-16T00:00:00"/>
    <x v="30"/>
    <s v="Debt Collection"/>
    <n v="4"/>
    <x v="16"/>
    <s v="Yes"/>
    <m/>
    <x v="2"/>
    <s v="Friday"/>
  </r>
  <r>
    <d v="2024-02-16T00:00:00"/>
    <x v="30"/>
    <s v="Meetings"/>
    <n v="1"/>
    <x v="12"/>
    <s v="No"/>
    <s v="Huddle"/>
    <x v="2"/>
    <s v="Friday"/>
  </r>
  <r>
    <d v="2024-02-16T00:00:00"/>
    <x v="31"/>
    <s v="Bookkeeping"/>
    <n v="0.22"/>
    <x v="16"/>
    <s v="Yes"/>
    <s v="Review"/>
    <x v="2"/>
    <s v="Friday"/>
  </r>
  <r>
    <d v="2024-02-16T00:00:00"/>
    <x v="31"/>
    <s v="Bookkeeping"/>
    <n v="1.1499999999999999"/>
    <x v="16"/>
    <s v="Yes"/>
    <s v="emails / customer onboarding"/>
    <x v="2"/>
    <s v="Friday"/>
  </r>
  <r>
    <d v="2024-02-16T00:00:00"/>
    <x v="31"/>
    <s v="Client Meeting"/>
    <n v="0.52"/>
    <x v="16"/>
    <s v="Yes"/>
    <s v="AP weekly meeting"/>
    <x v="2"/>
    <s v="Friday"/>
  </r>
  <r>
    <d v="2024-02-16T00:00:00"/>
    <x v="31"/>
    <s v="General"/>
    <n v="0.42"/>
    <x v="12"/>
    <s v="No"/>
    <s v="CF / emails"/>
    <x v="2"/>
    <s v="Friday"/>
  </r>
  <r>
    <d v="2024-02-16T00:00:00"/>
    <x v="31"/>
    <s v="General"/>
    <n v="1.5"/>
    <x v="12"/>
    <s v="No"/>
    <s v="BDO visit / Mel catch up"/>
    <x v="2"/>
    <s v="Friday"/>
  </r>
  <r>
    <d v="2024-02-16T00:00:00"/>
    <x v="31"/>
    <s v="General"/>
    <n v="2.15"/>
    <x v="12"/>
    <s v="No"/>
    <s v="call with Sherly / emails / Compliance "/>
    <x v="2"/>
    <s v="Friday"/>
  </r>
  <r>
    <d v="2024-02-16T00:00:00"/>
    <x v="31"/>
    <s v="Management Reporting"/>
    <n v="0.8"/>
    <x v="12"/>
    <s v="No"/>
    <s v="CF client list"/>
    <x v="2"/>
    <s v="Friday"/>
  </r>
  <r>
    <d v="2024-02-16T00:00:00"/>
    <x v="31"/>
    <s v="Management Reporting"/>
    <n v="0.87"/>
    <x v="16"/>
    <s v="Yes"/>
    <s v="month-end / call with BIT"/>
    <x v="2"/>
    <s v="Friday"/>
  </r>
  <r>
    <d v="2024-02-16T00:00:00"/>
    <x v="32"/>
    <s v="Bookkeeping"/>
    <n v="2.65"/>
    <x v="51"/>
    <s v="Yes"/>
    <s v="Check and approving sales to A2X Import PAYPAL currencies Edited Clearing Account International  -Afterpay and Shopify Prepared Clearing report  -Paypal Domestic -Paypal International -Shopify Installment"/>
    <x v="2"/>
    <s v="Friday"/>
  </r>
  <r>
    <d v="2024-02-16T00:00:00"/>
    <x v="32"/>
    <s v="Bookkeeping"/>
    <n v="3.75"/>
    <x v="51"/>
    <s v="Yes"/>
    <s v="Email Management Bills raise to xero and make plan date for payment Bank reconciliation to BM  Importing CBA 7334 and reconciled Bank Reconciliation LOC Inc "/>
    <x v="2"/>
    <s v="Friday"/>
  </r>
  <r>
    <d v="2024-02-16T00:00:00"/>
    <x v="32"/>
    <s v="Client Meeting"/>
    <n v="0.35"/>
    <x v="51"/>
    <s v="No"/>
    <s v="Catch up with Ms. Rose with LOC status and updates - non billable"/>
    <x v="2"/>
    <s v="Friday"/>
  </r>
  <r>
    <d v="2024-02-16T00:00:00"/>
    <x v="32"/>
    <s v="General"/>
    <n v="0.5"/>
    <x v="12"/>
    <s v="No"/>
    <s v="Break"/>
    <x v="2"/>
    <s v="Friday"/>
  </r>
  <r>
    <d v="2024-02-16T00:00:00"/>
    <x v="32"/>
    <s v="Meetings"/>
    <n v="0.83"/>
    <x v="12"/>
    <s v="No"/>
    <s v="Huddle"/>
    <x v="2"/>
    <s v="Friday"/>
  </r>
  <r>
    <d v="2024-02-16T00:00:00"/>
    <x v="33"/>
    <s v="IT"/>
    <n v="9"/>
    <x v="12"/>
    <s v="No"/>
    <s v="Support with the Team"/>
    <x v="2"/>
    <s v="Friday"/>
  </r>
  <r>
    <d v="2024-02-16T00:00:00"/>
    <x v="34"/>
    <s v="Bookkeeping"/>
    <n v="1.87"/>
    <x v="15"/>
    <s v="Yes"/>
    <s v="Email Management Bills Processing"/>
    <x v="2"/>
    <s v="Friday"/>
  </r>
  <r>
    <d v="2024-02-16T00:00:00"/>
    <x v="34"/>
    <s v="Bookkeeping"/>
    <n v="3.2"/>
    <x v="52"/>
    <s v="Yes"/>
    <s v="Email Management Bills Processing  Bank/Credit Card Recon"/>
    <x v="2"/>
    <s v="Friday"/>
  </r>
  <r>
    <d v="2024-02-16T00:00:00"/>
    <x v="34"/>
    <s v="General"/>
    <n v="0.87"/>
    <x v="12"/>
    <s v="No"/>
    <s v="Monthly Catch up with Ann   Team Ann Weekly Huddle  Email Management Asana Task Clean up"/>
    <x v="2"/>
    <s v="Friday"/>
  </r>
  <r>
    <d v="2024-02-16T00:00:00"/>
    <x v="34"/>
    <s v="General"/>
    <n v="2.1"/>
    <x v="12"/>
    <s v="No"/>
    <m/>
    <x v="2"/>
    <s v="Friday"/>
  </r>
  <r>
    <d v="2024-02-16T00:00:00"/>
    <x v="35"/>
    <s v="Accounts"/>
    <n v="0.2"/>
    <x v="12"/>
    <s v="No"/>
    <s v="Emma M. updated Ezidebit"/>
    <x v="2"/>
    <s v="Friday"/>
  </r>
  <r>
    <d v="2024-02-16T00:00:00"/>
    <x v="35"/>
    <s v="Accounts"/>
    <n v="0.35"/>
    <x v="12"/>
    <s v="No"/>
    <s v="Fixed Ezidebit balances"/>
    <x v="2"/>
    <s v="Friday"/>
  </r>
  <r>
    <d v="2024-02-16T00:00:00"/>
    <x v="35"/>
    <s v="Accounts"/>
    <n v="0.47"/>
    <x v="53"/>
    <s v="No"/>
    <s v="Update bills and request to Nick for payments via BDO"/>
    <x v="2"/>
    <s v="Friday"/>
  </r>
  <r>
    <d v="2024-02-16T00:00:00"/>
    <x v="35"/>
    <s v="Accounts"/>
    <n v="0.65"/>
    <x v="12"/>
    <s v="No"/>
    <s v="Catch up emails and respond. Setup refund and other details."/>
    <x v="2"/>
    <s v="Friday"/>
  </r>
  <r>
    <d v="2024-02-16T00:00:00"/>
    <x v="35"/>
    <s v="Accounts"/>
    <n v="0.92"/>
    <x v="12"/>
    <s v="No"/>
    <s v="Catch up emails/update bank recs/Check with Shalini re: Ezidebit/Coordinate with Sylvie re: Capspace"/>
    <x v="2"/>
    <s v="Friday"/>
  </r>
  <r>
    <d v="2024-02-16T00:00:00"/>
    <x v="35"/>
    <s v="Accounts"/>
    <n v="3.48"/>
    <x v="12"/>
    <s v="No"/>
    <s v="Cash Flow updating"/>
    <x v="2"/>
    <s v="Friday"/>
  </r>
  <r>
    <d v="2024-02-16T00:00:00"/>
    <x v="35"/>
    <s v="General"/>
    <n v="1.97"/>
    <x v="53"/>
    <s v="No"/>
    <s v="Catch up with Ms Con/Go to BDO and Spaces Office and pick up documents"/>
    <x v="2"/>
    <s v="Friday"/>
  </r>
  <r>
    <d v="2024-02-16T00:00:00"/>
    <x v="36"/>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s v="Friday"/>
  </r>
  <r>
    <d v="2024-02-16T00:00:00"/>
    <x v="37"/>
    <s v="Bookkeeping"/>
    <n v="0.25"/>
    <x v="83"/>
    <s v="Yes"/>
    <m/>
    <x v="2"/>
    <s v="Friday"/>
  </r>
  <r>
    <d v="2024-02-16T00:00:00"/>
    <x v="37"/>
    <s v="Bookkeeping"/>
    <n v="0.5"/>
    <x v="84"/>
    <s v="Yes"/>
    <s v="processing supplier bills and bank reco"/>
    <x v="2"/>
    <s v="Friday"/>
  </r>
  <r>
    <d v="2024-02-16T00:00:00"/>
    <x v="37"/>
    <s v="Bookkeeping"/>
    <n v="0.5"/>
    <x v="59"/>
    <s v="Yes"/>
    <m/>
    <x v="2"/>
    <s v="Friday"/>
  </r>
  <r>
    <d v="2024-02-16T00:00:00"/>
    <x v="37"/>
    <s v="Bookkeeping"/>
    <n v="0.5"/>
    <x v="85"/>
    <s v="Yes"/>
    <m/>
    <x v="2"/>
    <s v="Friday"/>
  </r>
  <r>
    <d v="2024-02-16T00:00:00"/>
    <x v="37"/>
    <s v="Bookkeeping"/>
    <n v="2.5"/>
    <x v="19"/>
    <s v="Yes"/>
    <m/>
    <x v="2"/>
    <s v="Friday"/>
  </r>
  <r>
    <d v="2024-02-16T00:00:00"/>
    <x v="37"/>
    <s v="General"/>
    <n v="0.5"/>
    <x v="12"/>
    <s v="No"/>
    <s v="Dex emails and chat with Mark to resolve Sage login"/>
    <x v="2"/>
    <s v="Friday"/>
  </r>
  <r>
    <d v="2024-02-16T00:00:00"/>
    <x v="37"/>
    <s v="IAS/BAS Preparation &amp; Lodgement - Jan"/>
    <n v="0.25"/>
    <x v="86"/>
    <s v="Yes"/>
    <m/>
    <x v="2"/>
    <s v="Friday"/>
  </r>
  <r>
    <d v="2024-02-16T00:00:00"/>
    <x v="37"/>
    <s v="Payroll Processing"/>
    <n v="0.5"/>
    <x v="84"/>
    <s v="Yes"/>
    <s v="filing with ATO and emailing payslips for 4 orgs"/>
    <x v="2"/>
    <s v="Friday"/>
  </r>
  <r>
    <d v="2024-02-16T00:00:00"/>
    <x v="38"/>
    <s v="Client Manager"/>
    <n v="0.18"/>
    <x v="46"/>
    <s v="Yes"/>
    <s v="emails, teams, Asana"/>
    <x v="2"/>
    <s v="Friday"/>
  </r>
  <r>
    <d v="2024-02-16T00:00:00"/>
    <x v="38"/>
    <s v="Client Manager"/>
    <n v="0.18"/>
    <x v="2"/>
    <s v="No"/>
    <s v="Fathom learning"/>
    <x v="2"/>
    <s v="Friday"/>
  </r>
  <r>
    <d v="2024-02-16T00:00:00"/>
    <x v="38"/>
    <s v="Client Manager"/>
    <n v="0.5"/>
    <x v="2"/>
    <s v="No"/>
    <s v="MtM manual journal  with Kate"/>
    <x v="2"/>
    <s v="Friday"/>
  </r>
  <r>
    <d v="2024-02-16T00:00:00"/>
    <x v="38"/>
    <s v="Client Manager"/>
    <n v="3.48"/>
    <x v="2"/>
    <s v="Yes"/>
    <s v="month end"/>
    <x v="2"/>
    <s v="Friday"/>
  </r>
  <r>
    <d v="2024-02-16T00:00:00"/>
    <x v="38"/>
    <s v="General"/>
    <n v="1.23"/>
    <x v="12"/>
    <s v="No"/>
    <s v="emails, teams, Asana"/>
    <x v="2"/>
    <s v="Friday"/>
  </r>
  <r>
    <d v="2024-02-16T00:00:00"/>
    <x v="38"/>
    <s v="Meetings"/>
    <n v="0.42"/>
    <x v="12"/>
    <s v="No"/>
    <s v="Fortnightly meeting with Alison"/>
    <x v="2"/>
    <s v="Friday"/>
  </r>
  <r>
    <d v="2024-02-16T00:00:00"/>
    <x v="39"/>
    <s v="Bookkeeping"/>
    <n v="0.27"/>
    <x v="35"/>
    <s v="Yes"/>
    <s v="email, AP, AR update"/>
    <x v="2"/>
    <s v="Friday"/>
  </r>
  <r>
    <d v="2024-02-16T00:00:00"/>
    <x v="39"/>
    <s v="Bookkeeping"/>
    <n v="0.33"/>
    <x v="55"/>
    <s v="Yes"/>
    <s v="AP"/>
    <x v="2"/>
    <s v="Friday"/>
  </r>
  <r>
    <d v="2024-02-16T00:00:00"/>
    <x v="39"/>
    <s v="Bookkeeping"/>
    <n v="0.57999999999999996"/>
    <x v="34"/>
    <s v="Yes"/>
    <m/>
    <x v="2"/>
    <s v="Friday"/>
  </r>
  <r>
    <d v="2024-02-16T00:00:00"/>
    <x v="39"/>
    <s v="Bookkeeping"/>
    <n v="0.62"/>
    <x v="55"/>
    <s v="Yes"/>
    <s v="iCare checking of payment plan fully overdue"/>
    <x v="2"/>
    <s v="Friday"/>
  </r>
  <r>
    <d v="2024-02-16T00:00:00"/>
    <x v="39"/>
    <s v="Bookkeeping"/>
    <n v="0.87"/>
    <x v="14"/>
    <s v="Yes"/>
    <s v="email"/>
    <x v="2"/>
    <s v="Friday"/>
  </r>
  <r>
    <d v="2024-02-16T00:00:00"/>
    <x v="39"/>
    <s v="Sick Leave"/>
    <n v="4"/>
    <x v="12"/>
    <s v="No"/>
    <m/>
    <x v="2"/>
    <s v="Friday"/>
  </r>
  <r>
    <d v="2024-02-16T00:00:00"/>
    <x v="40"/>
    <s v="Bookkeeping"/>
    <n v="0.68"/>
    <x v="50"/>
    <s v="Yes"/>
    <s v="OMS V25 setup"/>
    <x v="2"/>
    <s v="Friday"/>
  </r>
  <r>
    <d v="2024-02-16T00:00:00"/>
    <x v="40"/>
    <s v="Bookkeeping"/>
    <n v="4.4800000000000004"/>
    <x v="36"/>
    <s v="Yes"/>
    <s v="Adhoc reports Called Jeric for bank recs "/>
    <x v="2"/>
    <s v="Friday"/>
  </r>
  <r>
    <d v="2024-02-16T00:00:00"/>
    <x v="40"/>
    <s v="General"/>
    <n v="0.25"/>
    <x v="12"/>
    <s v="No"/>
    <s v="Dex  emails"/>
    <x v="2"/>
    <s v="Friday"/>
  </r>
  <r>
    <d v="2024-02-16T00:00:00"/>
    <x v="40"/>
    <s v="Sick Leave"/>
    <n v="4"/>
    <x v="12"/>
    <s v="No"/>
    <m/>
    <x v="2"/>
    <s v="Friday"/>
  </r>
  <r>
    <d v="2024-02-16T00:00:00"/>
    <x v="41"/>
    <s v="General"/>
    <n v="0.27"/>
    <x v="12"/>
    <s v="No"/>
    <s v="Staff onsite arrangement queries"/>
    <x v="2"/>
    <s v="Friday"/>
  </r>
  <r>
    <d v="2024-02-16T00:00:00"/>
    <x v="41"/>
    <s v="General"/>
    <n v="0.92"/>
    <x v="12"/>
    <s v="No"/>
    <s v="Xero certification continued"/>
    <x v="2"/>
    <s v="Friday"/>
  </r>
  <r>
    <d v="2024-02-16T00:00:00"/>
    <x v="41"/>
    <s v="General"/>
    <n v="1"/>
    <x v="12"/>
    <s v="No"/>
    <s v="XPM WIP"/>
    <x v="2"/>
    <s v="Friday"/>
  </r>
  <r>
    <d v="2024-02-16T00:00:00"/>
    <x v="41"/>
    <s v="General"/>
    <n v="2.33"/>
    <x v="12"/>
    <s v="No"/>
    <s v="Admin - staff inquiries, emails Continue WIP building via XPM Asana update"/>
    <x v="2"/>
    <s v="Friday"/>
  </r>
  <r>
    <d v="2024-02-16T00:00:00"/>
    <x v="41"/>
    <s v="General"/>
    <n v="3.08"/>
    <x v="12"/>
    <s v="No"/>
    <s v="Timesheet cutoff review Capacity weekly update Attending to CPR review query from Nick Staff approvals on sprout Asana update Files cleanup"/>
    <x v="2"/>
    <s v="Friday"/>
  </r>
  <r>
    <d v="2024-02-16T00:00:00"/>
    <x v="41"/>
    <s v="Meetings"/>
    <n v="0.28000000000000003"/>
    <x v="12"/>
    <s v="No"/>
    <s v="Meeting new CM Sherly"/>
    <x v="2"/>
    <s v="Friday"/>
  </r>
  <r>
    <d v="2024-02-16T00:00:00"/>
    <x v="41"/>
    <s v="Meetings"/>
    <n v="0.5"/>
    <x v="12"/>
    <s v="No"/>
    <s v="Call with Jordan re:  Multiple filters and WIP"/>
    <x v="2"/>
    <s v="Friday"/>
  </r>
  <r>
    <d v="2024-02-16T00:00:00"/>
    <x v="41"/>
    <s v="Meetings"/>
    <n v="0.75"/>
    <x v="12"/>
    <s v="No"/>
    <s v="weekly hudle"/>
    <x v="2"/>
    <s v="Friday"/>
  </r>
  <r>
    <d v="2024-02-16T00:00:00"/>
    <x v="42"/>
    <s v="Bookkeeping"/>
    <n v="7.67"/>
    <x v="16"/>
    <s v="Yes"/>
    <m/>
    <x v="2"/>
    <s v="Friday"/>
  </r>
  <r>
    <d v="2024-02-16T00:00:00"/>
    <x v="42"/>
    <s v="Client Meeting"/>
    <n v="0.5"/>
    <x v="16"/>
    <s v="Yes"/>
    <s v="Alliance SI - Weekly Huddle"/>
    <x v="2"/>
    <s v="Friday"/>
  </r>
  <r>
    <d v="2024-02-16T00:00:00"/>
    <x v="42"/>
    <s v="Meetings"/>
    <n v="0.75"/>
    <x v="12"/>
    <s v="No"/>
    <s v="Weekly Team RJ huddle"/>
    <x v="2"/>
    <s v="Friday"/>
  </r>
  <r>
    <d v="2024-02-16T00:00:00"/>
    <x v="43"/>
    <s v="Bookkeeping"/>
    <n v="0.57999999999999996"/>
    <x v="51"/>
    <s v="Yes"/>
    <s v="Catch up Maan re month end and other queries"/>
    <x v="2"/>
    <s v="Friday"/>
  </r>
  <r>
    <d v="2024-02-16T00:00:00"/>
    <x v="43"/>
    <s v="Bookkeeping"/>
    <n v="0.92"/>
    <x v="73"/>
    <s v="Yes"/>
    <s v="Enter weekly spreadsheet backlog, recon cash on hand"/>
    <x v="2"/>
    <s v="Friday"/>
  </r>
  <r>
    <d v="2024-02-16T00:00:00"/>
    <x v="43"/>
    <s v="Bookkeeping"/>
    <n v="1.1499999999999999"/>
    <x v="74"/>
    <s v="Yes"/>
    <s v="Enter bank recon, weekly spreadsheet, reconcile"/>
    <x v="2"/>
    <s v="Friday"/>
  </r>
  <r>
    <d v="2024-02-16T00:00:00"/>
    <x v="43"/>
    <s v="Bookkeeping"/>
    <n v="1.2"/>
    <x v="75"/>
    <s v="Yes"/>
    <s v="Handover entering of weekly spreadsheet and cash on hand recon to Ge"/>
    <x v="2"/>
    <s v="Friday"/>
  </r>
  <r>
    <d v="2024-02-16T00:00:00"/>
    <x v="43"/>
    <s v="General"/>
    <n v="0.5"/>
    <x v="12"/>
    <s v="No"/>
    <s v="Break"/>
    <x v="2"/>
    <s v="Friday"/>
  </r>
  <r>
    <d v="2024-02-16T00:00:00"/>
    <x v="43"/>
    <s v="General"/>
    <n v="0.63"/>
    <x v="12"/>
    <s v="No"/>
    <s v="Morning emails, sort out asana tasks from April."/>
    <x v="2"/>
    <s v="Friday"/>
  </r>
  <r>
    <d v="2024-02-16T00:00:00"/>
    <x v="43"/>
    <s v="IAS/BAS Preparation &amp; Lodgement - Oct-Dec"/>
    <n v="0.4"/>
    <x v="89"/>
    <s v="Yes"/>
    <s v="Coho and Port Stephens - GST review and BAS checklist"/>
    <x v="2"/>
    <s v="Friday"/>
  </r>
  <r>
    <d v="2024-02-16T00:00:00"/>
    <x v="43"/>
    <s v="Learning &amp; Development"/>
    <n v="1.43"/>
    <x v="12"/>
    <s v="No"/>
    <s v="Wyzed training"/>
    <x v="2"/>
    <s v="Friday"/>
  </r>
  <r>
    <d v="2024-02-16T00:00:00"/>
    <x v="43"/>
    <s v="Meetings"/>
    <n v="1.03"/>
    <x v="12"/>
    <s v="No"/>
    <s v="Team huddle"/>
    <x v="2"/>
    <s v="Friday"/>
  </r>
  <r>
    <d v="2024-02-16T00:00:00"/>
    <x v="43"/>
    <s v="Payroll Processing"/>
    <n v="0.13"/>
    <x v="81"/>
    <s v="Yes"/>
    <s v="Refresher with Jeric to cover on Monday"/>
    <x v="2"/>
    <s v="Friday"/>
  </r>
  <r>
    <d v="2024-02-16T00:00:00"/>
    <x v="43"/>
    <s v="Payroll Processing"/>
    <n v="0.35"/>
    <x v="16"/>
    <s v="Yes"/>
    <s v="Action payroll emails"/>
    <x v="2"/>
    <s v="Friday"/>
  </r>
  <r>
    <d v="2024-02-16T00:00:00"/>
    <x v="44"/>
    <s v="Out-of-Scope Services"/>
    <n v="0.17"/>
    <x v="45"/>
    <s v="Yes"/>
    <s v="Check business names registered for Upstage and trademarked. Email Tien to advise we will transfer Up Stage World to Upstage World Pty Ltd and ask if she would also like to register the business name Upstage World"/>
    <x v="2"/>
    <s v="Friday"/>
  </r>
  <r>
    <d v="2024-02-16T00:00:00"/>
    <x v="44"/>
    <s v="Tax Admin"/>
    <n v="0.17"/>
    <x v="12"/>
    <s v="No"/>
    <s v="Check ATO remissions granted for ACN 078 081 893 Pty Limited and update Shalini so that she can (hopefully). invoice part of funds deposited by Bryan "/>
    <x v="2"/>
    <s v="Friday"/>
  </r>
  <r>
    <d v="2024-02-16T00:00:00"/>
    <x v="45"/>
    <s v="Bookkeeping"/>
    <n v="0.47"/>
    <x v="50"/>
    <s v="Yes"/>
    <s v="Finish process doc for BASS expense claims report"/>
    <x v="2"/>
    <s v="Friday"/>
  </r>
  <r>
    <d v="2024-02-16T00:00:00"/>
    <x v="45"/>
    <s v="Bookkeeping"/>
    <n v="0.82"/>
    <x v="57"/>
    <s v="Yes"/>
    <s v="AP and bank rec review Cashflow review Upload payments in Westpac"/>
    <x v="2"/>
    <s v="Friday"/>
  </r>
  <r>
    <d v="2024-02-16T00:00:00"/>
    <x v="45"/>
    <s v="Bookkeeping"/>
    <n v="2.5299999999999998"/>
    <x v="50"/>
    <s v="Yes"/>
    <s v="Inbox management AP and bank rec Process docs Raise invoice (AR)"/>
    <x v="2"/>
    <s v="Friday"/>
  </r>
  <r>
    <d v="2024-02-16T00:00:00"/>
    <x v="45"/>
    <s v="General"/>
    <n v="0.5"/>
    <x v="12"/>
    <s v="No"/>
    <s v="Paid break"/>
    <x v="2"/>
    <s v="Friday"/>
  </r>
  <r>
    <d v="2024-02-16T00:00:00"/>
    <x v="45"/>
    <s v="IAS/BAS Preparation &amp; Lodgement - Jan"/>
    <n v="7.0000000000000007E-2"/>
    <x v="58"/>
    <s v="Yes"/>
    <s v="Prepare payroll report"/>
    <x v="2"/>
    <s v="Friday"/>
  </r>
  <r>
    <d v="2024-02-16T00:00:00"/>
    <x v="45"/>
    <s v="IAS/BAS Preparation &amp; Lodgement - Jan"/>
    <n v="0.08"/>
    <x v="71"/>
    <s v="Yes"/>
    <s v="Prepare payroll report"/>
    <x v="2"/>
    <s v="Friday"/>
  </r>
  <r>
    <d v="2024-02-16T00:00:00"/>
    <x v="45"/>
    <s v="Management Reporting"/>
    <n v="0.5"/>
    <x v="71"/>
    <s v="Yes"/>
    <s v="Balance sheet reconciliation"/>
    <x v="2"/>
    <s v="Friday"/>
  </r>
  <r>
    <d v="2024-02-16T00:00:00"/>
    <x v="45"/>
    <s v="Meetings"/>
    <n v="0.83"/>
    <x v="12"/>
    <s v="No"/>
    <s v="Team RJ huddle"/>
    <x v="2"/>
    <s v="Friday"/>
  </r>
  <r>
    <d v="2024-02-16T00:00:00"/>
    <x v="45"/>
    <s v="Payroll Processing"/>
    <n v="0.03"/>
    <x v="24"/>
    <s v="Yes"/>
    <s v="Email payslips and file STP"/>
    <x v="2"/>
    <s v="Friday"/>
  </r>
  <r>
    <d v="2024-02-16T00:00:00"/>
    <x v="45"/>
    <s v="Payroll Processing"/>
    <n v="0.72"/>
    <x v="70"/>
    <s v="Yes"/>
    <s v="Process and resend revised payslip"/>
    <x v="2"/>
    <s v="Friday"/>
  </r>
  <r>
    <d v="2024-02-16T00:00:00"/>
    <x v="45"/>
    <s v="Payroll Processing"/>
    <n v="0.72"/>
    <x v="70"/>
    <s v="Yes"/>
    <s v="Send out payslips"/>
    <x v="2"/>
    <s v="Friday"/>
  </r>
  <r>
    <d v="2024-02-16T00:00:00"/>
    <x v="45"/>
    <s v="Payroll Processing"/>
    <n v="0.77"/>
    <x v="70"/>
    <s v="Yes"/>
    <s v="STP reconciliation and lodgment Gross wage and AL balance reconciliation Query sent to Wayne about AL YTD balance in payslip"/>
    <x v="2"/>
    <s v="Friday"/>
  </r>
  <r>
    <d v="2024-02-16T00:00:00"/>
    <x v="46"/>
    <s v="Client Manager"/>
    <n v="0.5"/>
    <x v="72"/>
    <s v="Yes"/>
    <s v="Check on portal re activity statement for Jan 2024. Various email correspondence with Rose re lodgement, advised to send payroll report to the other accountant for lodgement due to issues at our end"/>
    <x v="2"/>
    <s v="Friday"/>
  </r>
  <r>
    <d v="2024-02-16T00:00:00"/>
    <x v="46"/>
    <s v="Client Manager"/>
    <n v="0.5"/>
    <x v="8"/>
    <s v="Yes"/>
    <s v="Email to James re ATO payment plan, previous correspondence with client and ATO etc. "/>
    <x v="2"/>
    <s v="Friday"/>
  </r>
  <r>
    <d v="2024-02-16T00:00:00"/>
    <x v="46"/>
    <s v="General"/>
    <n v="4"/>
    <x v="12"/>
    <s v="No"/>
    <s v="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
    <x v="2"/>
    <s v="Friday"/>
  </r>
  <r>
    <d v="2024-02-16T00:00:00"/>
    <x v="46"/>
    <s v="IAS/BAS Preparation &amp; Lodgement - Jan"/>
    <n v="0.17"/>
    <x v="66"/>
    <s v="Yes"/>
    <s v="Jan 2024 IAS review and lodgement"/>
    <x v="2"/>
    <s v="Friday"/>
  </r>
  <r>
    <d v="2024-02-16T00:00:00"/>
    <x v="46"/>
    <s v="IAS/BAS Preparation &amp; Lodgement - Oct-Dec"/>
    <n v="0.33"/>
    <x v="111"/>
    <s v="Yes"/>
    <s v="Dec 2023 quarter BAS review and lodgement"/>
    <x v="2"/>
    <s v="Friday"/>
  </r>
  <r>
    <d v="2024-02-16T00:00:00"/>
    <x v="46"/>
    <s v="IAS/BAS Preparation &amp; Lodgement - Oct-Dec"/>
    <n v="0.33"/>
    <x v="18"/>
    <s v="Yes"/>
    <s v="Dec 2023 quarter BAS review and lodgement"/>
    <x v="2"/>
    <s v="Friday"/>
  </r>
  <r>
    <d v="2024-02-16T00:00:00"/>
    <x v="46"/>
    <s v="IAS/BAS Preparation &amp; Lodgement - Oct-Dec"/>
    <n v="0.5"/>
    <x v="6"/>
    <s v="Yes"/>
    <s v="Review of BAS for Dec 2023 quarter. Review transaction for shop sales, MV claim, disposal journal in Xero, send feedback to Elena/Ann to update"/>
    <x v="2"/>
    <s v="Friday"/>
  </r>
  <r>
    <d v="2024-02-16T00:00:00"/>
    <x v="46"/>
    <s v="Meetings"/>
    <n v="0.75"/>
    <x v="12"/>
    <s v="No"/>
    <s v="CET weekly meeting"/>
    <x v="2"/>
    <s v="Friday"/>
  </r>
  <r>
    <d v="2024-02-16T00:00:00"/>
    <x v="46"/>
    <s v="Meetings"/>
    <n v="0.75"/>
    <x v="12"/>
    <s v="No"/>
    <s v="Meeting with Shirley"/>
    <x v="2"/>
    <s v="Friday"/>
  </r>
  <r>
    <d v="2024-02-16T00:00:00"/>
    <x v="53"/>
    <s v="General"/>
    <n v="0.83"/>
    <x v="12"/>
    <s v="No"/>
    <s v="training course"/>
    <x v="2"/>
    <s v="Friday"/>
  </r>
  <r>
    <d v="2024-02-16T00:00:00"/>
    <x v="53"/>
    <s v="General"/>
    <n v="3.8"/>
    <x v="12"/>
    <s v="No"/>
    <s v="IT assist on camera issue"/>
    <x v="2"/>
    <s v="Friday"/>
  </r>
  <r>
    <d v="2024-02-16T00:00:00"/>
    <x v="53"/>
    <s v="Meetings"/>
    <n v="0.25"/>
    <x v="12"/>
    <s v="No"/>
    <s v="Meet up with IT Jordan"/>
    <x v="2"/>
    <s v="Friday"/>
  </r>
  <r>
    <d v="2024-02-16T00:00:00"/>
    <x v="53"/>
    <s v="Meetings"/>
    <n v="0.33"/>
    <x v="12"/>
    <s v="No"/>
    <s v="Meet up with Team leads Ann and Ralph"/>
    <x v="2"/>
    <s v="Friday"/>
  </r>
  <r>
    <d v="2024-02-16T00:00:00"/>
    <x v="53"/>
    <s v="Meetings"/>
    <n v="0.67"/>
    <x v="12"/>
    <s v="No"/>
    <s v="Meet up with Admin Asst Gen"/>
    <x v="2"/>
    <s v="Friday"/>
  </r>
  <r>
    <d v="2024-02-16T00:00:00"/>
    <x v="53"/>
    <s v="Meetings"/>
    <n v="1.05"/>
    <x v="12"/>
    <s v="No"/>
    <s v="Intro meeting with Shalini"/>
    <x v="2"/>
    <s v="Friday"/>
  </r>
  <r>
    <d v="2024-02-16T00:00:00"/>
    <x v="53"/>
    <s v="Meetings"/>
    <n v="1.1000000000000001"/>
    <x v="12"/>
    <s v="No"/>
    <s v="Client Onboarding Overview with Kate"/>
    <x v="2"/>
    <s v="Friday"/>
  </r>
  <r>
    <d v="2024-02-16T00:00:00"/>
    <x v="47"/>
    <s v="Bookkeeping"/>
    <n v="0.2"/>
    <x v="50"/>
    <s v="Yes"/>
    <s v="Pmt BLM SDL"/>
    <x v="2"/>
    <s v="Friday"/>
  </r>
  <r>
    <d v="2024-02-16T00:00:00"/>
    <x v="47"/>
    <s v="Client Admin"/>
    <n v="0.6"/>
    <x v="12"/>
    <s v="No"/>
    <s v="Capspace fixed fees discussion, review and send actual time invoice"/>
    <x v="2"/>
    <s v="Friday"/>
  </r>
  <r>
    <d v="2024-02-16T00:00:00"/>
    <x v="47"/>
    <s v="Client Manager"/>
    <n v="0.8"/>
    <x v="50"/>
    <s v="Yes"/>
    <s v="emails, Yubikey, new westpac A/C, AP, "/>
    <x v="2"/>
    <s v="Friday"/>
  </r>
  <r>
    <d v="2024-02-16T00:00:00"/>
    <x v="47"/>
    <s v="General"/>
    <n v="0.9"/>
    <x v="12"/>
    <s v="No"/>
    <s v="Finalise weekly timesheet, update Asana, emails, Teans"/>
    <x v="2"/>
    <s v="Friday"/>
  </r>
  <r>
    <d v="2024-02-16T00:00:00"/>
    <x v="47"/>
    <s v="Management Reporting"/>
    <n v="0.73"/>
    <x v="64"/>
    <s v="Yes"/>
    <m/>
    <x v="2"/>
    <s v="Friday"/>
  </r>
  <r>
    <d v="2024-02-16T00:00:00"/>
    <x v="47"/>
    <s v="Management Reporting"/>
    <n v="1.5"/>
    <x v="64"/>
    <s v="Yes"/>
    <s v="Consolidated P&amp;L"/>
    <x v="2"/>
    <s v="Friday"/>
  </r>
  <r>
    <d v="2024-02-16T00:00:00"/>
    <x v="52"/>
    <s v="Automations"/>
    <n v="1"/>
    <x v="12"/>
    <s v="No"/>
    <s v="BAS Automation"/>
    <x v="2"/>
    <s v="Friday"/>
  </r>
  <r>
    <d v="2024-02-16T00:00:00"/>
    <x v="48"/>
    <s v="General"/>
    <n v="4"/>
    <x v="12"/>
    <s v="No"/>
    <e v="#NAME?"/>
    <x v="2"/>
    <s v="Friday"/>
  </r>
  <r>
    <d v="2024-02-16T00:00:00"/>
    <x v="48"/>
    <s v="HR/Recuitment"/>
    <n v="4"/>
    <x v="12"/>
    <s v="No"/>
    <m/>
    <x v="2"/>
    <s v="Friday"/>
  </r>
  <r>
    <d v="2024-02-19T00:00:00"/>
    <x v="0"/>
    <s v="Bookkeeping"/>
    <n v="7.0000000000000007E-2"/>
    <x v="2"/>
    <s v="Yes"/>
    <s v="Emails"/>
    <x v="3"/>
    <s v="Monday"/>
  </r>
  <r>
    <d v="2024-02-19T00:00:00"/>
    <x v="0"/>
    <s v="Bookkeeping"/>
    <n v="7.0000000000000007E-2"/>
    <x v="6"/>
    <s v="Yes"/>
    <s v="Emails"/>
    <x v="3"/>
    <s v="Monday"/>
  </r>
  <r>
    <d v="2024-02-19T00:00:00"/>
    <x v="0"/>
    <s v="Bookkeeping"/>
    <n v="0.1"/>
    <x v="62"/>
    <s v="Yes"/>
    <s v="Accounts Payable"/>
    <x v="3"/>
    <s v="Monday"/>
  </r>
  <r>
    <d v="2024-02-19T00:00:00"/>
    <x v="0"/>
    <s v="Bookkeeping"/>
    <n v="0.1"/>
    <x v="2"/>
    <s v="Yes"/>
    <s v="Email and Review"/>
    <x v="3"/>
    <s v="Monday"/>
  </r>
  <r>
    <d v="2024-02-19T00:00:00"/>
    <x v="0"/>
    <s v="Bookkeeping"/>
    <n v="0.12"/>
    <x v="6"/>
    <s v="Yes"/>
    <s v="AP and Email/Inbox Management"/>
    <x v="3"/>
    <s v="Monday"/>
  </r>
  <r>
    <d v="2024-02-19T00:00:00"/>
    <x v="0"/>
    <s v="Bookkeeping"/>
    <n v="0.18"/>
    <x v="2"/>
    <s v="Yes"/>
    <s v="Check manual journals in Xero and Set lock dates in Xero"/>
    <x v="3"/>
    <s v="Monday"/>
  </r>
  <r>
    <d v="2024-02-19T00:00:00"/>
    <x v="0"/>
    <s v="Bookkeeping"/>
    <n v="0.2"/>
    <x v="4"/>
    <s v="Yes"/>
    <s v="Accounts Receivable"/>
    <x v="3"/>
    <s v="Monday"/>
  </r>
  <r>
    <d v="2024-02-19T00:00:00"/>
    <x v="0"/>
    <s v="Bookkeeping"/>
    <n v="0.25"/>
    <x v="1"/>
    <s v="Yes"/>
    <s v="Bank Reconciliation"/>
    <x v="3"/>
    <s v="Monday"/>
  </r>
  <r>
    <d v="2024-02-19T00:00:00"/>
    <x v="0"/>
    <s v="Bookkeeping"/>
    <n v="0.35"/>
    <x v="4"/>
    <s v="Yes"/>
    <s v="Bank Reconciliation"/>
    <x v="3"/>
    <s v="Monday"/>
  </r>
  <r>
    <d v="2024-02-19T00:00:00"/>
    <x v="0"/>
    <s v="Bookkeeping"/>
    <n v="0.48"/>
    <x v="62"/>
    <s v="Yes"/>
    <s v="Bank Reconciliation"/>
    <x v="3"/>
    <s v="Monday"/>
  </r>
  <r>
    <d v="2024-02-19T00:00:00"/>
    <x v="0"/>
    <s v="Bookkeeping"/>
    <n v="0.6"/>
    <x v="6"/>
    <s v="Yes"/>
    <s v="Bank Reconciliation, Check account transactions in MYOB, and Emails"/>
    <x v="3"/>
    <s v="Monday"/>
  </r>
  <r>
    <d v="2024-02-19T00:00:00"/>
    <x v="0"/>
    <s v="Bookkeeping"/>
    <n v="0.82"/>
    <x v="19"/>
    <s v="Yes"/>
    <s v="Enter bills in Sage"/>
    <x v="3"/>
    <s v="Monday"/>
  </r>
  <r>
    <d v="2024-02-19T00:00:00"/>
    <x v="0"/>
    <s v="Bookkeeping"/>
    <n v="0.83"/>
    <x v="8"/>
    <s v="Yes"/>
    <s v="Bank Reconciliation"/>
    <x v="3"/>
    <s v="Monday"/>
  </r>
  <r>
    <d v="2024-02-19T00:00:00"/>
    <x v="0"/>
    <s v="Bookkeeping"/>
    <n v="0.9"/>
    <x v="6"/>
    <s v="Yes"/>
    <s v="Bank Reconciliation"/>
    <x v="3"/>
    <s v="Monday"/>
  </r>
  <r>
    <d v="2024-02-19T00:00:00"/>
    <x v="0"/>
    <s v="General"/>
    <n v="0.25"/>
    <x v="12"/>
    <s v="No"/>
    <s v="Afternoon Break"/>
    <x v="3"/>
    <s v="Monday"/>
  </r>
  <r>
    <d v="2024-02-19T00:00:00"/>
    <x v="0"/>
    <s v="General"/>
    <n v="0.25"/>
    <x v="12"/>
    <s v="No"/>
    <s v="Morning Break"/>
    <x v="3"/>
    <s v="Monday"/>
  </r>
  <r>
    <d v="2024-02-19T00:00:00"/>
    <x v="0"/>
    <s v="Management Reporting"/>
    <n v="1.67"/>
    <x v="11"/>
    <s v="Yes"/>
    <s v="EOFY Checklist"/>
    <x v="3"/>
    <s v="Monday"/>
  </r>
  <r>
    <d v="2024-02-19T00:00:00"/>
    <x v="0"/>
    <s v="Payroll Processing"/>
    <n v="0.1"/>
    <x v="13"/>
    <s v="Yes"/>
    <s v="Email"/>
    <x v="3"/>
    <s v="Monday"/>
  </r>
  <r>
    <d v="2024-02-19T00:00:00"/>
    <x v="0"/>
    <s v="Payroll Processing"/>
    <n v="0.17"/>
    <x v="13"/>
    <s v="Yes"/>
    <s v="Emails"/>
    <x v="3"/>
    <s v="Monday"/>
  </r>
  <r>
    <d v="2024-02-19T00:00:00"/>
    <x v="0"/>
    <s v="Payroll Processing"/>
    <n v="0.5"/>
    <x v="11"/>
    <s v="Yes"/>
    <m/>
    <x v="3"/>
    <s v="Monday"/>
  </r>
  <r>
    <d v="2024-02-19T00:00:00"/>
    <x v="49"/>
    <s v="P&amp;C Advisory - Group"/>
    <n v="1"/>
    <x v="63"/>
    <s v="Yes"/>
    <s v="Goal setting workshop (and follow up correspondence and adding to intranet)"/>
    <x v="3"/>
    <s v="Monday"/>
  </r>
  <r>
    <d v="2024-02-19T00:00:00"/>
    <x v="49"/>
    <s v="P&amp;C Advisory - Nederman Mikropul"/>
    <n v="1"/>
    <x v="63"/>
    <s v="Yes"/>
    <s v="Exit Interview Acknowledgement of resignation"/>
    <x v="3"/>
    <s v="Monday"/>
  </r>
  <r>
    <d v="2024-02-19T00:00:00"/>
    <x v="49"/>
    <s v="P&amp;C Advisory - Nordfab"/>
    <n v="0.57999999999999996"/>
    <x v="63"/>
    <s v="Yes"/>
    <s v="Recruitment - employment contract, correspondence re. adverts, coordinating interviews"/>
    <x v="3"/>
    <s v="Monday"/>
  </r>
  <r>
    <d v="2024-02-19T00:00:00"/>
    <x v="1"/>
    <s v="Bookkeeping"/>
    <n v="0.43"/>
    <x v="14"/>
    <s v="Yes"/>
    <m/>
    <x v="3"/>
    <s v="Monday"/>
  </r>
  <r>
    <d v="2024-02-19T00:00:00"/>
    <x v="1"/>
    <s v="Bookkeeping"/>
    <n v="0.5"/>
    <x v="6"/>
    <s v="No"/>
    <s v="Queries on Dec 2023 BAS"/>
    <x v="3"/>
    <s v="Monday"/>
  </r>
  <r>
    <d v="2024-02-19T00:00:00"/>
    <x v="1"/>
    <s v="Bookkeeping"/>
    <n v="0.53"/>
    <x v="6"/>
    <s v="No"/>
    <s v="call with Mary - fix MV sale and disposal of asset"/>
    <x v="3"/>
    <s v="Monday"/>
  </r>
  <r>
    <d v="2024-02-19T00:00:00"/>
    <x v="1"/>
    <s v="Bookkeeping"/>
    <n v="0.93"/>
    <x v="15"/>
    <s v="Yes"/>
    <m/>
    <x v="3"/>
    <s v="Monday"/>
  </r>
  <r>
    <d v="2024-02-19T00:00:00"/>
    <x v="1"/>
    <s v="General"/>
    <n v="0.17"/>
    <x v="12"/>
    <s v="No"/>
    <s v="chats, concerns"/>
    <x v="3"/>
    <s v="Monday"/>
  </r>
  <r>
    <d v="2024-02-19T00:00:00"/>
    <x v="1"/>
    <s v="General"/>
    <n v="0.23"/>
    <x v="12"/>
    <s v="No"/>
    <s v="call with Mary re TGS"/>
    <x v="3"/>
    <s v="Monday"/>
  </r>
  <r>
    <d v="2024-02-19T00:00:00"/>
    <x v="1"/>
    <s v="General"/>
    <n v="0.25"/>
    <x v="12"/>
    <s v="No"/>
    <s v="chats re staff concerns"/>
    <x v="3"/>
    <s v="Monday"/>
  </r>
  <r>
    <d v="2024-02-19T00:00:00"/>
    <x v="1"/>
    <s v="General"/>
    <n v="0.55000000000000004"/>
    <x v="12"/>
    <s v="No"/>
    <s v="Ef's probationary review discussion and email to Z"/>
    <x v="3"/>
    <s v="Monday"/>
  </r>
  <r>
    <d v="2024-02-19T00:00:00"/>
    <x v="1"/>
    <s v="General"/>
    <n v="0.57999999999999996"/>
    <x v="12"/>
    <s v="No"/>
    <s v="chats, emails, Asana"/>
    <x v="3"/>
    <s v="Monday"/>
  </r>
  <r>
    <d v="2024-02-19T00:00:00"/>
    <x v="1"/>
    <s v="General"/>
    <n v="0.63"/>
    <x v="12"/>
    <s v="No"/>
    <s v="chats, break"/>
    <x v="3"/>
    <s v="Monday"/>
  </r>
  <r>
    <d v="2024-02-19T00:00:00"/>
    <x v="1"/>
    <s v="General"/>
    <n v="1.45"/>
    <x v="12"/>
    <s v="No"/>
    <s v="chats, emails on BAS queries and concerns, check BAS status and follow up with key persons, etc"/>
    <x v="3"/>
    <s v="Monday"/>
  </r>
  <r>
    <d v="2024-02-19T00:00:00"/>
    <x v="1"/>
    <s v="Learning &amp; Development"/>
    <n v="0.83"/>
    <x v="12"/>
    <s v="No"/>
    <s v="Payroll Tax Training"/>
    <x v="3"/>
    <s v="Monday"/>
  </r>
  <r>
    <d v="2024-02-19T00:00:00"/>
    <x v="1"/>
    <s v="Meetings"/>
    <n v="0.42"/>
    <x v="12"/>
    <s v="No"/>
    <s v="catchup with Mary re TGS"/>
    <x v="3"/>
    <s v="Monday"/>
  </r>
  <r>
    <d v="2024-02-19T00:00:00"/>
    <x v="1"/>
    <s v="Meetings"/>
    <n v="0.48"/>
    <x v="12"/>
    <s v="No"/>
    <s v="call with Elena"/>
    <x v="3"/>
    <s v="Monday"/>
  </r>
  <r>
    <d v="2024-02-19T00:00:00"/>
    <x v="3"/>
    <s v="Business Development"/>
    <n v="12"/>
    <x v="12"/>
    <s v="No"/>
    <s v="*Payroll Tax Training  *short sporadic meetings for flows and intranet   *continuation of flows"/>
    <x v="3"/>
    <s v="Monday"/>
  </r>
  <r>
    <d v="2024-02-19T00:00:00"/>
    <x v="4"/>
    <s v="Business Development"/>
    <n v="7"/>
    <x v="12"/>
    <s v="No"/>
    <m/>
    <x v="3"/>
    <s v="Monday"/>
  </r>
  <r>
    <d v="2024-02-19T00:00:00"/>
    <x v="5"/>
    <s v="Bookkeeping"/>
    <n v="1.25"/>
    <x v="16"/>
    <s v="Yes"/>
    <s v="Processing of Reimbursements "/>
    <x v="3"/>
    <s v="Monday"/>
  </r>
  <r>
    <d v="2024-02-19T00:00:00"/>
    <x v="5"/>
    <s v="Bookkeeping"/>
    <n v="2.2000000000000002"/>
    <x v="16"/>
    <s v="Yes"/>
    <s v="Email Management "/>
    <x v="3"/>
    <s v="Monday"/>
  </r>
  <r>
    <d v="2024-02-19T00:00:00"/>
    <x v="5"/>
    <s v="Bookkeeping"/>
    <n v="4.63"/>
    <x v="16"/>
    <s v="Yes"/>
    <s v="Creating and review of EFT lists for payment "/>
    <x v="3"/>
    <s v="Monday"/>
  </r>
  <r>
    <d v="2024-02-19T00:00:00"/>
    <x v="6"/>
    <s v="General"/>
    <n v="8"/>
    <x v="12"/>
    <s v="No"/>
    <m/>
    <x v="3"/>
    <s v="Monday"/>
  </r>
  <r>
    <d v="2024-02-19T00:00:00"/>
    <x v="7"/>
    <s v="Automations"/>
    <n v="12.05"/>
    <x v="12"/>
    <s v="No"/>
    <m/>
    <x v="3"/>
    <s v="Monday"/>
  </r>
  <r>
    <d v="2024-02-19T00:00:00"/>
    <x v="9"/>
    <s v="Automations"/>
    <n v="2"/>
    <x v="12"/>
    <s v="No"/>
    <s v="Run Marsill Automation; "/>
    <x v="3"/>
    <s v="Monday"/>
  </r>
  <r>
    <d v="2024-02-19T00:00:00"/>
    <x v="10"/>
    <s v="IT"/>
    <n v="9.18"/>
    <x v="12"/>
    <s v="No"/>
    <s v="Alliance Automation Part 2 and 3 Development "/>
    <x v="3"/>
    <s v="Monday"/>
  </r>
  <r>
    <d v="2024-02-19T00:00:00"/>
    <x v="11"/>
    <s v="Bookkeeping"/>
    <n v="0.17"/>
    <x v="60"/>
    <s v="Yes"/>
    <s v="Loading bills from HubDoc, bank recon"/>
    <x v="3"/>
    <s v="Monday"/>
  </r>
  <r>
    <d v="2024-02-19T00:00:00"/>
    <x v="11"/>
    <s v="Bookkeeping"/>
    <n v="0.25"/>
    <x v="24"/>
    <s v="No"/>
    <s v="Checking all entities"/>
    <x v="3"/>
    <s v="Monday"/>
  </r>
  <r>
    <d v="2024-02-19T00:00:00"/>
    <x v="11"/>
    <s v="Bookkeeping"/>
    <n v="0.33"/>
    <x v="22"/>
    <s v="Yes"/>
    <s v="Loading bills from HubDoc, bank recon"/>
    <x v="3"/>
    <s v="Monday"/>
  </r>
  <r>
    <d v="2024-02-19T00:00:00"/>
    <x v="11"/>
    <s v="Bookkeeping"/>
    <n v="0.33"/>
    <x v="25"/>
    <s v="No"/>
    <s v="Checking previous emails to confirm portion of business travel expense"/>
    <x v="3"/>
    <s v="Monday"/>
  </r>
  <r>
    <d v="2024-02-19T00:00:00"/>
    <x v="11"/>
    <s v="Bookkeeping"/>
    <n v="0.57999999999999996"/>
    <x v="42"/>
    <s v="Yes"/>
    <s v="Checking emails, loading bills, bank recon"/>
    <x v="3"/>
    <s v="Monday"/>
  </r>
  <r>
    <d v="2024-02-19T00:00:00"/>
    <x v="11"/>
    <s v="Bookkeeping"/>
    <n v="0.67"/>
    <x v="24"/>
    <s v="Yes"/>
    <s v="Loading bills from HubDoc, bank recon"/>
    <x v="3"/>
    <s v="Monday"/>
  </r>
  <r>
    <d v="2024-02-19T00:00:00"/>
    <x v="11"/>
    <s v="Bookkeeping"/>
    <n v="0.75"/>
    <x v="23"/>
    <s v="Yes"/>
    <s v="Loading bills from HubDoc, bank recon"/>
    <x v="3"/>
    <s v="Monday"/>
  </r>
  <r>
    <d v="2024-02-19T00:00:00"/>
    <x v="11"/>
    <s v="Bookkeeping"/>
    <n v="1.42"/>
    <x v="21"/>
    <s v="Yes"/>
    <s v="Loading bills from HubDoc, bank recon"/>
    <x v="3"/>
    <s v="Monday"/>
  </r>
  <r>
    <d v="2024-02-19T00:00:00"/>
    <x v="11"/>
    <s v="Bookkeeping"/>
    <n v="2.42"/>
    <x v="25"/>
    <s v="Yes"/>
    <s v="Checking emails, loading bills, creating invoices, bank recon"/>
    <x v="3"/>
    <s v="Monday"/>
  </r>
  <r>
    <d v="2024-02-19T00:00:00"/>
    <x v="11"/>
    <s v="General"/>
    <n v="0.5"/>
    <x v="12"/>
    <s v="No"/>
    <s v="break"/>
    <x v="3"/>
    <s v="Monday"/>
  </r>
  <r>
    <d v="2024-02-19T00:00:00"/>
    <x v="11"/>
    <s v="Meetings"/>
    <n v="0.57999999999999996"/>
    <x v="12"/>
    <s v="No"/>
    <s v="5th month evaluation"/>
    <x v="3"/>
    <s v="Monday"/>
  </r>
  <r>
    <d v="2024-02-19T00:00:00"/>
    <x v="12"/>
    <s v="CFO Advisory"/>
    <n v="0.17"/>
    <x v="34"/>
    <s v="Yes"/>
    <m/>
    <x v="3"/>
    <s v="Monday"/>
  </r>
  <r>
    <d v="2024-02-19T00:00:00"/>
    <x v="12"/>
    <s v="CFO Advisory"/>
    <n v="0.33"/>
    <x v="34"/>
    <s v="No"/>
    <m/>
    <x v="3"/>
    <s v="Monday"/>
  </r>
  <r>
    <d v="2024-02-19T00:00:00"/>
    <x v="12"/>
    <s v="CFO Advisory"/>
    <n v="1"/>
    <x v="34"/>
    <s v="No"/>
    <s v="Meeting with Xavier + Irish re: client service delivery issues, highlight errors. Review Xero file for quality Email Joanee re: service termination Update Alison Follow up with Melissa/Abraham re: CFO work"/>
    <x v="3"/>
    <s v="Monday"/>
  </r>
  <r>
    <d v="2024-02-19T00:00:00"/>
    <x v="12"/>
    <s v="CFO Advisory"/>
    <n v="1.75"/>
    <x v="1"/>
    <s v="Yes"/>
    <s v="Meeting with Eli re: Trust Deed accounting Vishal re: meeting set-up Review Eli's email on FY24 forecast/budget, consider implementation options"/>
    <x v="3"/>
    <s v="Monday"/>
  </r>
  <r>
    <d v="2024-02-19T00:00:00"/>
    <x v="12"/>
    <s v="CFO001 - CFO Services"/>
    <n v="1.25"/>
    <x v="6"/>
    <s v="Yes"/>
    <s v="Debtors, resolve emails from last week Email to Eli re:revenue shortfall explanation + draft note to the Board"/>
    <x v="3"/>
    <s v="Monday"/>
  </r>
  <r>
    <d v="2024-02-19T00:00:00"/>
    <x v="12"/>
    <s v="Client Admin"/>
    <n v="1.5"/>
    <x v="12"/>
    <s v="No"/>
    <s v="Meeting with Ann Morei re: staff performance feedback on TGS, specific examples and action plan Meeting with Mary Ann Carpio re: service delivery issues on TGS + way forward Time from last week - emails to Shalini with examples on performance issues"/>
    <x v="3"/>
    <s v="Monday"/>
  </r>
  <r>
    <d v="2024-02-19T00:00:00"/>
    <x v="14"/>
    <s v="Bookkeeping"/>
    <n v="0.08"/>
    <x v="34"/>
    <s v="No"/>
    <s v="cancelled meeting w/ Elena"/>
    <x v="3"/>
    <s v="Monday"/>
  </r>
  <r>
    <d v="2024-02-19T00:00:00"/>
    <x v="14"/>
    <s v="Bookkeeping"/>
    <n v="0.08"/>
    <x v="13"/>
    <s v="Yes"/>
    <s v="emails/calendar invite"/>
    <x v="3"/>
    <s v="Monday"/>
  </r>
  <r>
    <d v="2024-02-19T00:00:00"/>
    <x v="14"/>
    <s v="Bookkeeping"/>
    <n v="0.25"/>
    <x v="80"/>
    <s v="Yes"/>
    <s v="queries"/>
    <x v="3"/>
    <s v="Monday"/>
  </r>
  <r>
    <d v="2024-02-19T00:00:00"/>
    <x v="14"/>
    <s v="Bookkeeping"/>
    <n v="0.38"/>
    <x v="28"/>
    <s v="Yes"/>
    <s v="emails/queries"/>
    <x v="3"/>
    <s v="Monday"/>
  </r>
  <r>
    <d v="2024-02-19T00:00:00"/>
    <x v="14"/>
    <s v="Bookkeeping"/>
    <n v="0.67"/>
    <x v="80"/>
    <s v="Yes"/>
    <s v="bank rec"/>
    <x v="3"/>
    <s v="Monday"/>
  </r>
  <r>
    <d v="2024-02-19T00:00:00"/>
    <x v="14"/>
    <s v="Bookkeeping"/>
    <n v="3.67"/>
    <x v="80"/>
    <s v="Yes"/>
    <s v="bills entry &amp; bank rec"/>
    <x v="3"/>
    <s v="Monday"/>
  </r>
  <r>
    <d v="2024-02-19T00:00:00"/>
    <x v="14"/>
    <s v="General"/>
    <n v="0.5"/>
    <x v="12"/>
    <s v="No"/>
    <s v="break"/>
    <x v="3"/>
    <s v="Monday"/>
  </r>
  <r>
    <d v="2024-02-19T00:00:00"/>
    <x v="14"/>
    <s v="General"/>
    <n v="0.57999999999999996"/>
    <x v="12"/>
    <s v="No"/>
    <s v="inbox/teams/Sprout"/>
    <x v="3"/>
    <s v="Monday"/>
  </r>
  <r>
    <d v="2024-02-19T00:00:00"/>
    <x v="14"/>
    <s v="General"/>
    <n v="0.83"/>
    <x v="12"/>
    <s v="No"/>
    <s v="call w/ Elena &amp; Irish - CFO services"/>
    <x v="3"/>
    <s v="Monday"/>
  </r>
  <r>
    <d v="2024-02-19T00:00:00"/>
    <x v="14"/>
    <s v="Learning &amp; Development"/>
    <n v="0.73"/>
    <x v="12"/>
    <s v="No"/>
    <s v="Ptax training"/>
    <x v="3"/>
    <s v="Monday"/>
  </r>
  <r>
    <d v="2024-02-19T00:00:00"/>
    <x v="14"/>
    <s v="Payroll Processing"/>
    <n v="0.3"/>
    <x v="11"/>
    <s v="Yes"/>
    <s v="review"/>
    <x v="3"/>
    <s v="Monday"/>
  </r>
  <r>
    <d v="2024-02-19T00:00:00"/>
    <x v="15"/>
    <s v="Bookkeeping"/>
    <n v="0.45"/>
    <x v="16"/>
    <s v="Yes"/>
    <e v="#NAME?"/>
    <x v="3"/>
    <s v="Monday"/>
  </r>
  <r>
    <d v="2024-02-19T00:00:00"/>
    <x v="15"/>
    <s v="General"/>
    <n v="2.1"/>
    <x v="12"/>
    <s v="No"/>
    <e v="#NAME?"/>
    <x v="3"/>
    <s v="Monday"/>
  </r>
  <r>
    <d v="2024-02-19T00:00:00"/>
    <x v="15"/>
    <s v="General"/>
    <n v="7.52"/>
    <x v="12"/>
    <s v="No"/>
    <s v="- Retrieval of April Tortal's equipment. - ASIC - ATO   - Superfoods Australia Request for GIC Remission - Research and prepared a case letter. - Emails"/>
    <x v="3"/>
    <s v="Monday"/>
  </r>
  <r>
    <d v="2024-02-19T00:00:00"/>
    <x v="16"/>
    <s v="Annual Leave"/>
    <n v="8"/>
    <x v="12"/>
    <s v="No"/>
    <m/>
    <x v="3"/>
    <s v="Monday"/>
  </r>
  <r>
    <d v="2024-02-19T00:00:00"/>
    <x v="17"/>
    <s v="Bookkeeping"/>
    <n v="0.22"/>
    <x v="80"/>
    <s v="Yes"/>
    <s v="Bank recs"/>
    <x v="3"/>
    <s v="Monday"/>
  </r>
  <r>
    <d v="2024-02-19T00:00:00"/>
    <x v="17"/>
    <s v="Bookkeeping"/>
    <n v="0.62"/>
    <x v="34"/>
    <s v="Yes"/>
    <s v="Bank recs"/>
    <x v="3"/>
    <s v="Monday"/>
  </r>
  <r>
    <d v="2024-02-19T00:00:00"/>
    <x v="17"/>
    <s v="Bookkeeping"/>
    <n v="0.73"/>
    <x v="34"/>
    <s v="Yes"/>
    <s v="Checking intercompany accounts, "/>
    <x v="3"/>
    <s v="Monday"/>
  </r>
  <r>
    <d v="2024-02-19T00:00:00"/>
    <x v="17"/>
    <s v="Bookkeeping"/>
    <n v="0.75"/>
    <x v="35"/>
    <s v="Yes"/>
    <s v="Recording of invoices, bank recs"/>
    <x v="3"/>
    <s v="Monday"/>
  </r>
  <r>
    <d v="2024-02-19T00:00:00"/>
    <x v="17"/>
    <s v="Bookkeeping"/>
    <n v="1.53"/>
    <x v="87"/>
    <s v="No"/>
    <s v="Reconciliation for tax "/>
    <x v="3"/>
    <s v="Monday"/>
  </r>
  <r>
    <d v="2024-02-19T00:00:00"/>
    <x v="17"/>
    <s v="Bookkeeping"/>
    <n v="1.75"/>
    <x v="34"/>
    <s v="Yes"/>
    <s v="Bank recs, manual journals"/>
    <x v="3"/>
    <s v="Monday"/>
  </r>
  <r>
    <d v="2024-02-19T00:00:00"/>
    <x v="17"/>
    <s v="Client Meeting"/>
    <n v="0.75"/>
    <x v="34"/>
    <s v="No"/>
    <s v="Meeting with Elena"/>
    <x v="3"/>
    <s v="Monday"/>
  </r>
  <r>
    <d v="2024-02-19T00:00:00"/>
    <x v="17"/>
    <s v="General"/>
    <n v="1.03"/>
    <x v="12"/>
    <s v="No"/>
    <s v="Checking emails"/>
    <x v="3"/>
    <s v="Monday"/>
  </r>
  <r>
    <d v="2024-02-19T00:00:00"/>
    <x v="17"/>
    <s v="Payroll Processing"/>
    <n v="0.27"/>
    <x v="37"/>
    <s v="Yes"/>
    <s v="PAYG rec updates, creating new payroll folders"/>
    <x v="3"/>
    <s v="Monday"/>
  </r>
  <r>
    <d v="2024-02-19T00:00:00"/>
    <x v="17"/>
    <s v="Payroll Processing"/>
    <n v="0.55000000000000004"/>
    <x v="35"/>
    <s v="Yes"/>
    <s v="Payroll"/>
    <x v="3"/>
    <s v="Monday"/>
  </r>
  <r>
    <d v="2024-02-19T00:00:00"/>
    <x v="18"/>
    <s v="Sick Leave"/>
    <n v="8"/>
    <x v="12"/>
    <s v="No"/>
    <s v="severe dysmenorrhea"/>
    <x v="3"/>
    <s v="Monday"/>
  </r>
  <r>
    <d v="2024-02-19T00:00:00"/>
    <x v="19"/>
    <s v="Annual Leave"/>
    <n v="8"/>
    <x v="12"/>
    <s v="No"/>
    <s v="Vacation"/>
    <x v="3"/>
    <s v="Monday"/>
  </r>
  <r>
    <d v="2024-02-19T00:00:00"/>
    <x v="20"/>
    <s v="Meetings"/>
    <n v="0.33"/>
    <x v="12"/>
    <s v="No"/>
    <s v="Internal Dex mtgs"/>
    <x v="3"/>
    <s v="Monday"/>
  </r>
  <r>
    <d v="2024-02-19T00:00:00"/>
    <x v="20"/>
    <s v="P&amp;C Advisory"/>
    <n v="0.33"/>
    <x v="38"/>
    <s v="Yes"/>
    <s v="Mtg with Sharon - repayment plans + updates to tracking sheet "/>
    <x v="3"/>
    <s v="Monday"/>
  </r>
  <r>
    <d v="2024-02-19T00:00:00"/>
    <x v="20"/>
    <s v="P&amp;C Advisory"/>
    <n v="7"/>
    <x v="37"/>
    <s v="Yes"/>
    <s v="Shortlisting resumes - Estimating, Finance Inbox Daily HR mtg Mgmt fortnightly mtg Workload prep - 1 month look ahead Phone screens Fix offboarding workflow graph to resolve due date errors"/>
    <x v="3"/>
    <s v="Monday"/>
  </r>
  <r>
    <d v="2024-02-19T00:00:00"/>
    <x v="21"/>
    <s v="Bookkeeping"/>
    <n v="0.27"/>
    <x v="41"/>
    <s v="Yes"/>
    <s v="client report request"/>
    <x v="3"/>
    <s v="Monday"/>
  </r>
  <r>
    <d v="2024-02-19T00:00:00"/>
    <x v="21"/>
    <s v="Bookkeeping"/>
    <n v="0.32"/>
    <x v="39"/>
    <s v="Yes"/>
    <s v="AP Items sent to client, bank recon, bills in draft"/>
    <x v="3"/>
    <s v="Monday"/>
  </r>
  <r>
    <d v="2024-02-19T00:00:00"/>
    <x v="21"/>
    <s v="Bookkeeping"/>
    <n v="0.35"/>
    <x v="72"/>
    <s v="Yes"/>
    <s v="AP report, bank recon, statement lines."/>
    <x v="3"/>
    <s v="Monday"/>
  </r>
  <r>
    <d v="2024-02-19T00:00:00"/>
    <x v="21"/>
    <s v="Bookkeeping"/>
    <n v="0.55000000000000004"/>
    <x v="57"/>
    <s v="Yes"/>
    <s v="invisalign invoices, bank recon, ap items"/>
    <x v="3"/>
    <s v="Monday"/>
  </r>
  <r>
    <d v="2024-02-19T00:00:00"/>
    <x v="21"/>
    <s v="Bookkeeping"/>
    <n v="0.87"/>
    <x v="41"/>
    <s v="Yes"/>
    <s v="AP Items, hubdoc, invoices from procore"/>
    <x v="3"/>
    <s v="Monday"/>
  </r>
  <r>
    <d v="2024-02-19T00:00:00"/>
    <x v="21"/>
    <s v="Bookkeeping"/>
    <n v="0.9"/>
    <x v="28"/>
    <s v="Yes"/>
    <s v="AP Items, fortnight payroll"/>
    <x v="3"/>
    <s v="Monday"/>
  </r>
  <r>
    <d v="2024-02-19T00:00:00"/>
    <x v="21"/>
    <s v="Bookkeeping"/>
    <n v="1.03"/>
    <x v="40"/>
    <s v="Yes"/>
    <s v="Dext Prep, bank recon"/>
    <x v="3"/>
    <s v="Monday"/>
  </r>
  <r>
    <d v="2024-02-19T00:00:00"/>
    <x v="21"/>
    <s v="Bookkeeping"/>
    <n v="1.17"/>
    <x v="41"/>
    <s v="Yes"/>
    <s v="Bank recon a&amp;e myhill, hubdoc, email sort to folders"/>
    <x v="3"/>
    <s v="Monday"/>
  </r>
  <r>
    <d v="2024-02-19T00:00:00"/>
    <x v="21"/>
    <s v="Bookkeeping"/>
    <n v="1.37"/>
    <x v="28"/>
    <s v="Yes"/>
    <s v="Bank recon, bills sent to client, dext prepare items"/>
    <x v="3"/>
    <s v="Monday"/>
  </r>
  <r>
    <d v="2024-02-19T00:00:00"/>
    <x v="21"/>
    <s v="Payroll Processing"/>
    <n v="1.2"/>
    <x v="54"/>
    <s v="Yes"/>
    <m/>
    <x v="3"/>
    <s v="Monday"/>
  </r>
  <r>
    <d v="2024-02-19T00:00:00"/>
    <x v="22"/>
    <s v="Automations - Surefire"/>
    <n v="8"/>
    <x v="12"/>
    <s v="No"/>
    <s v="SureFire Services Automation"/>
    <x v="3"/>
    <s v="Monday"/>
  </r>
  <r>
    <d v="2024-02-19T00:00:00"/>
    <x v="23"/>
    <s v="Automations"/>
    <n v="8"/>
    <x v="12"/>
    <s v="No"/>
    <m/>
    <x v="3"/>
    <s v="Monday"/>
  </r>
  <r>
    <d v="2024-02-19T00:00:00"/>
    <x v="24"/>
    <s v="Automations"/>
    <n v="8"/>
    <x v="12"/>
    <s v="No"/>
    <s v="Run: LOC Dev: PrimeBuild Payroll Processing Report Automation"/>
    <x v="3"/>
    <s v="Monday"/>
  </r>
  <r>
    <d v="2024-02-19T00:00:00"/>
    <x v="25"/>
    <s v="Bookkeeping"/>
    <n v="0.38"/>
    <x v="37"/>
    <s v="Yes"/>
    <s v="Emails, update CS to use timesheets Review of location codes for SVS costings"/>
    <x v="3"/>
    <s v="Monday"/>
  </r>
  <r>
    <d v="2024-02-19T00:00:00"/>
    <x v="25"/>
    <s v="Bookkeeping"/>
    <n v="0.4"/>
    <x v="25"/>
    <s v="Yes"/>
    <s v="Contra agreement journal for FY2023"/>
    <x v="3"/>
    <s v="Monday"/>
  </r>
  <r>
    <d v="2024-02-19T00:00:00"/>
    <x v="25"/>
    <s v="Bookkeeping"/>
    <n v="0.43"/>
    <x v="25"/>
    <s v="Yes"/>
    <s v="FY23 revew"/>
    <x v="3"/>
    <s v="Monday"/>
  </r>
  <r>
    <d v="2024-02-19T00:00:00"/>
    <x v="25"/>
    <s v="Bookkeeping"/>
    <n v="0.5"/>
    <x v="44"/>
    <s v="Yes"/>
    <s v="Update issues log and resolve issues based on Tyson responses.  Save bank statements to OneDrive"/>
    <x v="3"/>
    <s v="Monday"/>
  </r>
  <r>
    <d v="2024-02-19T00:00:00"/>
    <x v="25"/>
    <s v="Client Admin"/>
    <n v="0.3"/>
    <x v="12"/>
    <s v="No"/>
    <s v="Emails, meeting arrangemetn with Deb etc. fees for Zoe"/>
    <x v="3"/>
    <s v="Monday"/>
  </r>
  <r>
    <d v="2024-02-19T00:00:00"/>
    <x v="25"/>
    <s v="Client Meeting"/>
    <n v="2.83"/>
    <x v="44"/>
    <s v="Yes"/>
    <s v="Client meeting - Pinnacle and Spectrum, Julian"/>
    <x v="3"/>
    <s v="Monday"/>
  </r>
  <r>
    <d v="2024-02-19T00:00:00"/>
    <x v="25"/>
    <s v="General"/>
    <n v="0.13"/>
    <x v="12"/>
    <s v="No"/>
    <s v="Updates to Asana tasks, assign to projects"/>
    <x v="3"/>
    <s v="Monday"/>
  </r>
  <r>
    <d v="2024-02-19T00:00:00"/>
    <x v="25"/>
    <s v="General"/>
    <n v="0.35"/>
    <x v="12"/>
    <s v="No"/>
    <s v="Caht with Nick re AI"/>
    <x v="3"/>
    <s v="Monday"/>
  </r>
  <r>
    <d v="2024-02-19T00:00:00"/>
    <x v="25"/>
    <s v="General"/>
    <n v="0.5"/>
    <x v="12"/>
    <s v="No"/>
    <s v="REview Asana, emails, teams, calendar and location for meeting"/>
    <x v="3"/>
    <s v="Monday"/>
  </r>
  <r>
    <d v="2024-02-19T00:00:00"/>
    <x v="25"/>
    <s v="General"/>
    <n v="3"/>
    <x v="12"/>
    <s v="No"/>
    <s v="Travel - to and from Surry Hills (train delays)"/>
    <x v="3"/>
    <s v="Monday"/>
  </r>
  <r>
    <d v="2024-02-19T00:00:00"/>
    <x v="25"/>
    <s v="Meetings"/>
    <n v="0.43"/>
    <x v="12"/>
    <s v="No"/>
    <s v="Sydney meeting"/>
    <x v="3"/>
    <s v="Monday"/>
  </r>
  <r>
    <d v="2024-02-19T00:00:00"/>
    <x v="25"/>
    <s v="Payroll Processing"/>
    <n v="0.15"/>
    <x v="24"/>
    <s v="Yes"/>
    <s v="Check issues and update"/>
    <x v="3"/>
    <s v="Monday"/>
  </r>
  <r>
    <d v="2024-02-19T00:00:00"/>
    <x v="25"/>
    <s v="Payroll Processing"/>
    <n v="0.5"/>
    <x v="22"/>
    <s v="Yes"/>
    <s v="Super updates, email to Ash"/>
    <x v="3"/>
    <s v="Monday"/>
  </r>
  <r>
    <d v="2024-02-19T00:00:00"/>
    <x v="51"/>
    <s v="Meetings"/>
    <n v="0.5"/>
    <x v="12"/>
    <s v="No"/>
    <s v="Sydney Weekly Team Catch Up - Dexterous"/>
    <x v="3"/>
    <s v="Monday"/>
  </r>
  <r>
    <d v="2024-02-19T00:00:00"/>
    <x v="51"/>
    <s v="P&amp;C Advisory - Nordfab"/>
    <n v="0.08"/>
    <x v="63"/>
    <s v="Yes"/>
    <s v="Follow Up Non-Attendance Trial (Zeljko) - Found New Role - Workshop Hand/Storeperson - VIC - Nordfab - Alison"/>
    <x v="3"/>
    <s v="Monday"/>
  </r>
  <r>
    <d v="2024-02-19T00:00:00"/>
    <x v="51"/>
    <s v="P&amp;C Advisory - Nordfab"/>
    <n v="0.17"/>
    <x v="63"/>
    <s v="Yes"/>
    <s v="Schedule &amp; Confirm Face-to-Face Interview (Kyle) - Sheet Metal Worker - NSW - Nordfab - Alison_x0009_"/>
    <x v="3"/>
    <s v="Monday"/>
  </r>
  <r>
    <d v="2024-02-19T00:00:00"/>
    <x v="51"/>
    <s v="P&amp;C Advisory - Nordfab"/>
    <n v="0.25"/>
    <x v="63"/>
    <s v="Yes"/>
    <s v="Telephone Screen - Sheet Metal Worker (Kyle) - NSW - Nordfab - Alison"/>
    <x v="3"/>
    <s v="Monday"/>
  </r>
  <r>
    <d v="2024-02-19T00:00:00"/>
    <x v="51"/>
    <s v="P&amp;C Advisory - Nordfab"/>
    <n v="0.25"/>
    <x v="63"/>
    <s v="Yes"/>
    <s v="Telephone Screen (Corey) - Skilled Tradesperson (Sheetmetal) - VIC - Nordfab - Alison "/>
    <x v="3"/>
    <s v="Monday"/>
  </r>
  <r>
    <d v="2024-02-19T00:00:00"/>
    <x v="51"/>
    <s v="P&amp;C Advisory - Nordfab"/>
    <n v="0.33"/>
    <x v="63"/>
    <s v="Yes"/>
    <s v="Draft Employment Contract (Mohamed) - Factory Hand/Warehouse Assistant - NSW - Nordfab - Alison"/>
    <x v="3"/>
    <s v="Monday"/>
  </r>
  <r>
    <d v="2024-02-19T00:00:00"/>
    <x v="51"/>
    <s v="P&amp;C Advisory - Nordfab"/>
    <n v="0.5"/>
    <x v="63"/>
    <s v="Yes"/>
    <s v="Review Seek applications - Skilled Tradesperson (Sheetmetal) - VIC - Nordfab - Alison  Review Seek applications - Technical Customer Service Coordinator - NSW - Nordfab - Alison"/>
    <x v="3"/>
    <s v="Monday"/>
  </r>
  <r>
    <d v="2024-02-19T00:00:00"/>
    <x v="51"/>
    <s v="P&amp;C Advisory - Nordfab"/>
    <n v="0.5"/>
    <x v="63"/>
    <s v="Yes"/>
    <s v="Telephone Screens - Technical Customer Service Coordinator (Thiago &amp; Ravi) - NSW - Nordfab - Alison"/>
    <x v="3"/>
    <s v="Monday"/>
  </r>
  <r>
    <d v="2024-02-19T00:00:00"/>
    <x v="26"/>
    <s v="Client Meeting"/>
    <n v="0.15"/>
    <x v="2"/>
    <s v="Yes"/>
    <s v="Call with Aileen"/>
    <x v="3"/>
    <s v="Monday"/>
  </r>
  <r>
    <d v="2024-02-19T00:00:00"/>
    <x v="26"/>
    <s v="Client Meeting"/>
    <n v="0.56999999999999995"/>
    <x v="12"/>
    <s v="No"/>
    <s v="BAS/IAS updates meeting with Shalini ( concern, status and critical issues"/>
    <x v="3"/>
    <s v="Monday"/>
  </r>
  <r>
    <d v="2024-02-19T00:00:00"/>
    <x v="26"/>
    <s v="General"/>
    <n v="0.25"/>
    <x v="12"/>
    <s v="No"/>
    <s v="15 mins coffee breaks as paid per Labor Code of the Philippines, Article 85. ( Afternoon Break )  "/>
    <x v="3"/>
    <s v="Monday"/>
  </r>
  <r>
    <d v="2024-02-19T00:00:00"/>
    <x v="26"/>
    <s v="General"/>
    <n v="0.25"/>
    <x v="12"/>
    <s v="No"/>
    <s v="15 mins coffee breaks as paid per Labor Code of the Philippines, Article 85. ( Morning Break ) "/>
    <x v="3"/>
    <s v="Monday"/>
  </r>
  <r>
    <d v="2024-02-19T00:00:00"/>
    <x v="26"/>
    <s v="IAS/BAS Preparation &amp; Lodgement - Oct-Dec"/>
    <n v="0.18"/>
    <x v="5"/>
    <s v="Yes"/>
    <s v="BAS"/>
    <x v="3"/>
    <s v="Monday"/>
  </r>
  <r>
    <d v="2024-02-19T00:00:00"/>
    <x v="26"/>
    <s v="IAS/BAS Preparation &amp; Lodgement - Oct-Dec"/>
    <n v="0.48"/>
    <x v="50"/>
    <s v="Yes"/>
    <s v="Redoing of work due to adjustment made"/>
    <x v="3"/>
    <s v="Monday"/>
  </r>
  <r>
    <d v="2024-02-19T00:00:00"/>
    <x v="26"/>
    <s v="IAS/BAS Preparation &amp; Lodgement - Oct-Dec"/>
    <n v="0.63"/>
    <x v="2"/>
    <s v="Yes"/>
    <s v="Dec, 2023 BAS variance and validating, email and call"/>
    <x v="3"/>
    <s v="Monday"/>
  </r>
  <r>
    <d v="2024-02-19T00:00:00"/>
    <x v="26"/>
    <s v="IAS/BAS Preparation &amp; Lodgement - Oct-Dec"/>
    <n v="0.82"/>
    <x v="88"/>
    <s v="Yes"/>
    <s v="Dec 2023 BAS "/>
    <x v="3"/>
    <s v="Monday"/>
  </r>
  <r>
    <d v="2024-02-19T00:00:00"/>
    <x v="26"/>
    <s v="IAS/BAS Preparation &amp; Lodgement - Oct-Dec"/>
    <n v="0.97"/>
    <x v="2"/>
    <s v="Yes"/>
    <s v="Dec, 2023 BAS"/>
    <x v="3"/>
    <s v="Monday"/>
  </r>
  <r>
    <d v="2024-02-19T00:00:00"/>
    <x v="26"/>
    <s v="Tax Admin"/>
    <n v="1.65"/>
    <x v="12"/>
    <s v="No"/>
    <s v="Monitoring BAS/IAS monitoring. Updates all clients, ASANA, checking of Out to sign, XPM and Xero files. "/>
    <x v="3"/>
    <s v="Monday"/>
  </r>
  <r>
    <d v="2024-02-19T00:00:00"/>
    <x v="26"/>
    <s v="Tax Admin"/>
    <n v="2.0499999999999998"/>
    <x v="12"/>
    <s v="No"/>
    <s v="&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_x0009_Reconsolidating all clients from ASANA which not yet completed &gt;_x0009_Creating Template for payment overdue &gt;_x0009_Verifying ASANA that are not yet completed and checking in ATO portal &gt;_x0009_Chat and informed Accountant and CM about the Payment status &gt;_x0009_Send an email and compose message to BAS compliance GC &gt;_x0009_Checking if client set payment plan from ATO portal "/>
    <x v="3"/>
    <s v="Monday"/>
  </r>
  <r>
    <d v="2024-02-19T00:00:00"/>
    <x v="27"/>
    <s v="Meetings"/>
    <n v="0.33"/>
    <x v="12"/>
    <s v="No"/>
    <s v="Weekly team meeting."/>
    <x v="3"/>
    <s v="Monday"/>
  </r>
  <r>
    <d v="2024-02-19T00:00:00"/>
    <x v="27"/>
    <s v="P&amp;C Advisory"/>
    <n v="7.5"/>
    <x v="19"/>
    <s v="Yes"/>
    <s v="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
    <x v="3"/>
    <s v="Monday"/>
  </r>
  <r>
    <d v="2024-02-19T00:00:00"/>
    <x v="28"/>
    <s v="Bookkeeping"/>
    <n v="7.63"/>
    <x v="16"/>
    <s v="Yes"/>
    <m/>
    <x v="3"/>
    <s v="Monday"/>
  </r>
  <r>
    <d v="2024-02-19T00:00:00"/>
    <x v="28"/>
    <s v="Payroll Processing"/>
    <n v="0.48"/>
    <x v="17"/>
    <s v="Yes"/>
    <m/>
    <x v="3"/>
    <s v="Monday"/>
  </r>
  <r>
    <d v="2024-02-19T00:00:00"/>
    <x v="30"/>
    <s v="Adhoc Support &amp; Advice"/>
    <n v="1.5"/>
    <x v="16"/>
    <s v="No"/>
    <s v="Recon"/>
    <x v="3"/>
    <s v="Monday"/>
  </r>
  <r>
    <d v="2024-02-19T00:00:00"/>
    <x v="30"/>
    <s v="Debt Collection"/>
    <n v="2"/>
    <x v="12"/>
    <s v="No"/>
    <m/>
    <x v="3"/>
    <s v="Monday"/>
  </r>
  <r>
    <d v="2024-02-19T00:00:00"/>
    <x v="30"/>
    <s v="Debt Collection"/>
    <n v="4"/>
    <x v="16"/>
    <s v="Yes"/>
    <m/>
    <x v="3"/>
    <s v="Monday"/>
  </r>
  <r>
    <d v="2024-02-19T00:00:00"/>
    <x v="30"/>
    <s v="General"/>
    <n v="0.5"/>
    <x v="12"/>
    <s v="No"/>
    <s v="Break"/>
    <x v="3"/>
    <s v="Monday"/>
  </r>
  <r>
    <d v="2024-02-19T00:00:00"/>
    <x v="31"/>
    <s v="Bookkeeping"/>
    <n v="1.55"/>
    <x v="16"/>
    <s v="Yes"/>
    <s v="CF / emails / Sherly's schedule for the week"/>
    <x v="3"/>
    <s v="Monday"/>
  </r>
  <r>
    <d v="2024-02-19T00:00:00"/>
    <x v="31"/>
    <s v="Client Meeting"/>
    <n v="0.18"/>
    <x v="12"/>
    <s v="No"/>
    <s v="emails"/>
    <x v="3"/>
    <s v="Monday"/>
  </r>
  <r>
    <d v="2024-02-19T00:00:00"/>
    <x v="31"/>
    <s v="Client Meeting"/>
    <n v="1.4"/>
    <x v="16"/>
    <s v="No"/>
    <s v="checking availability and setting up meeting to each member of the Alliance team"/>
    <x v="3"/>
    <s v="Monday"/>
  </r>
  <r>
    <d v="2024-02-19T00:00:00"/>
    <x v="31"/>
    <s v="Client Meeting"/>
    <n v="1.53"/>
    <x v="16"/>
    <s v="No"/>
    <s v="preparing hand over file / setting up meeting / checking client availability / meeting with James"/>
    <x v="3"/>
    <s v="Monday"/>
  </r>
  <r>
    <d v="2024-02-19T00:00:00"/>
    <x v="31"/>
    <s v="Client Meeting"/>
    <n v="1.75"/>
    <x v="16"/>
    <s v="Yes"/>
    <s v="meet &amp; greet with James / hand over with Sherly"/>
    <x v="3"/>
    <s v="Monday"/>
  </r>
  <r>
    <d v="2024-02-19T00:00:00"/>
    <x v="31"/>
    <s v="General"/>
    <n v="2.48"/>
    <x v="12"/>
    <s v="No"/>
    <s v="Payroll Tax Registration VIC and QLD / WorkCover QLD / BIR Compliance / emails "/>
    <x v="3"/>
    <s v="Monday"/>
  </r>
  <r>
    <d v="2024-02-19T00:00:00"/>
    <x v="32"/>
    <s v="Bookkeeping"/>
    <n v="0.6"/>
    <x v="51"/>
    <s v="Yes"/>
    <s v="Bills raise to xero Reponds to email Checked a2x and approve sales"/>
    <x v="3"/>
    <s v="Monday"/>
  </r>
  <r>
    <d v="2024-02-19T00:00:00"/>
    <x v="32"/>
    <s v="Bookkeeping"/>
    <n v="5.18"/>
    <x v="51"/>
    <s v="Yes"/>
    <s v="Email Management Bills raise to xero Bank Reconciliation BM and LOC Inc Approving sales to a2x Prepared Shopify Installment and check the right balances"/>
    <x v="3"/>
    <s v="Monday"/>
  </r>
  <r>
    <d v="2024-02-19T00:00:00"/>
    <x v="32"/>
    <s v="General"/>
    <n v="0.5"/>
    <x v="12"/>
    <s v="No"/>
    <s v="Break"/>
    <x v="3"/>
    <s v="Monday"/>
  </r>
  <r>
    <d v="2024-02-19T00:00:00"/>
    <x v="32"/>
    <s v="Learning &amp; Development"/>
    <n v="1.73"/>
    <x v="12"/>
    <s v="No"/>
    <s v="Topic 6.7 - GST Account (820) vs ATO Portal Balance Topic 6.8 BAS Lodged vs Profit &amp; Loss in Xero Topic 6.8.1 - BAS Reconciliation Common Errors and Issues"/>
    <x v="3"/>
    <s v="Monday"/>
  </r>
  <r>
    <d v="2024-02-19T00:00:00"/>
    <x v="33"/>
    <s v="Annual Leave"/>
    <n v="8"/>
    <x v="12"/>
    <s v="No"/>
    <s v="Paternity Leave"/>
    <x v="3"/>
    <s v="Monday"/>
  </r>
  <r>
    <d v="2024-02-19T00:00:00"/>
    <x v="34"/>
    <s v="Bookkeeping"/>
    <n v="0.97"/>
    <x v="6"/>
    <s v="No"/>
    <s v="Non Billable: Meeting with Ann regarding concerns to TGS month end.  "/>
    <x v="3"/>
    <s v="Monday"/>
  </r>
  <r>
    <d v="2024-02-19T00:00:00"/>
    <x v="34"/>
    <s v="Bookkeeping"/>
    <n v="2.15"/>
    <x v="52"/>
    <s v="Yes"/>
    <s v="Email Management  Bills Processing "/>
    <x v="3"/>
    <s v="Monday"/>
  </r>
  <r>
    <d v="2024-02-19T00:00:00"/>
    <x v="34"/>
    <s v="Bookkeeping"/>
    <n v="3.57"/>
    <x v="15"/>
    <s v="Yes"/>
    <s v="Email Management Bills Processing Invoice Processing Bank and Credit Card Recon Sending of unreconcilied credit card transactions to Michelle"/>
    <x v="3"/>
    <s v="Monday"/>
  </r>
  <r>
    <d v="2024-02-19T00:00:00"/>
    <x v="34"/>
    <s v="General"/>
    <n v="1.05"/>
    <x v="12"/>
    <s v="No"/>
    <s v="Email Management Asana Task Clean up"/>
    <x v="3"/>
    <s v="Monday"/>
  </r>
  <r>
    <d v="2024-02-19T00:00:00"/>
    <x v="34"/>
    <s v="Meetings"/>
    <n v="0.3"/>
    <x v="12"/>
    <s v="No"/>
    <s v="Catch up with Elena re TGS "/>
    <x v="3"/>
    <s v="Monday"/>
  </r>
  <r>
    <d v="2024-02-19T00:00:00"/>
    <x v="35"/>
    <s v="Accounts"/>
    <n v="1.07"/>
    <x v="12"/>
    <s v="No"/>
    <s v="Catch up and coordination with all the timesheets/dispute.  BIR rulings escalation and Alphalist validation request to download."/>
    <x v="3"/>
    <s v="Monday"/>
  </r>
  <r>
    <d v="2024-02-19T00:00:00"/>
    <x v="35"/>
    <s v="Accounts"/>
    <n v="1.18"/>
    <x v="12"/>
    <s v="No"/>
    <s v="Additional bills processed, catch up emails and respond."/>
    <x v="3"/>
    <s v="Monday"/>
  </r>
  <r>
    <d v="2024-02-19T00:00:00"/>
    <x v="35"/>
    <s v="Accounts"/>
    <n v="1.5"/>
    <x v="12"/>
    <s v="No"/>
    <s v="Catch up emails and bank recs updates"/>
    <x v="3"/>
    <s v="Monday"/>
  </r>
  <r>
    <d v="2024-02-19T00:00:00"/>
    <x v="35"/>
    <s v="Bookkeeping"/>
    <n v="3.02"/>
    <x v="12"/>
    <s v="No"/>
    <s v="Invoicing and timesheet review "/>
    <x v="3"/>
    <s v="Monday"/>
  </r>
  <r>
    <d v="2024-02-19T00:00:00"/>
    <x v="35"/>
    <s v="Compliance"/>
    <n v="0.27"/>
    <x v="53"/>
    <s v="No"/>
    <s v="Filing of 1702Q for FY2024 2nd Quarter."/>
    <x v="3"/>
    <s v="Monday"/>
  </r>
  <r>
    <d v="2024-02-19T00:00:00"/>
    <x v="35"/>
    <s v="Compliance"/>
    <n v="0.48"/>
    <x v="12"/>
    <s v="No"/>
    <s v="Update compliance invoicing and send out to clients for billing"/>
    <x v="3"/>
    <s v="Monday"/>
  </r>
  <r>
    <d v="2024-02-19T00:00:00"/>
    <x v="35"/>
    <s v="Payroll Processing"/>
    <n v="0.28000000000000003"/>
    <x v="53"/>
    <s v="No"/>
    <s v="Clean up setup of Travel allowance"/>
    <x v="3"/>
    <s v="Monday"/>
  </r>
  <r>
    <d v="2024-02-19T00:00:00"/>
    <x v="35"/>
    <s v="Payroll Processing"/>
    <n v="0.85"/>
    <x v="53"/>
    <s v="No"/>
    <s v="Checking of dispute for this cut-off"/>
    <x v="3"/>
    <s v="Monday"/>
  </r>
  <r>
    <d v="2024-02-19T00:00:00"/>
    <x v="36"/>
    <s v="Web"/>
    <n v="10"/>
    <x v="12"/>
    <s v="No"/>
    <s v="🟨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
    <x v="3"/>
    <s v="Monday"/>
  </r>
  <r>
    <d v="2024-02-19T00:00:00"/>
    <x v="37"/>
    <s v="Bookkeeping"/>
    <n v="0.25"/>
    <x v="83"/>
    <s v="Yes"/>
    <m/>
    <x v="3"/>
    <s v="Monday"/>
  </r>
  <r>
    <d v="2024-02-19T00:00:00"/>
    <x v="37"/>
    <s v="Bookkeeping"/>
    <n v="0.5"/>
    <x v="84"/>
    <s v="Yes"/>
    <m/>
    <x v="3"/>
    <s v="Monday"/>
  </r>
  <r>
    <d v="2024-02-19T00:00:00"/>
    <x v="37"/>
    <s v="Bookkeeping"/>
    <n v="0.5"/>
    <x v="59"/>
    <s v="Yes"/>
    <m/>
    <x v="3"/>
    <s v="Monday"/>
  </r>
  <r>
    <d v="2024-02-19T00:00:00"/>
    <x v="37"/>
    <s v="Bookkeeping"/>
    <n v="0.5"/>
    <x v="85"/>
    <s v="Yes"/>
    <m/>
    <x v="3"/>
    <s v="Monday"/>
  </r>
  <r>
    <d v="2024-02-19T00:00:00"/>
    <x v="37"/>
    <s v="Bookkeeping"/>
    <n v="2.5"/>
    <x v="19"/>
    <s v="Yes"/>
    <m/>
    <x v="3"/>
    <s v="Monday"/>
  </r>
  <r>
    <d v="2024-02-19T00:00:00"/>
    <x v="37"/>
    <s v="General"/>
    <n v="0.5"/>
    <x v="12"/>
    <s v="No"/>
    <m/>
    <x v="3"/>
    <s v="Monday"/>
  </r>
  <r>
    <d v="2024-02-19T00:00:00"/>
    <x v="37"/>
    <s v="Payroll Processing"/>
    <n v="0.25"/>
    <x v="86"/>
    <s v="Yes"/>
    <m/>
    <x v="3"/>
    <s v="Monday"/>
  </r>
  <r>
    <d v="2024-02-19T00:00:00"/>
    <x v="37"/>
    <s v="Payroll Processing"/>
    <n v="0.5"/>
    <x v="59"/>
    <s v="Yes"/>
    <s v="Amy's additional pay emails"/>
    <x v="3"/>
    <s v="Monday"/>
  </r>
  <r>
    <d v="2024-02-19T00:00:00"/>
    <x v="38"/>
    <s v="Client Manager"/>
    <n v="0.03"/>
    <x v="54"/>
    <s v="Yes"/>
    <s v="emails"/>
    <x v="3"/>
    <s v="Monday"/>
  </r>
  <r>
    <d v="2024-02-19T00:00:00"/>
    <x v="38"/>
    <s v="Client Manager"/>
    <n v="0.28000000000000003"/>
    <x v="2"/>
    <s v="Yes"/>
    <s v="emails"/>
    <x v="3"/>
    <s v="Monday"/>
  </r>
  <r>
    <d v="2024-02-19T00:00:00"/>
    <x v="38"/>
    <s v="Client Manager"/>
    <n v="0.33"/>
    <x v="2"/>
    <s v="Yes"/>
    <s v="Meeting with Stuart  on month end"/>
    <x v="3"/>
    <s v="Monday"/>
  </r>
  <r>
    <d v="2024-02-19T00:00:00"/>
    <x v="38"/>
    <s v="Client Manager"/>
    <n v="0.38"/>
    <x v="113"/>
    <s v="Yes"/>
    <s v="emails"/>
    <x v="3"/>
    <s v="Monday"/>
  </r>
  <r>
    <d v="2024-02-19T00:00:00"/>
    <x v="38"/>
    <s v="Client Manager"/>
    <n v="0.82"/>
    <x v="2"/>
    <s v="No"/>
    <s v="Follow up tasks in Asana and adding subtasks"/>
    <x v="3"/>
    <s v="Monday"/>
  </r>
  <r>
    <d v="2024-02-19T00:00:00"/>
    <x v="38"/>
    <s v="Client Manager"/>
    <n v="1.17"/>
    <x v="2"/>
    <s v="Yes"/>
    <s v="month end report"/>
    <x v="3"/>
    <s v="Monday"/>
  </r>
  <r>
    <d v="2024-02-19T00:00:00"/>
    <x v="38"/>
    <s v="Client Manager"/>
    <n v="2.6"/>
    <x v="87"/>
    <s v="Yes"/>
    <s v="financial model"/>
    <x v="3"/>
    <s v="Monday"/>
  </r>
  <r>
    <d v="2024-02-19T00:00:00"/>
    <x v="38"/>
    <s v="General"/>
    <n v="0.25"/>
    <x v="12"/>
    <s v="No"/>
    <s v="emails, teams, Asana"/>
    <x v="3"/>
    <s v="Monday"/>
  </r>
  <r>
    <d v="2024-02-19T00:00:00"/>
    <x v="38"/>
    <s v="Meetings"/>
    <n v="0.3"/>
    <x v="12"/>
    <s v="No"/>
    <s v="weekly Sydney meeting"/>
    <x v="3"/>
    <s v="Monday"/>
  </r>
  <r>
    <d v="2024-02-19T00:00:00"/>
    <x v="39"/>
    <s v="Bookkeeping"/>
    <n v="0.27"/>
    <x v="55"/>
    <s v="Yes"/>
    <s v="marsil icare"/>
    <x v="3"/>
    <s v="Monday"/>
  </r>
  <r>
    <d v="2024-02-19T00:00:00"/>
    <x v="39"/>
    <s v="Bookkeeping"/>
    <n v="0.63"/>
    <x v="14"/>
    <s v="Yes"/>
    <s v="srac bs recs update"/>
    <x v="3"/>
    <s v="Monday"/>
  </r>
  <r>
    <d v="2024-02-19T00:00:00"/>
    <x v="39"/>
    <s v="Bookkeeping"/>
    <n v="0.65"/>
    <x v="14"/>
    <s v="Yes"/>
    <s v="email, AR"/>
    <x v="3"/>
    <s v="Monday"/>
  </r>
  <r>
    <d v="2024-02-19T00:00:00"/>
    <x v="39"/>
    <s v="Bookkeeping"/>
    <n v="0.67"/>
    <x v="14"/>
    <s v="Yes"/>
    <s v="emails"/>
    <x v="3"/>
    <s v="Monday"/>
  </r>
  <r>
    <d v="2024-02-19T00:00:00"/>
    <x v="39"/>
    <s v="Bookkeeping"/>
    <n v="1.05"/>
    <x v="55"/>
    <s v="Yes"/>
    <m/>
    <x v="3"/>
    <s v="Monday"/>
  </r>
  <r>
    <d v="2024-02-19T00:00:00"/>
    <x v="39"/>
    <s v="Bookkeeping"/>
    <n v="1.18"/>
    <x v="55"/>
    <s v="Yes"/>
    <s v="files, email"/>
    <x v="3"/>
    <s v="Monday"/>
  </r>
  <r>
    <d v="2024-02-19T00:00:00"/>
    <x v="39"/>
    <s v="Bookkeeping"/>
    <n v="2.02"/>
    <x v="55"/>
    <s v="Yes"/>
    <s v="AP"/>
    <x v="3"/>
    <s v="Monday"/>
  </r>
  <r>
    <d v="2024-02-19T00:00:00"/>
    <x v="39"/>
    <s v="General"/>
    <n v="0.13"/>
    <x v="12"/>
    <s v="No"/>
    <s v="hr pro"/>
    <x v="3"/>
    <s v="Monday"/>
  </r>
  <r>
    <d v="2024-02-19T00:00:00"/>
    <x v="39"/>
    <s v="General"/>
    <n v="0.27"/>
    <x v="12"/>
    <s v="No"/>
    <s v="hr pro evaluation"/>
    <x v="3"/>
    <s v="Monday"/>
  </r>
  <r>
    <d v="2024-02-19T00:00:00"/>
    <x v="39"/>
    <s v="General"/>
    <n v="0.4"/>
    <x v="12"/>
    <s v="No"/>
    <s v="emails"/>
    <x v="3"/>
    <s v="Monday"/>
  </r>
  <r>
    <d v="2024-02-19T00:00:00"/>
    <x v="40"/>
    <s v="Bookkeeping"/>
    <n v="0.45"/>
    <x v="50"/>
    <s v="Yes"/>
    <m/>
    <x v="3"/>
    <s v="Monday"/>
  </r>
  <r>
    <d v="2024-02-19T00:00:00"/>
    <x v="40"/>
    <s v="Bookkeeping"/>
    <n v="6.32"/>
    <x v="36"/>
    <s v="Yes"/>
    <m/>
    <x v="3"/>
    <s v="Monday"/>
  </r>
  <r>
    <d v="2024-02-19T00:00:00"/>
    <x v="40"/>
    <s v="General"/>
    <n v="0.18"/>
    <x v="12"/>
    <s v="No"/>
    <s v="Dex emails"/>
    <x v="3"/>
    <s v="Monday"/>
  </r>
  <r>
    <d v="2024-02-19T00:00:00"/>
    <x v="40"/>
    <s v="Tax Advice"/>
    <n v="0.43"/>
    <x v="87"/>
    <s v="No"/>
    <s v="Called Guia re Supply Crew concerns re questions of Emily "/>
    <x v="3"/>
    <s v="Monday"/>
  </r>
  <r>
    <d v="2024-02-19T00:00:00"/>
    <x v="40"/>
    <s v="Tax Advice"/>
    <n v="1.43"/>
    <x v="87"/>
    <s v="No"/>
    <s v="Called Emily and Irish re adjustments of both companies and discussed adjusting entries."/>
    <x v="3"/>
    <s v="Monday"/>
  </r>
  <r>
    <d v="2024-02-19T00:00:00"/>
    <x v="41"/>
    <s v="General"/>
    <n v="0.63"/>
    <x v="12"/>
    <s v="No"/>
    <s v="Weekly billable reporting XPM timesheets review"/>
    <x v="3"/>
    <s v="Monday"/>
  </r>
  <r>
    <d v="2024-02-19T00:00:00"/>
    <x v="41"/>
    <s v="General"/>
    <n v="0.65"/>
    <x v="12"/>
    <s v="No"/>
    <m/>
    <x v="3"/>
    <s v="Monday"/>
  </r>
  <r>
    <d v="2024-02-19T00:00:00"/>
    <x v="41"/>
    <s v="General"/>
    <n v="2"/>
    <x v="12"/>
    <s v="No"/>
    <s v="Updating CPR and billable reporting "/>
    <x v="3"/>
    <s v="Monday"/>
  </r>
  <r>
    <d v="2024-02-19T00:00:00"/>
    <x v="41"/>
    <s v="General"/>
    <n v="2.73"/>
    <x v="12"/>
    <s v="No"/>
    <s v="Billable report additional tabs  timesheet review Sprout approvals "/>
    <x v="3"/>
    <s v="Monday"/>
  </r>
  <r>
    <d v="2024-02-19T00:00:00"/>
    <x v="41"/>
    <s v="Learning &amp; Development"/>
    <n v="1"/>
    <x v="12"/>
    <s v="No"/>
    <s v="Payroll tax training facilitation Preparation included"/>
    <x v="3"/>
    <s v="Monday"/>
  </r>
  <r>
    <d v="2024-02-19T00:00:00"/>
    <x v="41"/>
    <s v="Meetings"/>
    <n v="0.17"/>
    <x v="12"/>
    <s v="No"/>
    <s v="last day run through Charmie"/>
    <x v="3"/>
    <s v="Monday"/>
  </r>
  <r>
    <d v="2024-02-19T00:00:00"/>
    <x v="41"/>
    <s v="Meetings"/>
    <n v="1.25"/>
    <x v="12"/>
    <s v="No"/>
    <s v="meeting with Jordan"/>
    <x v="3"/>
    <s v="Monday"/>
  </r>
  <r>
    <d v="2024-02-19T00:00:00"/>
    <x v="42"/>
    <s v="Bookkeeping"/>
    <n v="7.33"/>
    <x v="16"/>
    <s v="Yes"/>
    <m/>
    <x v="3"/>
    <s v="Monday"/>
  </r>
  <r>
    <d v="2024-02-19T00:00:00"/>
    <x v="42"/>
    <s v="Learning &amp; Development"/>
    <n v="0.67"/>
    <x v="12"/>
    <s v="No"/>
    <s v="Payroll Tax training"/>
    <x v="3"/>
    <s v="Monday"/>
  </r>
  <r>
    <d v="2024-02-19T00:00:00"/>
    <x v="43"/>
    <s v="Bookkeeping"/>
    <n v="0.13"/>
    <x v="75"/>
    <s v="Yes"/>
    <s v="Enter bills"/>
    <x v="3"/>
    <s v="Monday"/>
  </r>
  <r>
    <d v="2024-02-19T00:00:00"/>
    <x v="43"/>
    <s v="Bookkeeping"/>
    <n v="0.72"/>
    <x v="73"/>
    <s v="Yes"/>
    <s v="Entering bills"/>
    <x v="3"/>
    <s v="Monday"/>
  </r>
  <r>
    <d v="2024-02-19T00:00:00"/>
    <x v="43"/>
    <s v="Bookkeeping"/>
    <n v="0.9"/>
    <x v="75"/>
    <s v="Yes"/>
    <s v="Entering bills and checking statements, email from Deb"/>
    <x v="3"/>
    <s v="Monday"/>
  </r>
  <r>
    <d v="2024-02-19T00:00:00"/>
    <x v="43"/>
    <s v="Bookkeeping"/>
    <n v="1.1000000000000001"/>
    <x v="74"/>
    <s v="Yes"/>
    <s v="Enter bills and check statements, check cash expenses and correct some transactions"/>
    <x v="3"/>
    <s v="Monday"/>
  </r>
  <r>
    <d v="2024-02-19T00:00:00"/>
    <x v="43"/>
    <s v="General"/>
    <n v="0.28000000000000003"/>
    <x v="12"/>
    <s v="No"/>
    <s v="Update office sched, teams messages"/>
    <x v="3"/>
    <s v="Monday"/>
  </r>
  <r>
    <d v="2024-02-19T00:00:00"/>
    <x v="43"/>
    <s v="General"/>
    <n v="0.45"/>
    <x v="12"/>
    <s v="No"/>
    <s v="Capacity update to Ralph"/>
    <x v="3"/>
    <s v="Monday"/>
  </r>
  <r>
    <d v="2024-02-19T00:00:00"/>
    <x v="43"/>
    <s v="General"/>
    <n v="0.5"/>
    <x v="12"/>
    <s v="No"/>
    <s v="Break"/>
    <x v="3"/>
    <s v="Monday"/>
  </r>
  <r>
    <d v="2024-02-19T00:00:00"/>
    <x v="43"/>
    <s v="IAS/BAS Preparation &amp; Lodgement - Oct-Dec"/>
    <n v="0.52"/>
    <x v="32"/>
    <s v="Yes"/>
    <s v="GST review and BAS checklist"/>
    <x v="3"/>
    <s v="Monday"/>
  </r>
  <r>
    <d v="2024-02-19T00:00:00"/>
    <x v="43"/>
    <s v="Learning &amp; Development"/>
    <n v="0.82"/>
    <x v="12"/>
    <s v="No"/>
    <s v="Payroll tax training"/>
    <x v="3"/>
    <s v="Monday"/>
  </r>
  <r>
    <d v="2024-02-19T00:00:00"/>
    <x v="43"/>
    <s v="Meetings"/>
    <n v="7.0000000000000007E-2"/>
    <x v="12"/>
    <s v="No"/>
    <s v="Quick call with Ralph re performance pro"/>
    <x v="3"/>
    <s v="Monday"/>
  </r>
  <r>
    <d v="2024-02-19T00:00:00"/>
    <x v="43"/>
    <s v="Meetings"/>
    <n v="0.17"/>
    <x v="12"/>
    <s v="No"/>
    <s v="Last day run-through - Charmie"/>
    <x v="3"/>
    <s v="Monday"/>
  </r>
  <r>
    <d v="2024-02-19T00:00:00"/>
    <x v="43"/>
    <s v="Payroll Processing"/>
    <n v="7.0000000000000007E-2"/>
    <x v="72"/>
    <s v="Yes"/>
    <s v="Load ABA for Henry Bull as per Dominic's request"/>
    <x v="3"/>
    <s v="Monday"/>
  </r>
  <r>
    <d v="2024-02-19T00:00:00"/>
    <x v="43"/>
    <s v="Payroll Processing"/>
    <n v="0.37"/>
    <x v="16"/>
    <s v="Yes"/>
    <s v="Action payroll emails"/>
    <x v="3"/>
    <s v="Monday"/>
  </r>
  <r>
    <d v="2024-02-19T00:00:00"/>
    <x v="43"/>
    <s v="Payroll Processing"/>
    <n v="0.42"/>
    <x v="54"/>
    <s v="Yes"/>
    <s v="Payroll review and some queries to Jim"/>
    <x v="3"/>
    <s v="Monday"/>
  </r>
  <r>
    <d v="2024-02-19T00:00:00"/>
    <x v="43"/>
    <s v="Payroll Processing"/>
    <n v="0.45"/>
    <x v="16"/>
    <s v="Yes"/>
    <s v="Query from Kayenne re ERP instalment"/>
    <x v="3"/>
    <s v="Monday"/>
  </r>
  <r>
    <d v="2024-02-19T00:00:00"/>
    <x v="43"/>
    <s v="Payroll Processing"/>
    <n v="0.47"/>
    <x v="81"/>
    <s v="Yes"/>
    <s v="Payroll processing"/>
    <x v="3"/>
    <s v="Monday"/>
  </r>
  <r>
    <d v="2024-02-19T00:00:00"/>
    <x v="43"/>
    <s v="Payroll Processing"/>
    <n v="0.67"/>
    <x v="37"/>
    <s v="Yes"/>
    <s v="Action payroll emails, update live file for payroll processing"/>
    <x v="3"/>
    <s v="Monday"/>
  </r>
  <r>
    <d v="2024-02-19T00:00:00"/>
    <x v="45"/>
    <s v="Bookkeeping"/>
    <n v="0.08"/>
    <x v="48"/>
    <s v="Yes"/>
    <s v="Post journal for BAS Email client re payment"/>
    <x v="3"/>
    <s v="Monday"/>
  </r>
  <r>
    <d v="2024-02-19T00:00:00"/>
    <x v="45"/>
    <s v="Bookkeeping"/>
    <n v="0.82"/>
    <x v="57"/>
    <s v="Yes"/>
    <s v="Update cashflow file AP and bank rec review"/>
    <x v="3"/>
    <s v="Monday"/>
  </r>
  <r>
    <d v="2024-02-19T00:00:00"/>
    <x v="45"/>
    <s v="Bookkeeping"/>
    <n v="0.85"/>
    <x v="58"/>
    <s v="Yes"/>
    <s v="Accounts review Bank rec Inbox mgmt"/>
    <x v="3"/>
    <s v="Monday"/>
  </r>
  <r>
    <d v="2024-02-19T00:00:00"/>
    <x v="45"/>
    <s v="Bookkeeping"/>
    <n v="1.53"/>
    <x v="50"/>
    <s v="Yes"/>
    <s v="AP run"/>
    <x v="3"/>
    <s v="Monday"/>
  </r>
  <r>
    <d v="2024-02-19T00:00:00"/>
    <x v="45"/>
    <s v="Bookkeeping"/>
    <n v="1.7"/>
    <x v="50"/>
    <s v="Yes"/>
    <s v="Import bank transactions Inbox managment Posting of AP bills"/>
    <x v="3"/>
    <s v="Monday"/>
  </r>
  <r>
    <d v="2024-02-19T00:00:00"/>
    <x v="45"/>
    <s v="Bookkeeping"/>
    <n v="2.1"/>
    <x v="50"/>
    <s v="Yes"/>
    <s v="Update AP run Upload payments"/>
    <x v="3"/>
    <s v="Monday"/>
  </r>
  <r>
    <d v="2024-02-19T00:00:00"/>
    <x v="45"/>
    <s v="General"/>
    <n v="0.5"/>
    <x v="12"/>
    <s v="No"/>
    <s v="Paid break"/>
    <x v="3"/>
    <s v="Monday"/>
  </r>
  <r>
    <d v="2024-02-19T00:00:00"/>
    <x v="45"/>
    <s v="Learning &amp; Development"/>
    <n v="0.77"/>
    <x v="12"/>
    <s v="No"/>
    <s v="Payroll tax training "/>
    <x v="3"/>
    <s v="Monday"/>
  </r>
  <r>
    <d v="2024-02-19T00:00:00"/>
    <x v="46"/>
    <s v="Client Manager"/>
    <n v="0.33"/>
    <x v="29"/>
    <s v="Yes"/>
    <s v="Update employee setup for Anna. Update her pay template in draft payrun. Email Kerry accordingly. "/>
    <x v="3"/>
    <s v="Monday"/>
  </r>
  <r>
    <d v="2024-02-19T00:00:00"/>
    <x v="46"/>
    <s v="Client Manager"/>
    <n v="0.5"/>
    <x v="49"/>
    <s v="Yes"/>
    <s v="Review BS as at 31.12.2023. Send comments to Logika/Lindsay for adjustment/clarification"/>
    <x v="3"/>
    <s v="Monday"/>
  </r>
  <r>
    <d v="2024-02-19T00:00:00"/>
    <x v="46"/>
    <s v="General"/>
    <n v="0.5"/>
    <x v="12"/>
    <s v="No"/>
    <s v="Weekly invoices, liaise with Con re payroll tax registration in QLD, etc"/>
    <x v="3"/>
    <s v="Monday"/>
  </r>
  <r>
    <d v="2024-02-19T00:00:00"/>
    <x v="46"/>
    <s v="IAS/BAS Preparation &amp; Lodgement - Jan"/>
    <n v="0.17"/>
    <x v="71"/>
    <s v="Yes"/>
    <s v="Jan 2024 IAS review and lodgement"/>
    <x v="3"/>
    <s v="Monday"/>
  </r>
  <r>
    <d v="2024-02-19T00:00:00"/>
    <x v="46"/>
    <s v="IAS/BAS Preparation &amp; Lodgement - Jan"/>
    <n v="0.17"/>
    <x v="58"/>
    <s v="Yes"/>
    <s v="Jan 2024 IAS review and lodgement"/>
    <x v="3"/>
    <s v="Monday"/>
  </r>
  <r>
    <d v="2024-02-19T00:00:00"/>
    <x v="46"/>
    <s v="IAS/BAS Preparation &amp; Lodgement - Jan"/>
    <n v="0.17"/>
    <x v="8"/>
    <s v="Yes"/>
    <s v="Jan 2024 IAS review and lodgement"/>
    <x v="3"/>
    <s v="Monday"/>
  </r>
  <r>
    <d v="2024-02-19T00:00:00"/>
    <x v="46"/>
    <s v="IAS/BAS Preparation &amp; Lodgement - Jan"/>
    <n v="0.17"/>
    <x v="31"/>
    <s v="Yes"/>
    <s v="Jan 2024 IAS review and lodgement"/>
    <x v="3"/>
    <s v="Monday"/>
  </r>
  <r>
    <d v="2024-02-19T00:00:00"/>
    <x v="46"/>
    <s v="IAS/BAS Preparation &amp; Lodgement - Oct-Dec"/>
    <n v="0.33"/>
    <x v="97"/>
    <s v="Yes"/>
    <s v="Dec 2023 quarter BAS review and lodgement"/>
    <x v="3"/>
    <s v="Monday"/>
  </r>
  <r>
    <d v="2024-02-19T00:00:00"/>
    <x v="46"/>
    <s v="IAS/BAS Preparation &amp; Lodgement - Oct-Dec"/>
    <n v="0.33"/>
    <x v="98"/>
    <s v="Yes"/>
    <s v="Dec 2023 quarter BAS review and lodgement"/>
    <x v="3"/>
    <s v="Monday"/>
  </r>
  <r>
    <d v="2024-02-19T00:00:00"/>
    <x v="46"/>
    <s v="IAS/BAS Preparation &amp; Lodgement - Oct-Dec"/>
    <n v="0.33"/>
    <x v="34"/>
    <s v="Yes"/>
    <s v="Dec 2023 quarter BAS review &amp; lodgement"/>
    <x v="3"/>
    <s v="Monday"/>
  </r>
  <r>
    <d v="2024-02-19T00:00:00"/>
    <x v="46"/>
    <s v="IAS/BAS Preparation &amp; Lodgement - Oct-Dec"/>
    <n v="0.33"/>
    <x v="57"/>
    <s v="Yes"/>
    <s v="Dec 2023 quarter BAS review &amp; lodgement"/>
    <x v="3"/>
    <s v="Monday"/>
  </r>
  <r>
    <d v="2024-02-19T00:00:00"/>
    <x v="46"/>
    <s v="IAS/BAS Preparation &amp; Lodgement - Oct-Dec"/>
    <n v="0.33"/>
    <x v="49"/>
    <s v="Yes"/>
    <s v="Dec 2023 quarter BAS review and lodgement"/>
    <x v="3"/>
    <s v="Monday"/>
  </r>
  <r>
    <d v="2024-02-19T00:00:00"/>
    <x v="46"/>
    <s v="IAS/BAS Preparation &amp; Lodgement - Oct-Dec"/>
    <n v="0.33"/>
    <x v="88"/>
    <s v="Yes"/>
    <s v="Dec 2023 quarter BAS review and lodgement"/>
    <x v="3"/>
    <s v="Monday"/>
  </r>
  <r>
    <d v="2024-02-19T00:00:00"/>
    <x v="46"/>
    <s v="IAS/BAS Preparation &amp; Lodgement - Oct-Dec"/>
    <n v="0.33"/>
    <x v="1"/>
    <s v="Yes"/>
    <s v="Dec 2023 quarter BAS review and lodgement"/>
    <x v="3"/>
    <s v="Monday"/>
  </r>
  <r>
    <d v="2024-02-19T00:00:00"/>
    <x v="46"/>
    <s v="Learning &amp; Development"/>
    <n v="1"/>
    <x v="12"/>
    <s v="No"/>
    <s v="Payroll tax training"/>
    <x v="3"/>
    <s v="Monday"/>
  </r>
  <r>
    <d v="2024-02-19T00:00:00"/>
    <x v="46"/>
    <s v="Meetings"/>
    <n v="0.5"/>
    <x v="12"/>
    <s v="No"/>
    <s v="Fortnightly catchup with Ali"/>
    <x v="3"/>
    <s v="Monday"/>
  </r>
  <r>
    <d v="2024-02-19T00:00:00"/>
    <x v="46"/>
    <s v="Meetings"/>
    <n v="0.5"/>
    <x v="12"/>
    <s v="No"/>
    <s v="Weekly meeting with LM"/>
    <x v="3"/>
    <s v="Monday"/>
  </r>
  <r>
    <d v="2024-02-19T00:00:00"/>
    <x v="46"/>
    <s v="Meetings"/>
    <n v="0.5"/>
    <x v="12"/>
    <s v="No"/>
    <s v="Weekly Sydney meeting"/>
    <x v="3"/>
    <s v="Monday"/>
  </r>
  <r>
    <d v="2024-02-19T00:00:00"/>
    <x v="46"/>
    <s v="Sick Leave"/>
    <n v="1"/>
    <x v="12"/>
    <s v="No"/>
    <m/>
    <x v="3"/>
    <s v="Monday"/>
  </r>
  <r>
    <d v="2024-02-19T00:00:00"/>
    <x v="53"/>
    <s v="General"/>
    <n v="0.33"/>
    <x v="12"/>
    <s v="No"/>
    <s v="Meet and greet with James of Alliance"/>
    <x v="3"/>
    <s v="Monday"/>
  </r>
  <r>
    <d v="2024-02-19T00:00:00"/>
    <x v="53"/>
    <s v="General"/>
    <n v="7.92"/>
    <x v="12"/>
    <s v="No"/>
    <s v="Dell support on replacing camera"/>
    <x v="3"/>
    <s v="Monday"/>
  </r>
  <r>
    <d v="2024-02-19T00:00:00"/>
    <x v="47"/>
    <s v="Bookkeeping"/>
    <n v="0.7"/>
    <x v="50"/>
    <s v="Yes"/>
    <s v="3TOP- call with Stephen, review Chris'report, instructions to Rachele"/>
    <x v="3"/>
    <s v="Monday"/>
  </r>
  <r>
    <d v="2024-02-19T00:00:00"/>
    <x v="47"/>
    <s v="Bookkeeping"/>
    <n v="0.9"/>
    <x v="50"/>
    <s v="Yes"/>
    <s v="AP - bank - "/>
    <x v="3"/>
    <s v="Monday"/>
  </r>
  <r>
    <d v="2024-02-19T00:00:00"/>
    <x v="47"/>
    <s v="Bookkeeping"/>
    <n v="2"/>
    <x v="50"/>
    <s v="Yes"/>
    <s v="BLM - reconciliations - correct accounts "/>
    <x v="3"/>
    <s v="Monday"/>
  </r>
  <r>
    <d v="2024-02-19T00:00:00"/>
    <x v="47"/>
    <s v="Client Manager"/>
    <n v="0.2"/>
    <x v="39"/>
    <s v="Yes"/>
    <s v="email new fees"/>
    <x v="3"/>
    <s v="Monday"/>
  </r>
  <r>
    <d v="2024-02-19T00:00:00"/>
    <x v="47"/>
    <s v="Client Manager"/>
    <n v="0.8"/>
    <x v="50"/>
    <s v="Yes"/>
    <s v="Liaise with team, emails "/>
    <x v="3"/>
    <s v="Monday"/>
  </r>
  <r>
    <d v="2024-02-19T00:00:00"/>
    <x v="47"/>
    <s v="Client Meeting"/>
    <n v="0.8"/>
    <x v="50"/>
    <s v="Yes"/>
    <s v="Teams catch up Stephen"/>
    <x v="3"/>
    <s v="Monday"/>
  </r>
  <r>
    <d v="2024-02-19T00:00:00"/>
    <x v="47"/>
    <s v="General"/>
    <n v="0.8"/>
    <x v="12"/>
    <s v="No"/>
    <s v="emails, teams, client admin, Asana"/>
    <x v="3"/>
    <s v="Monday"/>
  </r>
  <r>
    <d v="2024-02-19T00:00:00"/>
    <x v="47"/>
    <s v="IAS/BAS Preparation &amp; Lodgement - Oct-Dec"/>
    <n v="0.2"/>
    <x v="50"/>
    <s v="Yes"/>
    <s v="emails Shalini and LM re BAM and BELCR"/>
    <x v="3"/>
    <s v="Monday"/>
  </r>
  <r>
    <d v="2024-02-19T00:00:00"/>
    <x v="47"/>
    <s v="Management Reporting"/>
    <n v="1.6"/>
    <x v="4"/>
    <s v="Yes"/>
    <s v="Review BS rec, prepare monthly reports"/>
    <x v="3"/>
    <s v="Monday"/>
  </r>
  <r>
    <d v="2024-02-19T00:00:00"/>
    <x v="47"/>
    <s v="Meetings"/>
    <n v="0.4"/>
    <x v="12"/>
    <s v="No"/>
    <s v="Weekly Catch up"/>
    <x v="3"/>
    <s v="Monday"/>
  </r>
  <r>
    <d v="2024-02-19T00:00:00"/>
    <x v="48"/>
    <s v="General"/>
    <n v="2"/>
    <x v="12"/>
    <s v="No"/>
    <e v="#NAME?"/>
    <x v="3"/>
    <s v="Monday"/>
  </r>
  <r>
    <d v="2024-02-19T00:00:00"/>
    <x v="48"/>
    <s v="HR/Recuitment"/>
    <n v="5"/>
    <x v="12"/>
    <s v="No"/>
    <e v="#NAME?"/>
    <x v="3"/>
    <s v="Monday"/>
  </r>
  <r>
    <d v="2024-02-19T00:00:00"/>
    <x v="48"/>
    <s v="Meetings"/>
    <n v="1"/>
    <x v="12"/>
    <s v="No"/>
    <s v="Exit Interview - Charmie"/>
    <x v="3"/>
    <s v="Monday"/>
  </r>
  <r>
    <d v="2024-02-20T00:00:00"/>
    <x v="0"/>
    <s v="Bookkeeping"/>
    <n v="0.05"/>
    <x v="6"/>
    <s v="Yes"/>
    <s v="Emails"/>
    <x v="3"/>
    <s v="Tuesday"/>
  </r>
  <r>
    <d v="2024-02-20T00:00:00"/>
    <x v="0"/>
    <s v="Bookkeeping"/>
    <n v="0.08"/>
    <x v="19"/>
    <s v="Yes"/>
    <s v="Emails"/>
    <x v="3"/>
    <s v="Tuesday"/>
  </r>
  <r>
    <d v="2024-02-20T00:00:00"/>
    <x v="0"/>
    <s v="Bookkeeping"/>
    <n v="0.08"/>
    <x v="8"/>
    <s v="Yes"/>
    <s v="Emails"/>
    <x v="3"/>
    <s v="Tuesday"/>
  </r>
  <r>
    <d v="2024-02-20T00:00:00"/>
    <x v="0"/>
    <s v="Bookkeeping"/>
    <n v="0.08"/>
    <x v="11"/>
    <s v="Yes"/>
    <s v="Emails"/>
    <x v="3"/>
    <s v="Tuesday"/>
  </r>
  <r>
    <d v="2024-02-20T00:00:00"/>
    <x v="0"/>
    <s v="Bookkeeping"/>
    <n v="0.12"/>
    <x v="10"/>
    <s v="Yes"/>
    <s v="Email"/>
    <x v="3"/>
    <s v="Tuesday"/>
  </r>
  <r>
    <d v="2024-02-20T00:00:00"/>
    <x v="0"/>
    <s v="Bookkeeping"/>
    <n v="0.17"/>
    <x v="1"/>
    <s v="Yes"/>
    <s v="Accounts Payable"/>
    <x v="3"/>
    <s v="Tuesday"/>
  </r>
  <r>
    <d v="2024-02-20T00:00:00"/>
    <x v="0"/>
    <s v="Bookkeeping"/>
    <n v="0.2"/>
    <x v="8"/>
    <s v="Yes"/>
    <s v="Email"/>
    <x v="3"/>
    <s v="Tuesday"/>
  </r>
  <r>
    <d v="2024-02-20T00:00:00"/>
    <x v="0"/>
    <s v="Bookkeeping"/>
    <n v="0.22"/>
    <x v="6"/>
    <s v="Yes"/>
    <s v="Email/Inbox Management"/>
    <x v="3"/>
    <s v="Tuesday"/>
  </r>
  <r>
    <d v="2024-02-20T00:00:00"/>
    <x v="0"/>
    <s v="Bookkeeping"/>
    <n v="0.4"/>
    <x v="2"/>
    <s v="Yes"/>
    <s v="Publish bills from Hubdoc to Xero"/>
    <x v="3"/>
    <s v="Tuesday"/>
  </r>
  <r>
    <d v="2024-02-20T00:00:00"/>
    <x v="0"/>
    <s v="Bookkeeping"/>
    <n v="0.42"/>
    <x v="3"/>
    <s v="Yes"/>
    <s v="Clear AP inbox and Submit bills for approval in Xero"/>
    <x v="3"/>
    <s v="Tuesday"/>
  </r>
  <r>
    <d v="2024-02-20T00:00:00"/>
    <x v="0"/>
    <s v="Bookkeeping"/>
    <n v="0.55000000000000004"/>
    <x v="19"/>
    <s v="Yes"/>
    <s v="Enter bills in Sage"/>
    <x v="3"/>
    <s v="Tuesday"/>
  </r>
  <r>
    <d v="2024-02-20T00:00:00"/>
    <x v="0"/>
    <s v="Bookkeeping"/>
    <n v="0.56999999999999995"/>
    <x v="2"/>
    <s v="Yes"/>
    <s v="Emails and Import contacts from AgriChain to Xero"/>
    <x v="3"/>
    <s v="Tuesday"/>
  </r>
  <r>
    <d v="2024-02-20T00:00:00"/>
    <x v="0"/>
    <s v="Bookkeeping"/>
    <n v="0.6"/>
    <x v="4"/>
    <s v="Yes"/>
    <s v="AP and Email/Inbox Management"/>
    <x v="3"/>
    <s v="Tuesday"/>
  </r>
  <r>
    <d v="2024-02-20T00:00:00"/>
    <x v="0"/>
    <s v="Bookkeeping"/>
    <n v="0.65"/>
    <x v="62"/>
    <s v="Yes"/>
    <s v="Accounts Payable"/>
    <x v="3"/>
    <s v="Tuesday"/>
  </r>
  <r>
    <d v="2024-02-20T00:00:00"/>
    <x v="0"/>
    <s v="Bookkeeping"/>
    <n v="1.45"/>
    <x v="19"/>
    <s v="Yes"/>
    <s v="Enter bills in Sage and Update Team and Department List"/>
    <x v="3"/>
    <s v="Tuesday"/>
  </r>
  <r>
    <d v="2024-02-20T00:00:00"/>
    <x v="0"/>
    <s v="Client Meeting"/>
    <n v="0.32"/>
    <x v="13"/>
    <s v="Yes"/>
    <s v="Meeting with Gerhard and Xavi regarding payroll concerns"/>
    <x v="3"/>
    <s v="Tuesday"/>
  </r>
  <r>
    <d v="2024-02-20T00:00:00"/>
    <x v="0"/>
    <s v="General"/>
    <n v="0.25"/>
    <x v="12"/>
    <s v="No"/>
    <s v="Afternoon Break"/>
    <x v="3"/>
    <s v="Tuesday"/>
  </r>
  <r>
    <d v="2024-02-20T00:00:00"/>
    <x v="0"/>
    <s v="General"/>
    <n v="0.25"/>
    <x v="12"/>
    <s v="No"/>
    <s v="Morning Break"/>
    <x v="3"/>
    <s v="Tuesday"/>
  </r>
  <r>
    <d v="2024-02-20T00:00:00"/>
    <x v="0"/>
    <s v="General"/>
    <n v="0.92"/>
    <x v="12"/>
    <s v="No"/>
    <s v="Prepare Team Activity"/>
    <x v="3"/>
    <s v="Tuesday"/>
  </r>
  <r>
    <d v="2024-02-20T00:00:00"/>
    <x v="0"/>
    <s v="Management Reporting"/>
    <n v="0.52"/>
    <x v="11"/>
    <s v="Yes"/>
    <s v="EOFY Checklist"/>
    <x v="3"/>
    <s v="Tuesday"/>
  </r>
  <r>
    <d v="2024-02-20T00:00:00"/>
    <x v="0"/>
    <s v="Payroll Processing"/>
    <n v="0.12"/>
    <x v="11"/>
    <s v="Yes"/>
    <s v="Review"/>
    <x v="3"/>
    <s v="Tuesday"/>
  </r>
  <r>
    <d v="2024-02-20T00:00:00"/>
    <x v="49"/>
    <s v="P&amp;C Advisory - Group"/>
    <n v="0.83"/>
    <x v="63"/>
    <s v="Yes"/>
    <s v="Correspondence re. nGage pulse survey Weekly HR meeting with FD Review of AussiePay data (in prep for salary reviews)"/>
    <x v="3"/>
    <s v="Tuesday"/>
  </r>
  <r>
    <d v="2024-02-20T00:00:00"/>
    <x v="49"/>
    <s v="P&amp;C Advisory - Nederman PT"/>
    <n v="1"/>
    <x v="63"/>
    <s v="Yes"/>
    <s v="Draft script for Sydney staff (office closure) and potential impacts"/>
    <x v="3"/>
    <s v="Tuesday"/>
  </r>
  <r>
    <d v="2024-02-20T00:00:00"/>
    <x v="49"/>
    <s v="P&amp;C Advisory - Nordfab"/>
    <n v="1.75"/>
    <x v="63"/>
    <s v="Yes"/>
    <s v="Correspondence re. reporting line change request Weekly Finance/HR meeting Onboarding new employee Correspondence re. newhire Review of candidates"/>
    <x v="3"/>
    <s v="Tuesday"/>
  </r>
  <r>
    <d v="2024-02-20T00:00:00"/>
    <x v="1"/>
    <s v="Bookkeeping"/>
    <n v="0.12"/>
    <x v="64"/>
    <s v="Yes"/>
    <s v="check emails, chat Nick"/>
    <x v="3"/>
    <s v="Tuesday"/>
  </r>
  <r>
    <d v="2024-02-20T00:00:00"/>
    <x v="1"/>
    <s v="Bookkeeping"/>
    <n v="0.15"/>
    <x v="64"/>
    <s v="Yes"/>
    <s v="check Stump Capital"/>
    <x v="3"/>
    <s v="Tuesday"/>
  </r>
  <r>
    <d v="2024-02-20T00:00:00"/>
    <x v="1"/>
    <s v="Bookkeeping"/>
    <n v="0.35"/>
    <x v="64"/>
    <s v="Yes"/>
    <s v="check and respond to emails, check with Aileen re bank access"/>
    <x v="3"/>
    <s v="Tuesday"/>
  </r>
  <r>
    <d v="2024-02-20T00:00:00"/>
    <x v="1"/>
    <s v="Bookkeeping"/>
    <n v="1"/>
    <x v="15"/>
    <s v="Yes"/>
    <m/>
    <x v="3"/>
    <s v="Tuesday"/>
  </r>
  <r>
    <d v="2024-02-20T00:00:00"/>
    <x v="1"/>
    <s v="Bookkeeping"/>
    <n v="1.25"/>
    <x v="14"/>
    <s v="Yes"/>
    <m/>
    <x v="3"/>
    <s v="Tuesday"/>
  </r>
  <r>
    <d v="2024-02-20T00:00:00"/>
    <x v="1"/>
    <s v="General"/>
    <n v="0.2"/>
    <x v="12"/>
    <s v="No"/>
    <s v="Check Outstanding ATO Status file from LM and add notes"/>
    <x v="3"/>
    <s v="Tuesday"/>
  </r>
  <r>
    <d v="2024-02-20T00:00:00"/>
    <x v="1"/>
    <s v="General"/>
    <n v="0.25"/>
    <x v="12"/>
    <s v="No"/>
    <s v="review and update capacity"/>
    <x v="3"/>
    <s v="Tuesday"/>
  </r>
  <r>
    <d v="2024-02-20T00:00:00"/>
    <x v="1"/>
    <s v="General"/>
    <n v="0.35"/>
    <x v="53"/>
    <s v="Yes"/>
    <s v="chats, emails, Asana, attend to concerns/questions"/>
    <x v="3"/>
    <s v="Tuesday"/>
  </r>
  <r>
    <d v="2024-02-20T00:00:00"/>
    <x v="1"/>
    <s v="General"/>
    <n v="0.53"/>
    <x v="12"/>
    <s v="No"/>
    <s v="chats, emails, Asana, follow ups"/>
    <x v="3"/>
    <s v="Tuesday"/>
  </r>
  <r>
    <d v="2024-02-20T00:00:00"/>
    <x v="1"/>
    <s v="General"/>
    <n v="0.55000000000000004"/>
    <x v="12"/>
    <s v="No"/>
    <s v="break"/>
    <x v="3"/>
    <s v="Tuesday"/>
  </r>
  <r>
    <d v="2024-02-20T00:00:00"/>
    <x v="1"/>
    <s v="General"/>
    <n v="0.68"/>
    <x v="12"/>
    <s v="No"/>
    <s v="Check for client movements considering recent promotions, BAS/IAS status, etc"/>
    <x v="3"/>
    <s v="Tuesday"/>
  </r>
  <r>
    <d v="2024-02-20T00:00:00"/>
    <x v="1"/>
    <s v="General"/>
    <n v="1"/>
    <x v="12"/>
    <s v="No"/>
    <s v="Research on KeyPay set up, cross check with SRAC, etc"/>
    <x v="3"/>
    <s v="Tuesday"/>
  </r>
  <r>
    <d v="2024-02-20T00:00:00"/>
    <x v="1"/>
    <s v="Meetings"/>
    <n v="0.13"/>
    <x v="12"/>
    <s v="No"/>
    <s v="monthly catchup"/>
    <x v="3"/>
    <s v="Tuesday"/>
  </r>
  <r>
    <d v="2024-02-20T00:00:00"/>
    <x v="1"/>
    <s v="Meetings"/>
    <n v="0.23"/>
    <x v="12"/>
    <s v="No"/>
    <s v="call with LM re GST across entities"/>
    <x v="3"/>
    <s v="Tuesday"/>
  </r>
  <r>
    <d v="2024-02-20T00:00:00"/>
    <x v="1"/>
    <s v="Meetings"/>
    <n v="0.35"/>
    <x v="12"/>
    <s v="No"/>
    <s v="monthly catchup with Cess"/>
    <x v="3"/>
    <s v="Tuesday"/>
  </r>
  <r>
    <d v="2024-02-20T00:00:00"/>
    <x v="1"/>
    <s v="Meetings"/>
    <n v="0.5"/>
    <x v="12"/>
    <s v="No"/>
    <s v="capacity planning"/>
    <x v="3"/>
    <s v="Tuesday"/>
  </r>
  <r>
    <d v="2024-02-20T00:00:00"/>
    <x v="1"/>
    <s v="Payroll Processing"/>
    <n v="0.57999999999999996"/>
    <x v="15"/>
    <s v="Yes"/>
    <m/>
    <x v="3"/>
    <s v="Tuesday"/>
  </r>
  <r>
    <d v="2024-02-20T00:00:00"/>
    <x v="3"/>
    <s v="Annual Leave"/>
    <n v="4"/>
    <x v="12"/>
    <s v="No"/>
    <s v="Annual Physical Exam Schedule"/>
    <x v="3"/>
    <s v="Tuesday"/>
  </r>
  <r>
    <d v="2024-02-20T00:00:00"/>
    <x v="3"/>
    <s v="Business Development"/>
    <n v="4.5"/>
    <x v="12"/>
    <s v="No"/>
    <s v=" *meeting with Z regarding intellicare  *continue flows"/>
    <x v="3"/>
    <s v="Tuesday"/>
  </r>
  <r>
    <d v="2024-02-20T00:00:00"/>
    <x v="4"/>
    <s v="Business Development"/>
    <n v="7.5"/>
    <x v="12"/>
    <s v="No"/>
    <m/>
    <x v="3"/>
    <s v="Tuesday"/>
  </r>
  <r>
    <d v="2024-02-20T00:00:00"/>
    <x v="5"/>
    <s v="Bookkeeping"/>
    <n v="1.57"/>
    <x v="16"/>
    <s v="Yes"/>
    <s v="Review of Comments from James for the EFT lists and updating Bank Details "/>
    <x v="3"/>
    <s v="Tuesday"/>
  </r>
  <r>
    <d v="2024-02-20T00:00:00"/>
    <x v="5"/>
    <s v="Bookkeeping"/>
    <n v="1.93"/>
    <x v="16"/>
    <s v="Yes"/>
    <s v="Email Management "/>
    <x v="3"/>
    <s v="Tuesday"/>
  </r>
  <r>
    <d v="2024-02-20T00:00:00"/>
    <x v="5"/>
    <s v="Bookkeeping"/>
    <n v="2.2799999999999998"/>
    <x v="16"/>
    <s v="Yes"/>
    <s v="Checking of Statements "/>
    <x v="3"/>
    <s v="Tuesday"/>
  </r>
  <r>
    <d v="2024-02-20T00:00:00"/>
    <x v="5"/>
    <s v="Bookkeeping"/>
    <n v="2.57"/>
    <x v="16"/>
    <s v="Yes"/>
    <s v="Posting of Invoices "/>
    <x v="3"/>
    <s v="Tuesday"/>
  </r>
  <r>
    <d v="2024-02-20T00:00:00"/>
    <x v="7"/>
    <s v="Automations"/>
    <n v="9.93"/>
    <x v="12"/>
    <s v="No"/>
    <m/>
    <x v="3"/>
    <s v="Tuesday"/>
  </r>
  <r>
    <d v="2024-02-20T00:00:00"/>
    <x v="8"/>
    <s v="Budget - Monthly"/>
    <n v="0.02"/>
    <x v="127"/>
    <s v="No"/>
    <m/>
    <x v="3"/>
    <s v="Tuesday"/>
  </r>
  <r>
    <d v="2024-02-20T00:00:00"/>
    <x v="9"/>
    <s v="Automations"/>
    <n v="2"/>
    <x v="12"/>
    <s v="No"/>
    <s v="Run four Alliance automations + AP automation;"/>
    <x v="3"/>
    <s v="Tuesday"/>
  </r>
  <r>
    <d v="2024-02-20T00:00:00"/>
    <x v="10"/>
    <s v="Automations"/>
    <n v="9.02"/>
    <x v="12"/>
    <s v="No"/>
    <s v="Alliance Automation Part 2 and 3 Development "/>
    <x v="3"/>
    <s v="Tuesday"/>
  </r>
  <r>
    <d v="2024-02-20T00:00:00"/>
    <x v="11"/>
    <s v="Bookkeeping"/>
    <n v="0.57999999999999996"/>
    <x v="24"/>
    <s v="No"/>
    <s v="Checking, sending follow-ups to client re queries"/>
    <x v="3"/>
    <s v="Tuesday"/>
  </r>
  <r>
    <d v="2024-02-20T00:00:00"/>
    <x v="11"/>
    <s v="Bookkeeping"/>
    <n v="0.57999999999999996"/>
    <x v="25"/>
    <s v="No"/>
    <s v="Started BS recon"/>
    <x v="3"/>
    <s v="Tuesday"/>
  </r>
  <r>
    <d v="2024-02-20T00:00:00"/>
    <x v="11"/>
    <s v="Bookkeeping"/>
    <n v="1.08"/>
    <x v="23"/>
    <s v="Yes"/>
    <s v="bank recon for BAS"/>
    <x v="3"/>
    <s v="Tuesday"/>
  </r>
  <r>
    <d v="2024-02-20T00:00:00"/>
    <x v="11"/>
    <s v="Bookkeeping"/>
    <n v="1.17"/>
    <x v="24"/>
    <s v="Yes"/>
    <s v="bank recon for BAS"/>
    <x v="3"/>
    <s v="Tuesday"/>
  </r>
  <r>
    <d v="2024-02-20T00:00:00"/>
    <x v="11"/>
    <s v="Bookkeeping"/>
    <n v="4.08"/>
    <x v="25"/>
    <s v="Yes"/>
    <s v="Checking emails, loading bills, bank recon for BAS, checking Luke's eBay account to find missing bills, BS rec"/>
    <x v="3"/>
    <s v="Tuesday"/>
  </r>
  <r>
    <d v="2024-02-20T00:00:00"/>
    <x v="11"/>
    <s v="General"/>
    <n v="0.5"/>
    <x v="12"/>
    <s v="No"/>
    <s v="break"/>
    <x v="3"/>
    <s v="Tuesday"/>
  </r>
  <r>
    <d v="2024-02-20T00:00:00"/>
    <x v="14"/>
    <s v="Bookkeeping"/>
    <n v="0.17"/>
    <x v="119"/>
    <s v="Yes"/>
    <s v="Xero set-up, emails"/>
    <x v="3"/>
    <s v="Tuesday"/>
  </r>
  <r>
    <d v="2024-02-20T00:00:00"/>
    <x v="14"/>
    <s v="Bookkeeping"/>
    <n v="0.32"/>
    <x v="34"/>
    <s v="Yes"/>
    <s v="inbox"/>
    <x v="3"/>
    <s v="Tuesday"/>
  </r>
  <r>
    <d v="2024-02-20T00:00:00"/>
    <x v="14"/>
    <s v="Bookkeeping"/>
    <n v="0.37"/>
    <x v="28"/>
    <s v="Yes"/>
    <s v="emails/queries"/>
    <x v="3"/>
    <s v="Tuesday"/>
  </r>
  <r>
    <d v="2024-02-20T00:00:00"/>
    <x v="14"/>
    <s v="Bookkeeping"/>
    <n v="0.37"/>
    <x v="28"/>
    <s v="Yes"/>
    <s v="review of forecast P&amp;L layout"/>
    <x v="3"/>
    <s v="Tuesday"/>
  </r>
  <r>
    <d v="2024-02-20T00:00:00"/>
    <x v="14"/>
    <s v="Bookkeeping"/>
    <n v="1.37"/>
    <x v="119"/>
    <s v="Yes"/>
    <s v="Xero set-up"/>
    <x v="3"/>
    <s v="Tuesday"/>
  </r>
  <r>
    <d v="2024-02-20T00:00:00"/>
    <x v="14"/>
    <s v="Bookkeeping"/>
    <n v="1.65"/>
    <x v="80"/>
    <s v="Yes"/>
    <s v="bank recs"/>
    <x v="3"/>
    <s v="Tuesday"/>
  </r>
  <r>
    <d v="2024-02-20T00:00:00"/>
    <x v="14"/>
    <s v="Bookkeeping"/>
    <n v="2.2799999999999998"/>
    <x v="80"/>
    <s v="Yes"/>
    <s v="bank rec"/>
    <x v="3"/>
    <s v="Tuesday"/>
  </r>
  <r>
    <d v="2024-02-20T00:00:00"/>
    <x v="14"/>
    <s v="Client Meeting"/>
    <n v="0.27"/>
    <x v="13"/>
    <s v="Yes"/>
    <s v="OT rates call w/ Gerhard"/>
    <x v="3"/>
    <s v="Tuesday"/>
  </r>
  <r>
    <d v="2024-02-20T00:00:00"/>
    <x v="14"/>
    <s v="Client Meeting"/>
    <n v="0.47"/>
    <x v="16"/>
    <s v="Yes"/>
    <m/>
    <x v="3"/>
    <s v="Tuesday"/>
  </r>
  <r>
    <d v="2024-02-20T00:00:00"/>
    <x v="14"/>
    <s v="General"/>
    <n v="0.1"/>
    <x v="12"/>
    <s v="No"/>
    <s v="email/teams settings"/>
    <x v="3"/>
    <s v="Tuesday"/>
  </r>
  <r>
    <d v="2024-02-20T00:00:00"/>
    <x v="14"/>
    <s v="General"/>
    <n v="0.5"/>
    <x v="12"/>
    <s v="No"/>
    <s v="break"/>
    <x v="3"/>
    <s v="Tuesday"/>
  </r>
  <r>
    <d v="2024-02-20T00:00:00"/>
    <x v="14"/>
    <s v="Payroll Processing"/>
    <n v="0.15"/>
    <x v="16"/>
    <s v="Yes"/>
    <s v="check inbox"/>
    <x v="3"/>
    <s v="Tuesday"/>
  </r>
  <r>
    <d v="2024-02-20T00:00:00"/>
    <x v="15"/>
    <s v="General"/>
    <n v="9.98"/>
    <x v="12"/>
    <s v="No"/>
    <s v="- Retrieval of Charmie Patos equipment. - ASIC - ATO   - Continued work on the Superfoods Australia case. - Checked the working condition of April Tortal's returned equipment."/>
    <x v="3"/>
    <s v="Tuesday"/>
  </r>
  <r>
    <d v="2024-02-20T00:00:00"/>
    <x v="16"/>
    <s v="Bookkeeping"/>
    <n v="0.28000000000000003"/>
    <x v="29"/>
    <s v="Yes"/>
    <m/>
    <x v="3"/>
    <s v="Tuesday"/>
  </r>
  <r>
    <d v="2024-02-20T00:00:00"/>
    <x v="16"/>
    <s v="Bookkeeping"/>
    <n v="0.45"/>
    <x v="32"/>
    <s v="Yes"/>
    <m/>
    <x v="3"/>
    <s v="Tuesday"/>
  </r>
  <r>
    <d v="2024-02-20T00:00:00"/>
    <x v="16"/>
    <s v="Bookkeeping"/>
    <n v="0.67"/>
    <x v="32"/>
    <s v="Yes"/>
    <s v="bank recon email unreconciled items"/>
    <x v="3"/>
    <s v="Tuesday"/>
  </r>
  <r>
    <d v="2024-02-20T00:00:00"/>
    <x v="16"/>
    <s v="Bookkeeping"/>
    <n v="0.88"/>
    <x v="75"/>
    <s v="Yes"/>
    <s v="ap invoices"/>
    <x v="3"/>
    <s v="Tuesday"/>
  </r>
  <r>
    <d v="2024-02-20T00:00:00"/>
    <x v="16"/>
    <s v="Bookkeeping"/>
    <n v="1.05"/>
    <x v="32"/>
    <s v="Yes"/>
    <s v="ap report"/>
    <x v="3"/>
    <s v="Tuesday"/>
  </r>
  <r>
    <d v="2024-02-20T00:00:00"/>
    <x v="16"/>
    <s v="Bookkeeping"/>
    <n v="1.7"/>
    <x v="30"/>
    <s v="Yes"/>
    <s v="ap invoices"/>
    <x v="3"/>
    <s v="Tuesday"/>
  </r>
  <r>
    <d v="2024-02-20T00:00:00"/>
    <x v="16"/>
    <s v="Bookkeeping"/>
    <n v="2.4700000000000002"/>
    <x v="73"/>
    <s v="Yes"/>
    <s v="ap invoices"/>
    <x v="3"/>
    <s v="Tuesday"/>
  </r>
  <r>
    <d v="2024-02-20T00:00:00"/>
    <x v="16"/>
    <s v="General"/>
    <n v="0.5"/>
    <x v="12"/>
    <s v="No"/>
    <s v="break"/>
    <x v="3"/>
    <s v="Tuesday"/>
  </r>
  <r>
    <d v="2024-02-20T00:00:00"/>
    <x v="17"/>
    <s v="Bookkeeping"/>
    <n v="7.0000000000000007E-2"/>
    <x v="35"/>
    <s v="Yes"/>
    <s v="AR invoice"/>
    <x v="3"/>
    <s v="Tuesday"/>
  </r>
  <r>
    <d v="2024-02-20T00:00:00"/>
    <x v="17"/>
    <s v="Bookkeeping"/>
    <n v="0.6"/>
    <x v="87"/>
    <s v="No"/>
    <s v="Reconciliation for tax queries"/>
    <x v="3"/>
    <s v="Tuesday"/>
  </r>
  <r>
    <d v="2024-02-20T00:00:00"/>
    <x v="17"/>
    <s v="General"/>
    <n v="0.25"/>
    <x v="12"/>
    <s v="No"/>
    <s v="Checking emails, asana"/>
    <x v="3"/>
    <s v="Tuesday"/>
  </r>
  <r>
    <d v="2024-02-20T00:00:00"/>
    <x v="17"/>
    <s v="General"/>
    <n v="0.32"/>
    <x v="12"/>
    <s v="No"/>
    <s v="Checking emails"/>
    <x v="3"/>
    <s v="Tuesday"/>
  </r>
  <r>
    <d v="2024-02-20T00:00:00"/>
    <x v="17"/>
    <s v="Management Reporting"/>
    <n v="1.32"/>
    <x v="34"/>
    <s v="Yes"/>
    <s v="Cashflow updates"/>
    <x v="3"/>
    <s v="Tuesday"/>
  </r>
  <r>
    <d v="2024-02-20T00:00:00"/>
    <x v="17"/>
    <s v="Payroll Processing"/>
    <n v="0.45"/>
    <x v="14"/>
    <s v="Yes"/>
    <s v="Checking payroll emails, keeping notes"/>
    <x v="3"/>
    <s v="Tuesday"/>
  </r>
  <r>
    <d v="2024-02-20T00:00:00"/>
    <x v="17"/>
    <s v="Payroll Processing"/>
    <n v="5"/>
    <x v="37"/>
    <s v="Yes"/>
    <s v="Payroll "/>
    <x v="3"/>
    <s v="Tuesday"/>
  </r>
  <r>
    <d v="2024-02-20T00:00:00"/>
    <x v="18"/>
    <s v="Client Meeting"/>
    <n v="1.48"/>
    <x v="111"/>
    <s v="Yes"/>
    <s v="Setup Xero, fix chart of accounts"/>
    <x v="3"/>
    <s v="Tuesday"/>
  </r>
  <r>
    <d v="2024-02-20T00:00:00"/>
    <x v="18"/>
    <s v="General"/>
    <n v="0.43"/>
    <x v="12"/>
    <s v="No"/>
    <s v="chat with Ge - speech chat with Xavi - Earjobs NZ"/>
    <x v="3"/>
    <s v="Tuesday"/>
  </r>
  <r>
    <d v="2024-02-20T00:00:00"/>
    <x v="18"/>
    <s v="General"/>
    <n v="0.5"/>
    <x v="12"/>
    <s v="No"/>
    <s v="emails, sprout, asana, XPM"/>
    <x v="3"/>
    <s v="Tuesday"/>
  </r>
  <r>
    <d v="2024-02-20T00:00:00"/>
    <x v="18"/>
    <s v="General"/>
    <n v="0.9"/>
    <x v="12"/>
    <s v="No"/>
    <s v="finalising work level instructions for Xero HQ report templates"/>
    <x v="3"/>
    <s v="Tuesday"/>
  </r>
  <r>
    <d v="2024-02-20T00:00:00"/>
    <x v="18"/>
    <s v="General"/>
    <n v="3.2"/>
    <x v="12"/>
    <s v="No"/>
    <s v="prepare work level instructions - xero HQ reports chat with shalini and ann chat with Jim about too nice IAS"/>
    <x v="3"/>
    <s v="Tuesday"/>
  </r>
  <r>
    <d v="2024-02-20T00:00:00"/>
    <x v="18"/>
    <s v="Management Reporting"/>
    <n v="1.08"/>
    <x v="113"/>
    <s v="Yes"/>
    <s v="review of the query from Camila - remaining expenses how to account to other income"/>
    <x v="3"/>
    <s v="Tuesday"/>
  </r>
  <r>
    <d v="2024-02-20T00:00:00"/>
    <x v="18"/>
    <s v="Meetings"/>
    <n v="0.56999999999999995"/>
    <x v="12"/>
    <s v="No"/>
    <s v="meeting with shalini - re assistance on 3 clients"/>
    <x v="3"/>
    <s v="Tuesday"/>
  </r>
  <r>
    <d v="2024-02-20T00:00:00"/>
    <x v="19"/>
    <s v="Annual Leave"/>
    <n v="8"/>
    <x v="12"/>
    <s v="No"/>
    <s v="Vacation"/>
    <x v="3"/>
    <s v="Tuesday"/>
  </r>
  <r>
    <d v="2024-02-20T00:00:00"/>
    <x v="20"/>
    <s v="P&amp;C Advisory"/>
    <n v="1"/>
    <x v="38"/>
    <s v="Yes"/>
    <s v="HR, COO, Advisory mtg Case mgmt - Dinesh, Sonam, Zane etc Response to inbox queries"/>
    <x v="3"/>
    <s v="Tuesday"/>
  </r>
  <r>
    <d v="2024-02-20T00:00:00"/>
    <x v="20"/>
    <s v="P&amp;C Advisory"/>
    <n v="6.75"/>
    <x v="37"/>
    <s v="Yes"/>
    <s v="Updates to Employment Contract Library templates in ELMO P&amp;C mtg - MD Ops/P&amp;C mtg 4-week handover doc progressed  Flexi work arrangement template created Change mgmt templates created"/>
    <x v="3"/>
    <s v="Tuesday"/>
  </r>
  <r>
    <d v="2024-02-20T00:00:00"/>
    <x v="21"/>
    <s v="Bookkeeping"/>
    <n v="0.13"/>
    <x v="39"/>
    <s v="Yes"/>
    <m/>
    <x v="3"/>
    <s v="Tuesday"/>
  </r>
  <r>
    <d v="2024-02-20T00:00:00"/>
    <x v="21"/>
    <s v="Bookkeeping"/>
    <n v="0.22"/>
    <x v="72"/>
    <s v="Yes"/>
    <s v="bank recon"/>
    <x v="3"/>
    <s v="Tuesday"/>
  </r>
  <r>
    <d v="2024-02-20T00:00:00"/>
    <x v="21"/>
    <s v="Bookkeeping"/>
    <n v="0.25"/>
    <x v="57"/>
    <s v="Yes"/>
    <m/>
    <x v="3"/>
    <s v="Tuesday"/>
  </r>
  <r>
    <d v="2024-02-20T00:00:00"/>
    <x v="21"/>
    <s v="Bookkeeping"/>
    <n v="0.25"/>
    <x v="66"/>
    <s v="Yes"/>
    <m/>
    <x v="3"/>
    <s v="Tuesday"/>
  </r>
  <r>
    <d v="2024-02-20T00:00:00"/>
    <x v="21"/>
    <s v="Bookkeeping"/>
    <n v="0.33"/>
    <x v="39"/>
    <s v="Yes"/>
    <s v="AP items, bank recon"/>
    <x v="3"/>
    <s v="Tuesday"/>
  </r>
  <r>
    <d v="2024-02-20T00:00:00"/>
    <x v="21"/>
    <s v="Bookkeeping"/>
    <n v="0.53"/>
    <x v="39"/>
    <s v="Yes"/>
    <s v="emails, bank recon, ap bills"/>
    <x v="3"/>
    <s v="Tuesday"/>
  </r>
  <r>
    <d v="2024-02-20T00:00:00"/>
    <x v="21"/>
    <s v="Bookkeeping"/>
    <n v="0.73"/>
    <x v="28"/>
    <s v="Yes"/>
    <s v="emails, bank recon, uploading csv file and sent queries to client"/>
    <x v="3"/>
    <s v="Tuesday"/>
  </r>
  <r>
    <d v="2024-02-20T00:00:00"/>
    <x v="21"/>
    <s v="Bookkeeping"/>
    <n v="0.9"/>
    <x v="40"/>
    <s v="Yes"/>
    <s v="Update custom layout of P&amp;L for fintech and sent to client for checking, bank recon, ap items in dext"/>
    <x v="3"/>
    <s v="Tuesday"/>
  </r>
  <r>
    <d v="2024-02-20T00:00:00"/>
    <x v="21"/>
    <s v="Bookkeeping"/>
    <n v="1"/>
    <x v="40"/>
    <s v="Yes"/>
    <s v="AP Items, Dext Prep, bank recon"/>
    <x v="3"/>
    <s v="Tuesday"/>
  </r>
  <r>
    <d v="2024-02-20T00:00:00"/>
    <x v="21"/>
    <s v="Bookkeeping"/>
    <n v="1"/>
    <x v="41"/>
    <s v="Yes"/>
    <s v="AP items from procore, hubdoc"/>
    <x v="3"/>
    <s v="Tuesday"/>
  </r>
  <r>
    <d v="2024-02-20T00:00:00"/>
    <x v="21"/>
    <s v="Bookkeeping"/>
    <n v="1.17"/>
    <x v="28"/>
    <s v="Yes"/>
    <m/>
    <x v="3"/>
    <s v="Tuesday"/>
  </r>
  <r>
    <d v="2024-02-20T00:00:00"/>
    <x v="21"/>
    <s v="Bookkeeping"/>
    <n v="1.52"/>
    <x v="41"/>
    <s v="Yes"/>
    <m/>
    <x v="3"/>
    <s v="Tuesday"/>
  </r>
  <r>
    <d v="2024-02-20T00:00:00"/>
    <x v="22"/>
    <s v="Automations - Surefire"/>
    <n v="8"/>
    <x v="12"/>
    <s v="No"/>
    <s v="SureFire Services Automation"/>
    <x v="3"/>
    <s v="Tuesday"/>
  </r>
  <r>
    <d v="2024-02-20T00:00:00"/>
    <x v="23"/>
    <s v="Automations"/>
    <n v="8"/>
    <x v="12"/>
    <s v="No"/>
    <m/>
    <x v="3"/>
    <s v="Tuesday"/>
  </r>
  <r>
    <d v="2024-02-20T00:00:00"/>
    <x v="24"/>
    <s v="Automations"/>
    <n v="8"/>
    <x v="12"/>
    <s v="No"/>
    <s v="Run: LOC Run: TB and Cashraw Automation of January 2024 Endorsement: Flatfile of Cashraw Dev: PrimeBuild Payroll Processing Report Automation"/>
    <x v="3"/>
    <s v="Tuesday"/>
  </r>
  <r>
    <d v="2024-02-20T00:00:00"/>
    <x v="25"/>
    <s v="Bookkeeping"/>
    <n v="0.13"/>
    <x v="42"/>
    <s v="Yes"/>
    <s v="Load ATO payments, email client"/>
    <x v="3"/>
    <s v="Tuesday"/>
  </r>
  <r>
    <d v="2024-02-20T00:00:00"/>
    <x v="25"/>
    <s v="Bookkeeping"/>
    <n v="0.55000000000000004"/>
    <x v="22"/>
    <s v="Yes"/>
    <s v="Reprots fo rJudo as pr Julian request"/>
    <x v="3"/>
    <s v="Tuesday"/>
  </r>
  <r>
    <d v="2024-02-20T00:00:00"/>
    <x v="25"/>
    <s v="Bookkeeping"/>
    <n v="0.56999999999999995"/>
    <x v="44"/>
    <s v="Yes"/>
    <s v="Load paymetns to ANZ"/>
    <x v="3"/>
    <s v="Tuesday"/>
  </r>
  <r>
    <d v="2024-02-20T00:00:00"/>
    <x v="25"/>
    <s v="General"/>
    <n v="0.08"/>
    <x v="12"/>
    <s v="No"/>
    <s v="Emails"/>
    <x v="3"/>
    <s v="Tuesday"/>
  </r>
  <r>
    <d v="2024-02-20T00:00:00"/>
    <x v="25"/>
    <s v="General"/>
    <n v="1.5"/>
    <x v="12"/>
    <s v="No"/>
    <s v="Emails, teams, general client messages.  Call with Nick, catch up with PB team"/>
    <x v="3"/>
    <s v="Tuesday"/>
  </r>
  <r>
    <d v="2024-02-20T00:00:00"/>
    <x v="25"/>
    <s v="Payroll Processing"/>
    <n v="0.23"/>
    <x v="43"/>
    <s v="Yes"/>
    <s v="Review payrun and liaise with Mary Ann"/>
    <x v="3"/>
    <s v="Tuesday"/>
  </r>
  <r>
    <d v="2024-02-20T00:00:00"/>
    <x v="25"/>
    <s v="Payroll Processing"/>
    <n v="0.78"/>
    <x v="43"/>
    <s v="Yes"/>
    <s v="Payroll / contractors reviwe - RCTI for Jemimah and setup in bank"/>
    <x v="3"/>
    <s v="Tuesday"/>
  </r>
  <r>
    <d v="2024-02-20T00:00:00"/>
    <x v="25"/>
    <s v="Payroll Processing"/>
    <n v="3"/>
    <x v="37"/>
    <s v="Yes"/>
    <s v="Perf review / catch up with andrew Allison meeting re GL and costing PB emails / chat with Dean / Dave M"/>
    <x v="3"/>
    <s v="Tuesday"/>
  </r>
  <r>
    <d v="2024-02-20T00:00:00"/>
    <x v="51"/>
    <s v="Meetings"/>
    <n v="0.25"/>
    <x v="12"/>
    <s v="No"/>
    <s v="Catch Up - Alison"/>
    <x v="3"/>
    <s v="Tuesday"/>
  </r>
  <r>
    <d v="2024-02-20T00:00:00"/>
    <x v="51"/>
    <s v="P&amp;C Advisory - Group"/>
    <n v="0.33"/>
    <x v="63"/>
    <s v="Yes"/>
    <s v="Book Relevant Drug &amp; Alcohol Test - Nederman - Bayswater, VIC - Alison"/>
    <x v="3"/>
    <s v="Tuesday"/>
  </r>
  <r>
    <d v="2024-02-20T00:00:00"/>
    <x v="51"/>
    <s v="P&amp;C Advisory - Nordfab"/>
    <n v="0.08"/>
    <x v="63"/>
    <s v="Yes"/>
    <s v="Follow Up Face-to-Face Interview (Kyle) - Salary, Title, Tools &amp; Leave - Sheet Metal Worker - NSW - Nordfab - Alison"/>
    <x v="3"/>
    <s v="Tuesday"/>
  </r>
  <r>
    <d v="2024-02-20T00:00:00"/>
    <x v="51"/>
    <s v="P&amp;C Advisory - Nordfab"/>
    <n v="0.33"/>
    <x v="63"/>
    <s v="Yes"/>
    <s v="Draft Employment Contract (Kyle) - Sheet Metal Worker - NSW - Nordfab - Alison"/>
    <x v="3"/>
    <s v="Tuesday"/>
  </r>
  <r>
    <d v="2024-02-20T00:00:00"/>
    <x v="51"/>
    <s v="P&amp;C Advisory - Nordfab"/>
    <n v="0.5"/>
    <x v="63"/>
    <s v="Yes"/>
    <s v="Reference Check (Josh) - Kyle - Sheet Metal Worker - NSW - Nordfab - Alison"/>
    <x v="3"/>
    <s v="Tuesday"/>
  </r>
  <r>
    <d v="2024-02-20T00:00:00"/>
    <x v="26"/>
    <s v="Client Meeting"/>
    <n v="0.13"/>
    <x v="129"/>
    <s v="Yes"/>
    <s v="Responding to Rose's queries"/>
    <x v="3"/>
    <s v="Tuesday"/>
  </r>
  <r>
    <d v="2024-02-20T00:00:00"/>
    <x v="26"/>
    <s v="Client Meeting"/>
    <n v="0.15"/>
    <x v="6"/>
    <s v="No"/>
    <s v="Attending to Mary's queries"/>
    <x v="3"/>
    <s v="Tuesday"/>
  </r>
  <r>
    <d v="2024-02-20T00:00:00"/>
    <x v="26"/>
    <s v="Client Meeting"/>
    <n v="0.2"/>
    <x v="64"/>
    <s v="No"/>
    <s v="Another meeting with Ann"/>
    <x v="3"/>
    <s v="Tuesday"/>
  </r>
  <r>
    <d v="2024-02-20T00:00:00"/>
    <x v="26"/>
    <s v="Client Meeting"/>
    <n v="0.27"/>
    <x v="64"/>
    <s v="No"/>
    <s v="Attending to Ann' Queries"/>
    <x v="3"/>
    <s v="Tuesday"/>
  </r>
  <r>
    <d v="2024-02-20T00:00:00"/>
    <x v="26"/>
    <s v="Client Meeting"/>
    <n v="0.27"/>
    <x v="9"/>
    <s v="No"/>
    <s v="Responding to queries, updating the WPS and creation of ASANA"/>
    <x v="3"/>
    <s v="Tuesday"/>
  </r>
  <r>
    <d v="2024-02-20T00:00:00"/>
    <x v="26"/>
    <s v="Client Meeting"/>
    <n v="0.32"/>
    <x v="6"/>
    <s v="Yes"/>
    <s v="Meeting with Mary and attending to queries."/>
    <x v="3"/>
    <s v="Tuesday"/>
  </r>
  <r>
    <d v="2024-02-20T00:00:00"/>
    <x v="26"/>
    <s v="Client Meeting"/>
    <n v="0.35"/>
    <x v="50"/>
    <s v="No"/>
    <s v="Responding to queries and updating WPS"/>
    <x v="3"/>
    <s v="Tuesday"/>
  </r>
  <r>
    <d v="2024-02-20T00:00:00"/>
    <x v="26"/>
    <s v="Client Meeting"/>
    <n v="0.47"/>
    <x v="16"/>
    <s v="Yes"/>
    <s v="Meeting with Sherly, attending to other queries"/>
    <x v="3"/>
    <s v="Tuesday"/>
  </r>
  <r>
    <d v="2024-02-20T00:00:00"/>
    <x v="26"/>
    <s v="General"/>
    <n v="0.2"/>
    <x v="12"/>
    <s v="No"/>
    <s v="XPM"/>
    <x v="3"/>
    <s v="Tuesday"/>
  </r>
  <r>
    <d v="2024-02-20T00:00:00"/>
    <x v="26"/>
    <s v="General"/>
    <n v="0.25"/>
    <x v="12"/>
    <s v="No"/>
    <s v="15 mins coffee breaks as paid per Labor Code of the Philippines, Article 85. ( Afternoon Break )  "/>
    <x v="3"/>
    <s v="Tuesday"/>
  </r>
  <r>
    <d v="2024-02-20T00:00:00"/>
    <x v="26"/>
    <s v="General"/>
    <n v="0.25"/>
    <x v="12"/>
    <s v="No"/>
    <s v="15 mins coffee breaks as paid per Labor Code of the Philippines, Article 85. ( Morning Break ) "/>
    <x v="3"/>
    <s v="Tuesday"/>
  </r>
  <r>
    <d v="2024-02-20T00:00:00"/>
    <x v="26"/>
    <s v="General"/>
    <n v="0.42"/>
    <x v="12"/>
    <s v="No"/>
    <s v="Recharging invoice intercompany ( Refreshing and updating knowledge )"/>
    <x v="3"/>
    <s v="Tuesday"/>
  </r>
  <r>
    <d v="2024-02-20T00:00:00"/>
    <x v="26"/>
    <s v="IAS/BAS Preparation &amp; Lodgement - Oct-Dec"/>
    <n v="0.17"/>
    <x v="130"/>
    <s v="No"/>
    <s v="XPM and Xero error"/>
    <x v="3"/>
    <s v="Tuesday"/>
  </r>
  <r>
    <d v="2024-02-20T00:00:00"/>
    <x v="26"/>
    <s v="IAS/BAS Preparation &amp; Lodgement - Oct-Dec"/>
    <n v="0.43"/>
    <x v="89"/>
    <s v="Yes"/>
    <s v="BAS"/>
    <x v="3"/>
    <s v="Tuesday"/>
  </r>
  <r>
    <d v="2024-02-20T00:00:00"/>
    <x v="26"/>
    <s v="IAS/BAS Preparation &amp; Lodgement - Oct-Dec"/>
    <n v="0.68"/>
    <x v="5"/>
    <s v="Yes"/>
    <s v="BAS"/>
    <x v="3"/>
    <s v="Tuesday"/>
  </r>
  <r>
    <d v="2024-02-20T00:00:00"/>
    <x v="26"/>
    <s v="IAS/BAS Preparation &amp; Lodgement - Oct-Dec"/>
    <n v="0.7"/>
    <x v="130"/>
    <s v="Yes"/>
    <s v="BAS"/>
    <x v="3"/>
    <s v="Tuesday"/>
  </r>
  <r>
    <d v="2024-02-20T00:00:00"/>
    <x v="26"/>
    <s v="IAS/BAS Preparation &amp; Lodgement - Oct-Dec"/>
    <n v="0.97"/>
    <x v="129"/>
    <s v="Yes"/>
    <s v="BAS"/>
    <x v="3"/>
    <s v="Tuesday"/>
  </r>
  <r>
    <d v="2024-02-20T00:00:00"/>
    <x v="26"/>
    <s v="IAS/BAS Preparation &amp; Lodgement - Oct-Dec"/>
    <n v="1.03"/>
    <x v="131"/>
    <s v="Yes"/>
    <s v="BAS"/>
    <x v="3"/>
    <s v="Tuesday"/>
  </r>
  <r>
    <d v="2024-02-20T00:00:00"/>
    <x v="26"/>
    <s v="Unpaid Leave"/>
    <n v="0.8"/>
    <x v="12"/>
    <s v="No"/>
    <s v="Work late, and deducted to my salary."/>
    <x v="3"/>
    <s v="Tuesday"/>
  </r>
  <r>
    <d v="2024-02-20T00:00:00"/>
    <x v="27"/>
    <s v="HR/Recuitment"/>
    <n v="0.25"/>
    <x v="12"/>
    <s v="No"/>
    <s v="Phone call with AS to discuss HR Advisory.  Revision of testimonial for SAI  Revision of HR Casual resumes from Oct 2023 and email potential candidates casual HR job opportunity."/>
    <x v="3"/>
    <s v="Tuesday"/>
  </r>
  <r>
    <d v="2024-02-20T00:00:00"/>
    <x v="27"/>
    <s v="P&amp;C Advisory"/>
    <n v="7.75"/>
    <x v="19"/>
    <s v="Yes"/>
    <s v="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
    <x v="3"/>
    <s v="Tuesday"/>
  </r>
  <r>
    <d v="2024-02-20T00:00:00"/>
    <x v="28"/>
    <s v="Bookkeeping"/>
    <n v="0.5"/>
    <x v="49"/>
    <s v="Yes"/>
    <s v="provided documents for Tax"/>
    <x v="3"/>
    <s v="Tuesday"/>
  </r>
  <r>
    <d v="2024-02-20T00:00:00"/>
    <x v="28"/>
    <s v="Bookkeeping"/>
    <n v="0.68"/>
    <x v="49"/>
    <s v="Yes"/>
    <m/>
    <x v="3"/>
    <s v="Tuesday"/>
  </r>
  <r>
    <d v="2024-02-20T00:00:00"/>
    <x v="28"/>
    <s v="Bookkeeping"/>
    <n v="0.73"/>
    <x v="49"/>
    <s v="Yes"/>
    <s v="Answered quaeries and processed adjustments for BAS"/>
    <x v="3"/>
    <s v="Tuesday"/>
  </r>
  <r>
    <d v="2024-02-20T00:00:00"/>
    <x v="28"/>
    <s v="Bookkeeping"/>
    <n v="0.85"/>
    <x v="49"/>
    <s v="Yes"/>
    <s v="collecting Documents for Tax"/>
    <x v="3"/>
    <s v="Tuesday"/>
  </r>
  <r>
    <d v="2024-02-20T00:00:00"/>
    <x v="28"/>
    <s v="Bookkeeping"/>
    <n v="4"/>
    <x v="16"/>
    <s v="Yes"/>
    <m/>
    <x v="3"/>
    <s v="Tuesday"/>
  </r>
  <r>
    <d v="2024-02-20T00:00:00"/>
    <x v="28"/>
    <s v="Payroll Processing"/>
    <n v="1.3"/>
    <x v="32"/>
    <s v="Yes"/>
    <m/>
    <x v="3"/>
    <s v="Tuesday"/>
  </r>
  <r>
    <d v="2024-02-20T00:00:00"/>
    <x v="29"/>
    <s v="Bookkeeping"/>
    <n v="0.5"/>
    <x v="49"/>
    <s v="Yes"/>
    <s v="Dec 2023 Qtr:  Respond to client queries on BAS email Shalini &amp; Lindsay back on BS questions Follow up on remission letter with Gen"/>
    <x v="3"/>
    <s v="Tuesday"/>
  </r>
  <r>
    <d v="2024-02-20T00:00:00"/>
    <x v="30"/>
    <s v="Debt Collection"/>
    <n v="2.5"/>
    <x v="12"/>
    <s v="No"/>
    <m/>
    <x v="3"/>
    <s v="Tuesday"/>
  </r>
  <r>
    <d v="2024-02-20T00:00:00"/>
    <x v="30"/>
    <s v="Debt Collection"/>
    <n v="4"/>
    <x v="16"/>
    <s v="Yes"/>
    <m/>
    <x v="3"/>
    <s v="Tuesday"/>
  </r>
  <r>
    <d v="2024-02-20T00:00:00"/>
    <x v="30"/>
    <s v="General"/>
    <n v="0.5"/>
    <x v="12"/>
    <s v="No"/>
    <s v="break"/>
    <x v="3"/>
    <s v="Tuesday"/>
  </r>
  <r>
    <d v="2024-02-20T00:00:00"/>
    <x v="30"/>
    <s v="General"/>
    <n v="1"/>
    <x v="12"/>
    <s v="No"/>
    <s v="meet and greet Sherly"/>
    <x v="3"/>
    <s v="Tuesday"/>
  </r>
  <r>
    <d v="2024-02-20T00:00:00"/>
    <x v="31"/>
    <s v="Bookkeeping"/>
    <n v="2.65"/>
    <x v="16"/>
    <s v="Yes"/>
    <s v="hand over / Uniting Invoice / weekly AR call / team activity with Admin &amp; HR"/>
    <x v="3"/>
    <s v="Tuesday"/>
  </r>
  <r>
    <d v="2024-02-20T00:00:00"/>
    <x v="31"/>
    <s v="Client Meeting"/>
    <n v="1.02"/>
    <x v="16"/>
    <s v="No"/>
    <s v="Meet &amp; Greet Sherly with Dext ASI Team"/>
    <x v="3"/>
    <s v="Tuesday"/>
  </r>
  <r>
    <d v="2024-02-20T00:00:00"/>
    <x v="31"/>
    <s v="Client Meeting"/>
    <n v="2.0699999999999998"/>
    <x v="16"/>
    <s v="No"/>
    <s v="handover BAS Process / call with the tax team"/>
    <x v="3"/>
    <s v="Tuesday"/>
  </r>
  <r>
    <d v="2024-02-20T00:00:00"/>
    <x v="31"/>
    <s v="General"/>
    <n v="0.83"/>
    <x v="12"/>
    <s v="No"/>
    <s v="payroll review / call with Mel"/>
    <x v="3"/>
    <s v="Tuesday"/>
  </r>
  <r>
    <d v="2024-02-20T00:00:00"/>
    <x v="31"/>
    <s v="General"/>
    <n v="1.7"/>
    <x v="12"/>
    <s v="No"/>
    <s v="went to bank to pay BIR 1702Q / went to BDO to check status of security deposit / went to Spaces to pick up documents"/>
    <x v="3"/>
    <s v="Tuesday"/>
  </r>
  <r>
    <d v="2024-02-20T00:00:00"/>
    <x v="32"/>
    <s v="Bookkeeping"/>
    <n v="0.15"/>
    <x v="108"/>
    <s v="Yes"/>
    <s v="Weekly bank Reconciliation "/>
    <x v="3"/>
    <s v="Tuesday"/>
  </r>
  <r>
    <d v="2024-02-20T00:00:00"/>
    <x v="32"/>
    <s v="Bookkeeping"/>
    <n v="5.3"/>
    <x v="51"/>
    <s v="Yes"/>
    <s v="Email Management Bills raise to xero Approving sales to a2x Bank reconciliation to BM and LOC Inc Double Checking of the right balances of clearing accounts "/>
    <x v="3"/>
    <s v="Tuesday"/>
  </r>
  <r>
    <d v="2024-02-20T00:00:00"/>
    <x v="32"/>
    <s v="General"/>
    <n v="0.37"/>
    <x v="12"/>
    <s v="No"/>
    <s v="Answer Performance evaluation for my fifth month "/>
    <x v="3"/>
    <s v="Tuesday"/>
  </r>
  <r>
    <d v="2024-02-20T00:00:00"/>
    <x v="32"/>
    <s v="General"/>
    <n v="0.5"/>
    <x v="12"/>
    <s v="No"/>
    <s v="Break"/>
    <x v="3"/>
    <s v="Tuesday"/>
  </r>
  <r>
    <d v="2024-02-20T00:00:00"/>
    <x v="32"/>
    <s v="Learning &amp; Development"/>
    <n v="1.72"/>
    <x v="12"/>
    <s v="No"/>
    <s v="Topic 7 - The Management Report Topic 7.1 - Executive Summary Report Topic 7.2 - Cash Summary Topic 7.3 - Profit &amp; Loss Report Topic 7.4 - Balance Sheet Report"/>
    <x v="3"/>
    <s v="Tuesday"/>
  </r>
  <r>
    <d v="2024-02-20T00:00:00"/>
    <x v="33"/>
    <s v="Annual Leave"/>
    <n v="8"/>
    <x v="12"/>
    <s v="No"/>
    <s v="Paternity Leave"/>
    <x v="3"/>
    <s v="Tuesday"/>
  </r>
  <r>
    <d v="2024-02-20T00:00:00"/>
    <x v="34"/>
    <s v="Bookkeeping"/>
    <n v="0.22"/>
    <x v="6"/>
    <s v="No"/>
    <s v="NON Billable: Meeting with LM regarding to the update of Q2 BAS.   Updating spreadsheet of Balance Sheet and PL as of 31 December 2024 in BAS Q2  Uploading of ATO IAS payment to ANZ and send the report to Lyn and Eli for approval.   Fixing Journal Entries "/>
    <x v="3"/>
    <s v="Tuesday"/>
  </r>
  <r>
    <d v="2024-02-20T00:00:00"/>
    <x v="34"/>
    <s v="Bookkeeping"/>
    <n v="0.65"/>
    <x v="45"/>
    <s v="Yes"/>
    <s v="Email Management Bills Processing Bank Recon "/>
    <x v="3"/>
    <s v="Tuesday"/>
  </r>
  <r>
    <d v="2024-02-20T00:00:00"/>
    <x v="34"/>
    <s v="Bookkeeping"/>
    <n v="0.95"/>
    <x v="6"/>
    <s v="Yes"/>
    <m/>
    <x v="3"/>
    <s v="Tuesday"/>
  </r>
  <r>
    <d v="2024-02-20T00:00:00"/>
    <x v="34"/>
    <s v="Bookkeeping"/>
    <n v="2.23"/>
    <x v="15"/>
    <s v="Yes"/>
    <s v="Email Management Bill Processing Invoice Processing Preparation of reimbursement to Daniele Cameron expense   "/>
    <x v="3"/>
    <s v="Tuesday"/>
  </r>
  <r>
    <d v="2024-02-20T00:00:00"/>
    <x v="34"/>
    <s v="General"/>
    <n v="0.12"/>
    <x v="12"/>
    <s v="No"/>
    <m/>
    <x v="3"/>
    <s v="Tuesday"/>
  </r>
  <r>
    <d v="2024-02-20T00:00:00"/>
    <x v="34"/>
    <s v="General"/>
    <n v="0.53"/>
    <x v="12"/>
    <s v="No"/>
    <s v="Email Management Asana Task Clean up  Follow up Skylife's Payment for Dexterous invoice no 18103  Email Management "/>
    <x v="3"/>
    <s v="Tuesday"/>
  </r>
  <r>
    <d v="2024-02-20T00:00:00"/>
    <x v="34"/>
    <s v="Learning &amp; Development"/>
    <n v="1.8"/>
    <x v="12"/>
    <s v="No"/>
    <s v="Reviewing of TGS Handover and reconciling Transactions "/>
    <x v="3"/>
    <s v="Tuesday"/>
  </r>
  <r>
    <d v="2024-02-20T00:00:00"/>
    <x v="34"/>
    <s v="Payroll Processing"/>
    <n v="1.52"/>
    <x v="43"/>
    <s v="Yes"/>
    <s v="Email Management Processing payment of 4 contractor Updating AU employees fortnight payroll Updating new employees in Xero "/>
    <x v="3"/>
    <s v="Tuesday"/>
  </r>
  <r>
    <d v="2024-02-20T00:00:00"/>
    <x v="35"/>
    <s v="Accounts"/>
    <n v="0.12"/>
    <x v="53"/>
    <s v="No"/>
    <s v="Intellicare billing checking - dispute"/>
    <x v="3"/>
    <s v="Tuesday"/>
  </r>
  <r>
    <d v="2024-02-20T00:00:00"/>
    <x v="35"/>
    <s v="Accounts"/>
    <n v="0.23"/>
    <x v="12"/>
    <s v="No"/>
    <s v="Timesheet review and invoice issue process email to Rachele"/>
    <x v="3"/>
    <s v="Tuesday"/>
  </r>
  <r>
    <d v="2024-02-20T00:00:00"/>
    <x v="35"/>
    <s v="Accounts"/>
    <n v="0.56999999999999995"/>
    <x v="53"/>
    <s v="No"/>
    <s v="Coordination with Ms Con re: concerns on billing and others"/>
    <x v="3"/>
    <s v="Tuesday"/>
  </r>
  <r>
    <d v="2024-02-20T00:00:00"/>
    <x v="35"/>
    <s v="Accounts"/>
    <n v="0.56999999999999995"/>
    <x v="12"/>
    <s v="No"/>
    <s v="Update ASIC tasks. Coordinate invoices for Alder Road. Coordinate with Sam re: LItica invoice"/>
    <x v="3"/>
    <s v="Tuesday"/>
  </r>
  <r>
    <d v="2024-02-20T00:00:00"/>
    <x v="35"/>
    <s v="Accounts"/>
    <n v="1.2"/>
    <x v="53"/>
    <s v="No"/>
    <s v="Checking with Ms Tess/coordination of billing. Processing of cash advance from Mark Barte"/>
    <x v="3"/>
    <s v="Tuesday"/>
  </r>
  <r>
    <d v="2024-02-20T00:00:00"/>
    <x v="35"/>
    <s v="Accounts"/>
    <n v="2.33"/>
    <x v="12"/>
    <s v="No"/>
    <s v="Process bills, take all Asana tasks, invoice and setup repeating templates. Catch up emails. Process bank recs. Give some TS as requested."/>
    <x v="3"/>
    <s v="Tuesday"/>
  </r>
  <r>
    <d v="2024-02-20T00:00:00"/>
    <x v="35"/>
    <s v="Payroll Processing"/>
    <n v="3.05"/>
    <x v="53"/>
    <s v="No"/>
    <s v="Payroll processing for 25 Feb 2024 payout"/>
    <x v="3"/>
    <s v="Tuesday"/>
  </r>
  <r>
    <d v="2024-02-20T00:00:00"/>
    <x v="36"/>
    <s v="Web"/>
    <n v="10"/>
    <x v="12"/>
    <s v="No"/>
    <s v="🟨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
    <x v="3"/>
    <s v="Tuesday"/>
  </r>
  <r>
    <d v="2024-02-20T00:00:00"/>
    <x v="37"/>
    <s v="Bookkeeping"/>
    <n v="0.5"/>
    <x v="84"/>
    <s v="Yes"/>
    <m/>
    <x v="3"/>
    <s v="Tuesday"/>
  </r>
  <r>
    <d v="2024-02-20T00:00:00"/>
    <x v="37"/>
    <s v="Bookkeeping"/>
    <n v="0.5"/>
    <x v="59"/>
    <s v="Yes"/>
    <m/>
    <x v="3"/>
    <s v="Tuesday"/>
  </r>
  <r>
    <d v="2024-02-20T00:00:00"/>
    <x v="37"/>
    <s v="Bookkeeping"/>
    <n v="0.75"/>
    <x v="85"/>
    <s v="Yes"/>
    <m/>
    <x v="3"/>
    <s v="Tuesday"/>
  </r>
  <r>
    <d v="2024-02-20T00:00:00"/>
    <x v="37"/>
    <s v="Bookkeeping"/>
    <n v="2.5"/>
    <x v="19"/>
    <s v="Yes"/>
    <m/>
    <x v="3"/>
    <s v="Tuesday"/>
  </r>
  <r>
    <d v="2024-02-20T00:00:00"/>
    <x v="37"/>
    <s v="IAS/BAS Preparation &amp; Lodgement - Oct-Dec"/>
    <n v="0.25"/>
    <x v="86"/>
    <s v="Yes"/>
    <m/>
    <x v="3"/>
    <s v="Tuesday"/>
  </r>
  <r>
    <d v="2024-02-20T00:00:00"/>
    <x v="37"/>
    <s v="Payroll Processing"/>
    <n v="0.5"/>
    <x v="84"/>
    <s v="Yes"/>
    <m/>
    <x v="3"/>
    <s v="Tuesday"/>
  </r>
  <r>
    <d v="2024-02-20T00:00:00"/>
    <x v="38"/>
    <s v="Client Manager"/>
    <n v="0.08"/>
    <x v="2"/>
    <s v="Yes"/>
    <s v="emails, teams, Asana"/>
    <x v="3"/>
    <s v="Tuesday"/>
  </r>
  <r>
    <d v="2024-02-20T00:00:00"/>
    <x v="38"/>
    <s v="Client Manager"/>
    <n v="0.2"/>
    <x v="113"/>
    <s v="Yes"/>
    <s v="emails"/>
    <x v="3"/>
    <s v="Tuesday"/>
  </r>
  <r>
    <d v="2024-02-20T00:00:00"/>
    <x v="38"/>
    <s v="Client Manager"/>
    <n v="0.25"/>
    <x v="54"/>
    <s v="Yes"/>
    <s v="emails"/>
    <x v="3"/>
    <s v="Tuesday"/>
  </r>
  <r>
    <d v="2024-02-20T00:00:00"/>
    <x v="38"/>
    <s v="Client Manager"/>
    <n v="0.35"/>
    <x v="87"/>
    <s v="No"/>
    <s v="excel formulas "/>
    <x v="3"/>
    <s v="Tuesday"/>
  </r>
  <r>
    <d v="2024-02-20T00:00:00"/>
    <x v="38"/>
    <s v="Client Manager"/>
    <n v="1.17"/>
    <x v="87"/>
    <s v="Yes"/>
    <s v="financial model"/>
    <x v="3"/>
    <s v="Tuesday"/>
  </r>
  <r>
    <d v="2024-02-20T00:00:00"/>
    <x v="38"/>
    <s v="Client Meeting"/>
    <n v="1.07"/>
    <x v="54"/>
    <s v="Yes"/>
    <s v="OKR"/>
    <x v="3"/>
    <s v="Tuesday"/>
  </r>
  <r>
    <d v="2024-02-20T00:00:00"/>
    <x v="38"/>
    <s v="General"/>
    <n v="1.02"/>
    <x v="12"/>
    <s v="No"/>
    <s v="emails, teams, Asana"/>
    <x v="3"/>
    <s v="Tuesday"/>
  </r>
  <r>
    <d v="2024-02-20T00:00:00"/>
    <x v="39"/>
    <s v="Bookkeeping"/>
    <n v="0.1"/>
    <x v="14"/>
    <s v="Yes"/>
    <s v="AP"/>
    <x v="3"/>
    <s v="Tuesday"/>
  </r>
  <r>
    <d v="2024-02-20T00:00:00"/>
    <x v="39"/>
    <s v="Bookkeeping"/>
    <n v="0.33"/>
    <x v="55"/>
    <s v="Yes"/>
    <s v="email, AP"/>
    <x v="3"/>
    <s v="Tuesday"/>
  </r>
  <r>
    <d v="2024-02-20T00:00:00"/>
    <x v="39"/>
    <s v="Bookkeeping"/>
    <n v="0.5"/>
    <x v="14"/>
    <s v="Yes"/>
    <s v="Jan BS recs"/>
    <x v="3"/>
    <s v="Tuesday"/>
  </r>
  <r>
    <d v="2024-02-20T00:00:00"/>
    <x v="39"/>
    <s v="Bookkeeping"/>
    <n v="0.7"/>
    <x v="14"/>
    <s v="Yes"/>
    <s v="BR &amp; BS recs"/>
    <x v="3"/>
    <s v="Tuesday"/>
  </r>
  <r>
    <d v="2024-02-20T00:00:00"/>
    <x v="39"/>
    <s v="Bookkeeping"/>
    <n v="0.75"/>
    <x v="14"/>
    <s v="Yes"/>
    <m/>
    <x v="3"/>
    <s v="Tuesday"/>
  </r>
  <r>
    <d v="2024-02-20T00:00:00"/>
    <x v="39"/>
    <s v="Bookkeeping"/>
    <n v="1.03"/>
    <x v="55"/>
    <s v="Yes"/>
    <s v="AP"/>
    <x v="3"/>
    <s v="Tuesday"/>
  </r>
  <r>
    <d v="2024-02-20T00:00:00"/>
    <x v="39"/>
    <s v="Bookkeeping"/>
    <n v="1.32"/>
    <x v="14"/>
    <s v="Yes"/>
    <s v="email, AP"/>
    <x v="3"/>
    <s v="Tuesday"/>
  </r>
  <r>
    <d v="2024-02-20T00:00:00"/>
    <x v="39"/>
    <s v="Bookkeeping"/>
    <n v="1.48"/>
    <x v="14"/>
    <s v="Yes"/>
    <s v="BR"/>
    <x v="3"/>
    <s v="Tuesday"/>
  </r>
  <r>
    <d v="2024-02-20T00:00:00"/>
    <x v="39"/>
    <s v="General"/>
    <n v="0.17"/>
    <x v="12"/>
    <s v="No"/>
    <s v="asana"/>
    <x v="3"/>
    <s v="Tuesday"/>
  </r>
  <r>
    <d v="2024-02-20T00:00:00"/>
    <x v="39"/>
    <s v="General"/>
    <n v="1.78"/>
    <x v="12"/>
    <s v="No"/>
    <s v="self eval"/>
    <x v="3"/>
    <s v="Tuesday"/>
  </r>
  <r>
    <d v="2024-02-20T00:00:00"/>
    <x v="39"/>
    <s v="Meetings"/>
    <n v="0.37"/>
    <x v="12"/>
    <s v="No"/>
    <s v="with Ann"/>
    <x v="3"/>
    <s v="Tuesday"/>
  </r>
  <r>
    <d v="2024-02-20T00:00:00"/>
    <x v="40"/>
    <s v="Bookkeeping"/>
    <n v="8.65"/>
    <x v="36"/>
    <s v="Yes"/>
    <m/>
    <x v="3"/>
    <s v="Tuesday"/>
  </r>
  <r>
    <d v="2024-02-20T00:00:00"/>
    <x v="40"/>
    <s v="General"/>
    <n v="0.18"/>
    <x v="12"/>
    <s v="No"/>
    <s v="Dex emails"/>
    <x v="3"/>
    <s v="Tuesday"/>
  </r>
  <r>
    <d v="2024-02-20T00:00:00"/>
    <x v="41"/>
    <s v="General"/>
    <n v="1.03"/>
    <x v="12"/>
    <s v="No"/>
    <s v="Update capacity Xero cert Admin emails, staff queries"/>
    <x v="3"/>
    <s v="Tuesday"/>
  </r>
  <r>
    <d v="2024-02-20T00:00:00"/>
    <x v="41"/>
    <s v="General"/>
    <n v="3.1"/>
    <x v="12"/>
    <s v="No"/>
    <s v="WIP update CPR update 5th month eval start for M. Ticzon"/>
    <x v="3"/>
    <s v="Tuesday"/>
  </r>
  <r>
    <d v="2024-02-20T00:00:00"/>
    <x v="41"/>
    <s v="General"/>
    <n v="3.27"/>
    <x v="12"/>
    <s v="No"/>
    <s v="Call with Jordan Xero cert  Performance Pro Maan Billable report update - distinct values"/>
    <x v="3"/>
    <s v="Tuesday"/>
  </r>
  <r>
    <d v="2024-02-20T00:00:00"/>
    <x v="41"/>
    <s v="Meetings"/>
    <n v="0.52"/>
    <x v="12"/>
    <s v="No"/>
    <s v="Fortnightly capacity file meeting"/>
    <x v="3"/>
    <s v="Tuesday"/>
  </r>
  <r>
    <d v="2024-02-20T00:00:00"/>
    <x v="41"/>
    <s v="Meetings"/>
    <n v="1.1299999999999999"/>
    <x v="12"/>
    <s v="No"/>
    <s v="Call with Jordan"/>
    <x v="3"/>
    <s v="Tuesday"/>
  </r>
  <r>
    <d v="2024-02-20T00:00:00"/>
    <x v="42"/>
    <s v="Bookkeeping"/>
    <n v="8.4700000000000006"/>
    <x v="16"/>
    <s v="Yes"/>
    <m/>
    <x v="3"/>
    <s v="Tuesday"/>
  </r>
  <r>
    <d v="2024-02-20T00:00:00"/>
    <x v="43"/>
    <s v="Bookkeeping"/>
    <n v="0.28000000000000003"/>
    <x v="51"/>
    <s v="Yes"/>
    <s v="Check in with Maan, query on new employee for onboarding"/>
    <x v="3"/>
    <s v="Tuesday"/>
  </r>
  <r>
    <d v="2024-02-20T00:00:00"/>
    <x v="43"/>
    <s v="Bookkeeping"/>
    <n v="0.33"/>
    <x v="75"/>
    <s v="Yes"/>
    <s v="Call with Gerardo re gen exp - resto and liquor rebates"/>
    <x v="3"/>
    <s v="Tuesday"/>
  </r>
  <r>
    <d v="2024-02-20T00:00:00"/>
    <x v="43"/>
    <s v="Client Meeting"/>
    <n v="0.3"/>
    <x v="16"/>
    <s v="Yes"/>
    <s v="Fin/Admin/HR virtual catch up"/>
    <x v="3"/>
    <s v="Tuesday"/>
  </r>
  <r>
    <d v="2024-02-20T00:00:00"/>
    <x v="43"/>
    <s v="General"/>
    <n v="0.5"/>
    <x v="12"/>
    <s v="No"/>
    <s v="Break"/>
    <x v="3"/>
    <s v="Tuesday"/>
  </r>
  <r>
    <d v="2024-02-20T00:00:00"/>
    <x v="43"/>
    <s v="General"/>
    <n v="0.55000000000000004"/>
    <x v="12"/>
    <s v="No"/>
    <s v="Acton emails, respond to teams messages, update asana"/>
    <x v="3"/>
    <s v="Tuesday"/>
  </r>
  <r>
    <d v="2024-02-20T00:00:00"/>
    <x v="43"/>
    <s v="IAS/BAS Preparation &amp; Lodgement - Oct-Dec"/>
    <n v="0.22"/>
    <x v="89"/>
    <s v="Yes"/>
    <s v="Salmon Family Trust - query from LM re sale of property for BAS purposes"/>
    <x v="3"/>
    <s v="Tuesday"/>
  </r>
  <r>
    <d v="2024-02-20T00:00:00"/>
    <x v="43"/>
    <s v="Out-of-Scope Services"/>
    <n v="0.12"/>
    <x v="93"/>
    <s v="Yes"/>
    <s v="Query from client re repeating invoice and draft invoices. Check draft and respond to client to confirm if okay to delete both invoices in draft and repeating invoices"/>
    <x v="3"/>
    <s v="Tuesday"/>
  </r>
  <r>
    <d v="2024-02-20T00:00:00"/>
    <x v="43"/>
    <s v="Payroll Processing"/>
    <n v="0.68"/>
    <x v="37"/>
    <s v="Yes"/>
    <s v="Unapproved/unallocated timesheets report"/>
    <x v="3"/>
    <s v="Tuesday"/>
  </r>
  <r>
    <d v="2024-02-20T00:00:00"/>
    <x v="43"/>
    <s v="Payroll Processing"/>
    <n v="0.8"/>
    <x v="37"/>
    <s v="Yes"/>
    <s v="Payroll processing, setup new employee, update live file"/>
    <x v="3"/>
    <s v="Tuesday"/>
  </r>
  <r>
    <d v="2024-02-20T00:00:00"/>
    <x v="43"/>
    <s v="Payroll Processing"/>
    <n v="1.35"/>
    <x v="37"/>
    <s v="Yes"/>
    <s v="Payroll processing, call with Edz to update automation of payroll journals"/>
    <x v="3"/>
    <s v="Tuesday"/>
  </r>
  <r>
    <d v="2024-02-20T00:00:00"/>
    <x v="43"/>
    <s v="Payroll Processing"/>
    <n v="2.88"/>
    <x v="37"/>
    <s v="Yes"/>
    <s v="Payroll processing"/>
    <x v="3"/>
    <s v="Tuesday"/>
  </r>
  <r>
    <d v="2024-02-20T00:00:00"/>
    <x v="44"/>
    <s v="ASIC Compliance"/>
    <n v="0.17"/>
    <x v="10"/>
    <s v="Yes"/>
    <s v="Respond to Phil with docs and recommendation to get advice re rights assigned to A and B class shares"/>
    <x v="3"/>
    <s v="Tuesday"/>
  </r>
  <r>
    <d v="2024-02-20T00:00:00"/>
    <x v="44"/>
    <s v="IAS/BAS Preparation &amp; Lodgement - Oct-Dec"/>
    <n v="0.17"/>
    <x v="50"/>
    <s v="Yes"/>
    <s v="Respond to queries from Sylvie and Shalini re variation of PAYG instalment for December BAS"/>
    <x v="3"/>
    <s v="Tuesday"/>
  </r>
  <r>
    <d v="2024-02-20T00:00:00"/>
    <x v="45"/>
    <s v="Bookkeeping"/>
    <n v="0.15"/>
    <x v="50"/>
    <s v="Yes"/>
    <s v="BELCR AR - update JSA invoice"/>
    <x v="3"/>
    <s v="Tuesday"/>
  </r>
  <r>
    <d v="2024-02-20T00:00:00"/>
    <x v="45"/>
    <s v="Bookkeeping"/>
    <n v="0.42"/>
    <x v="57"/>
    <s v="Yes"/>
    <s v="AP and bank rec review"/>
    <x v="3"/>
    <s v="Tuesday"/>
  </r>
  <r>
    <d v="2024-02-20T00:00:00"/>
    <x v="45"/>
    <s v="Bookkeeping"/>
    <n v="0.5"/>
    <x v="41"/>
    <s v="Yes"/>
    <s v="Discuss client query with Jim"/>
    <x v="3"/>
    <s v="Tuesday"/>
  </r>
  <r>
    <d v="2024-02-20T00:00:00"/>
    <x v="45"/>
    <s v="Bookkeeping"/>
    <n v="0.77"/>
    <x v="50"/>
    <s v="Yes"/>
    <s v="Inbox mgmt AP and review bank rec Import bank transactions Upload payments"/>
    <x v="3"/>
    <s v="Tuesday"/>
  </r>
  <r>
    <d v="2024-02-20T00:00:00"/>
    <x v="45"/>
    <s v="Bookkeeping"/>
    <n v="1.77"/>
    <x v="50"/>
    <s v="Yes"/>
    <s v="Inbox management Upload payments AP"/>
    <x v="3"/>
    <s v="Tuesday"/>
  </r>
  <r>
    <d v="2024-02-20T00:00:00"/>
    <x v="45"/>
    <s v="General"/>
    <n v="0.5"/>
    <x v="12"/>
    <s v="No"/>
    <s v="Paid break"/>
    <x v="3"/>
    <s v="Tuesday"/>
  </r>
  <r>
    <d v="2024-02-20T00:00:00"/>
    <x v="45"/>
    <s v="Learning &amp; Development"/>
    <n v="2"/>
    <x v="12"/>
    <s v="No"/>
    <s v="Fathom training"/>
    <x v="3"/>
    <s v="Tuesday"/>
  </r>
  <r>
    <d v="2024-02-20T00:00:00"/>
    <x v="45"/>
    <s v="Management Reporting"/>
    <n v="1.33"/>
    <x v="71"/>
    <s v="Yes"/>
    <s v="Accounts and GST review"/>
    <x v="3"/>
    <s v="Tuesday"/>
  </r>
  <r>
    <d v="2024-02-20T00:00:00"/>
    <x v="45"/>
    <s v="Payroll Processing"/>
    <n v="0.08"/>
    <x v="21"/>
    <s v="Yes"/>
    <s v="Add super details"/>
    <x v="3"/>
    <s v="Tuesday"/>
  </r>
  <r>
    <d v="2024-02-20T00:00:00"/>
    <x v="45"/>
    <s v="Payroll Processing"/>
    <n v="0.12"/>
    <x v="21"/>
    <s v="Yes"/>
    <s v="Review super accruals report"/>
    <x v="3"/>
    <s v="Tuesday"/>
  </r>
  <r>
    <d v="2024-02-20T00:00:00"/>
    <x v="45"/>
    <s v="Payroll Processing"/>
    <n v="0.17"/>
    <x v="22"/>
    <s v="Yes"/>
    <s v="Review all employees have super"/>
    <x v="3"/>
    <s v="Tuesday"/>
  </r>
  <r>
    <d v="2024-02-20T00:00:00"/>
    <x v="45"/>
    <s v="Payroll Processing"/>
    <n v="0.22"/>
    <x v="22"/>
    <s v="Yes"/>
    <s v="Add super details"/>
    <x v="3"/>
    <s v="Tuesday"/>
  </r>
  <r>
    <d v="2024-02-20T00:00:00"/>
    <x v="46"/>
    <s v="Client Manager"/>
    <n v="1"/>
    <x v="14"/>
    <s v="Yes"/>
    <s v="Upload payables, email Katherine/Shalisa. Review deduction for an employee, liaise with Ann re payback in FY 2024"/>
    <x v="3"/>
    <s v="Tuesday"/>
  </r>
  <r>
    <d v="2024-02-20T00:00:00"/>
    <x v="46"/>
    <s v="General"/>
    <n v="1.25"/>
    <x v="12"/>
    <s v="No"/>
    <s v="Scope change form for Alliance &amp; Emma M."/>
    <x v="3"/>
    <s v="Tuesday"/>
  </r>
  <r>
    <d v="2024-02-20T00:00:00"/>
    <x v="46"/>
    <s v="General"/>
    <n v="2.5"/>
    <x v="12"/>
    <s v="No"/>
    <s v="Various internal calls/emails/massages re Manila trip, invoices, QLD payroll tax registration with Con, onboarding tasks, start with scope change form for Shipley, etc"/>
    <x v="3"/>
    <s v="Tuesday"/>
  </r>
  <r>
    <d v="2024-02-20T00:00:00"/>
    <x v="46"/>
    <s v="IAS/BAS Preparation &amp; Lodgement - Oct-Dec"/>
    <n v="0.25"/>
    <x v="9"/>
    <s v="Yes"/>
    <s v="Send copy of quarterly IAS, update XPM for signatory"/>
    <x v="3"/>
    <s v="Tuesday"/>
  </r>
  <r>
    <d v="2024-02-20T00:00:00"/>
    <x v="46"/>
    <s v="IAS/BAS Preparation &amp; Lodgement - Oct-Dec"/>
    <n v="0.33"/>
    <x v="131"/>
    <s v="Yes"/>
    <s v="Dec 2023 quarter review and lodgement"/>
    <x v="3"/>
    <s v="Tuesday"/>
  </r>
  <r>
    <d v="2024-02-20T00:00:00"/>
    <x v="46"/>
    <s v="IAS/BAS Preparation &amp; Lodgement - Oct-Dec"/>
    <n v="0.5"/>
    <x v="50"/>
    <s v="Yes"/>
    <s v="Dec 2023 quarter review and lodgement. Liaise with Sam/Sylvie re PAYGI, vary same, update WPS and XPM"/>
    <x v="3"/>
    <s v="Tuesday"/>
  </r>
  <r>
    <d v="2024-02-20T00:00:00"/>
    <x v="46"/>
    <s v="IAS/BAS Preparation &amp; Lodgement - Oct-Dec"/>
    <n v="0.5"/>
    <x v="2"/>
    <s v="Yes"/>
    <s v="Dec 2023 quarter review and lodgement. Internal queries and confirmtion"/>
    <x v="3"/>
    <s v="Tuesday"/>
  </r>
  <r>
    <d v="2024-02-20T00:00:00"/>
    <x v="46"/>
    <s v="Meetings"/>
    <n v="0.5"/>
    <x v="12"/>
    <s v="No"/>
    <s v="Catch-up with Nica re assistance required"/>
    <x v="3"/>
    <s v="Tuesday"/>
  </r>
  <r>
    <d v="2024-02-20T00:00:00"/>
    <x v="46"/>
    <s v="Meetings"/>
    <n v="0.75"/>
    <x v="12"/>
    <s v="No"/>
    <s v="Capacity planning meeting"/>
    <x v="3"/>
    <s v="Tuesday"/>
  </r>
  <r>
    <d v="2024-02-20T00:00:00"/>
    <x v="46"/>
    <s v="Xero Migration"/>
    <n v="0.25"/>
    <x v="119"/>
    <s v="Yes"/>
    <s v="Email NZ accountant in relation to GST setup in Xero"/>
    <x v="3"/>
    <s v="Tuesday"/>
  </r>
  <r>
    <d v="2024-02-20T00:00:00"/>
    <x v="53"/>
    <s v="General"/>
    <n v="0.23"/>
    <x v="12"/>
    <s v="No"/>
    <s v="Meet with Tax team"/>
    <x v="3"/>
    <s v="Tuesday"/>
  </r>
  <r>
    <d v="2024-02-20T00:00:00"/>
    <x v="53"/>
    <s v="General"/>
    <n v="0.33"/>
    <x v="12"/>
    <s v="No"/>
    <s v="Meet with Alliance team"/>
    <x v="3"/>
    <s v="Tuesday"/>
  </r>
  <r>
    <d v="2024-02-20T00:00:00"/>
    <x v="53"/>
    <s v="General"/>
    <n v="1"/>
    <x v="12"/>
    <s v="No"/>
    <s v="meet AP and AR team"/>
    <x v="3"/>
    <s v="Tuesday"/>
  </r>
  <r>
    <d v="2024-02-20T00:00:00"/>
    <x v="53"/>
    <s v="General"/>
    <n v="1"/>
    <x v="12"/>
    <s v="No"/>
    <s v="Opening Payroll Account"/>
    <x v="3"/>
    <s v="Tuesday"/>
  </r>
  <r>
    <d v="2024-02-20T00:00:00"/>
    <x v="53"/>
    <s v="General"/>
    <n v="1.5"/>
    <x v="12"/>
    <s v="No"/>
    <s v="Overview AP Process with Regie"/>
    <x v="3"/>
    <s v="Tuesday"/>
  </r>
  <r>
    <d v="2024-02-20T00:00:00"/>
    <x v="53"/>
    <s v="General"/>
    <n v="3.98"/>
    <x v="12"/>
    <s v="No"/>
    <s v="Training Course"/>
    <x v="3"/>
    <s v="Tuesday"/>
  </r>
  <r>
    <d v="2024-02-20T00:00:00"/>
    <x v="47"/>
    <s v="Bookkeeping"/>
    <n v="0.35"/>
    <x v="50"/>
    <s v="Yes"/>
    <s v="payment Chris Turner - emails re SGD account"/>
    <x v="3"/>
    <s v="Tuesday"/>
  </r>
  <r>
    <d v="2024-02-20T00:00:00"/>
    <x v="47"/>
    <s v="Bookkeeping"/>
    <n v="0.8"/>
    <x v="50"/>
    <s v="Yes"/>
    <s v="Review Offsite cost recharge- create 3 invoices-email directors"/>
    <x v="3"/>
    <s v="Tuesday"/>
  </r>
  <r>
    <d v="2024-02-20T00:00:00"/>
    <x v="47"/>
    <s v="Bookkeeping"/>
    <n v="1.1000000000000001"/>
    <x v="50"/>
    <s v="Yes"/>
    <s v="review draft financial statements Fy 2023"/>
    <x v="3"/>
    <s v="Tuesday"/>
  </r>
  <r>
    <d v="2024-02-20T00:00:00"/>
    <x v="47"/>
    <s v="Client Admin"/>
    <n v="0.5"/>
    <x v="12"/>
    <s v="No"/>
    <s v="Chat to Carly re Shipley, run and send P&amp;L and BS"/>
    <x v="3"/>
    <s v="Tuesday"/>
  </r>
  <r>
    <d v="2024-02-20T00:00:00"/>
    <x v="47"/>
    <s v="Client Admin"/>
    <n v="0.6"/>
    <x v="12"/>
    <s v="No"/>
    <s v="Josh email re JPE financials, issue FY 2024"/>
    <x v="3"/>
    <s v="Tuesday"/>
  </r>
  <r>
    <d v="2024-02-20T00:00:00"/>
    <x v="47"/>
    <s v="Client Manager"/>
    <n v="0.1"/>
    <x v="4"/>
    <s v="Yes"/>
    <s v="email re debt collection"/>
    <x v="3"/>
    <s v="Tuesday"/>
  </r>
  <r>
    <d v="2024-02-20T00:00:00"/>
    <x v="47"/>
    <s v="Client Manager"/>
    <n v="0.7"/>
    <x v="50"/>
    <s v="Yes"/>
    <s v="emails, liaise with Team"/>
    <x v="3"/>
    <s v="Tuesday"/>
  </r>
  <r>
    <d v="2024-02-20T00:00:00"/>
    <x v="47"/>
    <s v="Client Meeting"/>
    <n v="0.6"/>
    <x v="39"/>
    <s v="Yes"/>
    <s v="Call with Amanda- email to Dext"/>
    <x v="3"/>
    <s v="Tuesday"/>
  </r>
  <r>
    <d v="2024-02-20T00:00:00"/>
    <x v="47"/>
    <s v="General"/>
    <n v="0.7"/>
    <x v="12"/>
    <s v="No"/>
    <s v="Asana, emails, timesheet"/>
    <x v="3"/>
    <s v="Tuesday"/>
  </r>
  <r>
    <d v="2024-02-20T00:00:00"/>
    <x v="47"/>
    <s v="General"/>
    <n v="0.7"/>
    <x v="12"/>
    <s v="No"/>
    <s v="Liaise with team re capacity and leave "/>
    <x v="3"/>
    <s v="Tuesday"/>
  </r>
  <r>
    <d v="2024-02-20T00:00:00"/>
    <x v="47"/>
    <s v="IAS/BAS Preparation &amp; Lodgement - Oct-Dec"/>
    <n v="0.7"/>
    <x v="50"/>
    <s v="Yes"/>
    <s v="Review BAM December BAS, chat Sam and Shalini re PAYGI, email to Stephen"/>
    <x v="3"/>
    <s v="Tuesday"/>
  </r>
  <r>
    <d v="2024-02-20T00:00:00"/>
    <x v="47"/>
    <s v="Management Reporting"/>
    <n v="0.9"/>
    <x v="50"/>
    <s v="Yes"/>
    <s v="Consolidated Accounts @ January + Conso 12 mths to Dec23"/>
    <x v="3"/>
    <s v="Tuesday"/>
  </r>
  <r>
    <d v="2024-02-20T00:00:00"/>
    <x v="47"/>
    <s v="Management Reporting"/>
    <n v="1"/>
    <x v="50"/>
    <s v="Yes"/>
    <s v="BASS financials at 30 June - change layout P&amp;L and BS in xero - send accounts BAM and BASS to stephen"/>
    <x v="3"/>
    <s v="Tuesday"/>
  </r>
  <r>
    <d v="2024-02-20T00:00:00"/>
    <x v="52"/>
    <s v="Automations"/>
    <n v="4"/>
    <x v="12"/>
    <s v="No"/>
    <s v="BAS Automation"/>
    <x v="3"/>
    <s v="Tuesday"/>
  </r>
  <r>
    <d v="2024-02-20T00:00:00"/>
    <x v="48"/>
    <s v="General"/>
    <n v="3"/>
    <x v="12"/>
    <s v="No"/>
    <e v="#NAME?"/>
    <x v="3"/>
    <s v="Tuesday"/>
  </r>
  <r>
    <d v="2024-02-20T00:00:00"/>
    <x v="48"/>
    <s v="HR/Recuitment"/>
    <n v="5"/>
    <x v="12"/>
    <s v="No"/>
    <e v="#NAME?"/>
    <x v="3"/>
    <s v="Tuesday"/>
  </r>
  <r>
    <d v="2024-02-21T00:00:00"/>
    <x v="0"/>
    <s v="Bookkeeping"/>
    <n v="7.0000000000000007E-2"/>
    <x v="0"/>
    <s v="Yes"/>
    <s v="Emails"/>
    <x v="3"/>
    <s v="Wednesday"/>
  </r>
  <r>
    <d v="2024-02-21T00:00:00"/>
    <x v="0"/>
    <s v="Bookkeeping"/>
    <n v="0.08"/>
    <x v="62"/>
    <s v="Yes"/>
    <s v="Emails"/>
    <x v="3"/>
    <s v="Wednesday"/>
  </r>
  <r>
    <d v="2024-02-21T00:00:00"/>
    <x v="0"/>
    <s v="Bookkeeping"/>
    <n v="0.08"/>
    <x v="8"/>
    <s v="Yes"/>
    <s v="Email"/>
    <x v="3"/>
    <s v="Wednesday"/>
  </r>
  <r>
    <d v="2024-02-21T00:00:00"/>
    <x v="0"/>
    <s v="Bookkeeping"/>
    <n v="0.08"/>
    <x v="2"/>
    <s v="Yes"/>
    <s v="Email"/>
    <x v="3"/>
    <s v="Wednesday"/>
  </r>
  <r>
    <d v="2024-02-21T00:00:00"/>
    <x v="0"/>
    <s v="Bookkeeping"/>
    <n v="0.12"/>
    <x v="11"/>
    <s v="Yes"/>
    <s v="Email and Manual Journal"/>
    <x v="3"/>
    <s v="Wednesday"/>
  </r>
  <r>
    <d v="2024-02-21T00:00:00"/>
    <x v="0"/>
    <s v="Bookkeeping"/>
    <n v="0.13"/>
    <x v="62"/>
    <s v="Yes"/>
    <s v="Accounts Payable"/>
    <x v="3"/>
    <s v="Wednesday"/>
  </r>
  <r>
    <d v="2024-02-21T00:00:00"/>
    <x v="0"/>
    <s v="Bookkeeping"/>
    <n v="0.15"/>
    <x v="19"/>
    <s v="Yes"/>
    <s v="Enter bills in Sage"/>
    <x v="3"/>
    <s v="Wednesday"/>
  </r>
  <r>
    <d v="2024-02-21T00:00:00"/>
    <x v="0"/>
    <s v="Bookkeeping"/>
    <n v="0.2"/>
    <x v="8"/>
    <s v="Yes"/>
    <s v="Email and Manual Journal"/>
    <x v="3"/>
    <s v="Wednesday"/>
  </r>
  <r>
    <d v="2024-02-21T00:00:00"/>
    <x v="0"/>
    <s v="Bookkeeping"/>
    <n v="0.22"/>
    <x v="2"/>
    <s v="Yes"/>
    <s v="Email/Inbox Management"/>
    <x v="3"/>
    <s v="Wednesday"/>
  </r>
  <r>
    <d v="2024-02-21T00:00:00"/>
    <x v="0"/>
    <s v="Bookkeeping"/>
    <n v="0.23"/>
    <x v="19"/>
    <s v="Yes"/>
    <s v="Email/Inbox Management"/>
    <x v="3"/>
    <s v="Wednesday"/>
  </r>
  <r>
    <d v="2024-02-21T00:00:00"/>
    <x v="0"/>
    <s v="Bookkeeping"/>
    <n v="0.27"/>
    <x v="3"/>
    <s v="Yes"/>
    <s v="Clear AP inbox and Submit bills for approval"/>
    <x v="3"/>
    <s v="Wednesday"/>
  </r>
  <r>
    <d v="2024-02-21T00:00:00"/>
    <x v="0"/>
    <s v="Bookkeeping"/>
    <n v="0.38"/>
    <x v="4"/>
    <s v="Yes"/>
    <s v="Emails"/>
    <x v="3"/>
    <s v="Wednesday"/>
  </r>
  <r>
    <d v="2024-02-21T00:00:00"/>
    <x v="0"/>
    <s v="Bookkeeping"/>
    <n v="0.42"/>
    <x v="6"/>
    <s v="Yes"/>
    <s v="Email/Inbox Management"/>
    <x v="3"/>
    <s v="Wednesday"/>
  </r>
  <r>
    <d v="2024-02-21T00:00:00"/>
    <x v="0"/>
    <s v="Bookkeeping"/>
    <n v="0.43"/>
    <x v="8"/>
    <s v="Yes"/>
    <s v="Bank Reconciliation"/>
    <x v="3"/>
    <s v="Wednesday"/>
  </r>
  <r>
    <d v="2024-02-21T00:00:00"/>
    <x v="0"/>
    <s v="Bookkeeping"/>
    <n v="0.62"/>
    <x v="5"/>
    <s v="Yes"/>
    <s v="Bank Reconciliation"/>
    <x v="3"/>
    <s v="Wednesday"/>
  </r>
  <r>
    <d v="2024-02-21T00:00:00"/>
    <x v="0"/>
    <s v="Bookkeeping"/>
    <n v="0.97"/>
    <x v="11"/>
    <s v="Yes"/>
    <s v="Bank Reconciliation"/>
    <x v="3"/>
    <s v="Wednesday"/>
  </r>
  <r>
    <d v="2024-02-21T00:00:00"/>
    <x v="0"/>
    <s v="Bookkeeping"/>
    <n v="1"/>
    <x v="19"/>
    <s v="Yes"/>
    <s v="Accounts Payable"/>
    <x v="3"/>
    <s v="Wednesday"/>
  </r>
  <r>
    <d v="2024-02-21T00:00:00"/>
    <x v="0"/>
    <s v="Bookkeeping"/>
    <n v="1.1499999999999999"/>
    <x v="2"/>
    <s v="Yes"/>
    <s v="Bank Reconciliation"/>
    <x v="3"/>
    <s v="Wednesday"/>
  </r>
  <r>
    <d v="2024-02-21T00:00:00"/>
    <x v="0"/>
    <s v="General"/>
    <n v="0.25"/>
    <x v="12"/>
    <s v="No"/>
    <s v="Afternoon Break"/>
    <x v="3"/>
    <s v="Wednesday"/>
  </r>
  <r>
    <d v="2024-02-21T00:00:00"/>
    <x v="0"/>
    <s v="General"/>
    <n v="0.25"/>
    <x v="12"/>
    <s v="No"/>
    <s v="Morning Break"/>
    <x v="3"/>
    <s v="Wednesday"/>
  </r>
  <r>
    <d v="2024-02-21T00:00:00"/>
    <x v="0"/>
    <s v="Learning &amp; Development"/>
    <n v="0.52"/>
    <x v="12"/>
    <s v="No"/>
    <s v="Team Activity"/>
    <x v="3"/>
    <s v="Wednesday"/>
  </r>
  <r>
    <d v="2024-02-21T00:00:00"/>
    <x v="0"/>
    <s v="Payroll Processing"/>
    <n v="0.38"/>
    <x v="95"/>
    <s v="Yes"/>
    <m/>
    <x v="3"/>
    <s v="Wednesday"/>
  </r>
  <r>
    <d v="2024-02-21T00:00:00"/>
    <x v="49"/>
    <s v="P&amp;C Advisory - Group"/>
    <n v="1.5"/>
    <x v="63"/>
    <s v="Yes"/>
    <s v="F/up re. town hall Town Hall presentation Correspondence re. IT/email accounts"/>
    <x v="3"/>
    <s v="Wednesday"/>
  </r>
  <r>
    <d v="2024-02-21T00:00:00"/>
    <x v="49"/>
    <s v="P&amp;C Advisory - Nederman Mikropul"/>
    <n v="0.5"/>
    <x v="63"/>
    <s v="Yes"/>
    <s v="Discussion with manager re. recruitment requirements and coaching re. performance reviews"/>
    <x v="3"/>
    <s v="Wednesday"/>
  </r>
  <r>
    <d v="2024-02-21T00:00:00"/>
    <x v="49"/>
    <s v="P&amp;C Advisory - Nederman PT"/>
    <n v="0.5"/>
    <x v="63"/>
    <s v="Yes"/>
    <s v="Call/coaching re. office closure discussion"/>
    <x v="3"/>
    <s v="Wednesday"/>
  </r>
  <r>
    <d v="2024-02-21T00:00:00"/>
    <x v="49"/>
    <s v="P&amp;C Advisory - Nordfab"/>
    <n v="1"/>
    <x v="63"/>
    <s v="Yes"/>
    <s v="Correspondence re. reporting line changes Recruitment/onboarding of newhire"/>
    <x v="3"/>
    <s v="Wednesday"/>
  </r>
  <r>
    <d v="2024-02-21T00:00:00"/>
    <x v="1"/>
    <s v="Bookkeeping"/>
    <n v="0.33"/>
    <x v="14"/>
    <s v="Yes"/>
    <m/>
    <x v="3"/>
    <s v="Wednesday"/>
  </r>
  <r>
    <d v="2024-02-21T00:00:00"/>
    <x v="1"/>
    <s v="Bookkeeping"/>
    <n v="1.22"/>
    <x v="15"/>
    <s v="Yes"/>
    <m/>
    <x v="3"/>
    <s v="Wednesday"/>
  </r>
  <r>
    <d v="2024-02-21T00:00:00"/>
    <x v="1"/>
    <s v="General"/>
    <n v="0.47"/>
    <x v="12"/>
    <s v="No"/>
    <s v="break"/>
    <x v="3"/>
    <s v="Wednesday"/>
  </r>
  <r>
    <d v="2024-02-21T00:00:00"/>
    <x v="1"/>
    <s v="General"/>
    <n v="0.52"/>
    <x v="12"/>
    <s v="No"/>
    <s v="Team engagement activity"/>
    <x v="3"/>
    <s v="Wednesday"/>
  </r>
  <r>
    <d v="2024-02-21T00:00:00"/>
    <x v="1"/>
    <s v="General"/>
    <n v="0.67"/>
    <x v="12"/>
    <s v="No"/>
    <s v="Wyzed"/>
    <x v="3"/>
    <s v="Wednesday"/>
  </r>
  <r>
    <d v="2024-02-21T00:00:00"/>
    <x v="1"/>
    <s v="General"/>
    <n v="1.37"/>
    <x v="12"/>
    <s v="No"/>
    <s v="Coordinate direct report movements, Request Z for updates in access (movement in direct reports), chats re updates on handovers, etc"/>
    <x v="3"/>
    <s v="Wednesday"/>
  </r>
  <r>
    <d v="2024-02-21T00:00:00"/>
    <x v="1"/>
    <s v="General"/>
    <n v="1.47"/>
    <x v="12"/>
    <s v="No"/>
    <s v="chats, emails, attend to concerns/queries, list items for discussion with Guia, etc"/>
    <x v="3"/>
    <s v="Wednesday"/>
  </r>
  <r>
    <d v="2024-02-21T00:00:00"/>
    <x v="1"/>
    <s v="General"/>
    <n v="1.57"/>
    <x v="12"/>
    <s v="No"/>
    <s v="review capacity, coordinate transfer of client/task, chats re Dext billable/nonbillable tasks, check Asana per staff, etc"/>
    <x v="3"/>
    <s v="Wednesday"/>
  </r>
  <r>
    <d v="2024-02-21T00:00:00"/>
    <x v="1"/>
    <s v="Meetings"/>
    <n v="0.47"/>
    <x v="12"/>
    <s v="No"/>
    <s v="call with Guia re SA responsibilities"/>
    <x v="3"/>
    <s v="Wednesday"/>
  </r>
  <r>
    <d v="2024-02-21T00:00:00"/>
    <x v="3"/>
    <s v="Business Development"/>
    <n v="8"/>
    <x v="12"/>
    <s v="No"/>
    <s v="*meeting with Alison  *Sporadic meetings and finalizations  *continuation of flows"/>
    <x v="3"/>
    <s v="Wednesday"/>
  </r>
  <r>
    <d v="2024-02-21T00:00:00"/>
    <x v="4"/>
    <s v="Business Development"/>
    <n v="9"/>
    <x v="12"/>
    <s v="No"/>
    <m/>
    <x v="3"/>
    <s v="Wednesday"/>
  </r>
  <r>
    <d v="2024-02-21T00:00:00"/>
    <x v="5"/>
    <s v="Bookkeeping"/>
    <n v="0.52"/>
    <x v="16"/>
    <s v="Yes"/>
    <s v="Leave Reports "/>
    <x v="3"/>
    <s v="Wednesday"/>
  </r>
  <r>
    <d v="2024-02-21T00:00:00"/>
    <x v="5"/>
    <s v="Bookkeeping"/>
    <n v="0.57999999999999996"/>
    <x v="16"/>
    <s v="Yes"/>
    <s v="Marking as Paid in Simpro "/>
    <x v="3"/>
    <s v="Wednesday"/>
  </r>
  <r>
    <d v="2024-02-21T00:00:00"/>
    <x v="5"/>
    <s v="Bookkeeping"/>
    <n v="1.98"/>
    <x v="16"/>
    <s v="Yes"/>
    <s v="Email Management "/>
    <x v="3"/>
    <s v="Wednesday"/>
  </r>
  <r>
    <d v="2024-02-21T00:00:00"/>
    <x v="5"/>
    <s v="Bookkeeping"/>
    <n v="5.2"/>
    <x v="16"/>
    <s v="Yes"/>
    <s v="Review of Statements and batching of bills for AMEX Payment"/>
    <x v="3"/>
    <s v="Wednesday"/>
  </r>
  <r>
    <d v="2024-02-21T00:00:00"/>
    <x v="7"/>
    <s v="Automations"/>
    <n v="11.23"/>
    <x v="12"/>
    <s v="No"/>
    <m/>
    <x v="3"/>
    <s v="Wednesday"/>
  </r>
  <r>
    <d v="2024-02-21T00:00:00"/>
    <x v="10"/>
    <s v="Automations"/>
    <n v="9.0299999999999994"/>
    <x v="12"/>
    <s v="No"/>
    <s v="Alliance Automation Part 2 and 3 Development "/>
    <x v="3"/>
    <s v="Wednesday"/>
  </r>
  <r>
    <d v="2024-02-21T00:00:00"/>
    <x v="11"/>
    <s v="Bookkeeping"/>
    <n v="0.17"/>
    <x v="25"/>
    <s v="No"/>
    <s v="Checking"/>
    <x v="3"/>
    <s v="Wednesday"/>
  </r>
  <r>
    <d v="2024-02-21T00:00:00"/>
    <x v="11"/>
    <s v="Bookkeeping"/>
    <n v="0.25"/>
    <x v="23"/>
    <s v="Yes"/>
    <s v="Loading bills from HubDoc, bank recon for BAS"/>
    <x v="3"/>
    <s v="Wednesday"/>
  </r>
  <r>
    <d v="2024-02-21T00:00:00"/>
    <x v="11"/>
    <s v="Bookkeeping"/>
    <n v="0.25"/>
    <x v="42"/>
    <s v="No"/>
    <s v="Checking"/>
    <x v="3"/>
    <s v="Wednesday"/>
  </r>
  <r>
    <d v="2024-02-21T00:00:00"/>
    <x v="11"/>
    <s v="Bookkeeping"/>
    <n v="0.75"/>
    <x v="42"/>
    <s v="Yes"/>
    <s v="Email management, loading bills, bank recon"/>
    <x v="3"/>
    <s v="Wednesday"/>
  </r>
  <r>
    <d v="2024-02-21T00:00:00"/>
    <x v="11"/>
    <s v="Bookkeeping"/>
    <n v="0.83"/>
    <x v="31"/>
    <s v="No"/>
    <s v="Handover meeting with Gerardo"/>
    <x v="3"/>
    <s v="Wednesday"/>
  </r>
  <r>
    <d v="2024-02-21T00:00:00"/>
    <x v="11"/>
    <s v="Bookkeeping"/>
    <n v="1.58"/>
    <x v="116"/>
    <s v="Yes"/>
    <s v="Loading bills, bank recon"/>
    <x v="3"/>
    <s v="Wednesday"/>
  </r>
  <r>
    <d v="2024-02-21T00:00:00"/>
    <x v="11"/>
    <s v="Bookkeeping"/>
    <n v="2.83"/>
    <x v="25"/>
    <s v="Yes"/>
    <s v="Email management, loading bills, bank recon"/>
    <x v="3"/>
    <s v="Wednesday"/>
  </r>
  <r>
    <d v="2024-02-21T00:00:00"/>
    <x v="11"/>
    <s v="General"/>
    <n v="0.5"/>
    <x v="12"/>
    <s v="No"/>
    <s v="break"/>
    <x v="3"/>
    <s v="Wednesday"/>
  </r>
  <r>
    <d v="2024-02-21T00:00:00"/>
    <x v="11"/>
    <s v="Meetings"/>
    <n v="0.57999999999999996"/>
    <x v="12"/>
    <s v="No"/>
    <s v="Team activity"/>
    <x v="3"/>
    <s v="Wednesday"/>
  </r>
  <r>
    <d v="2024-02-21T00:00:00"/>
    <x v="11"/>
    <s v="Payroll Processing"/>
    <n v="0.25"/>
    <x v="42"/>
    <s v="Yes"/>
    <s v="FN payroll"/>
    <x v="3"/>
    <s v="Wednesday"/>
  </r>
  <r>
    <d v="2024-02-21T00:00:00"/>
    <x v="14"/>
    <s v="Bookkeeping"/>
    <n v="0.08"/>
    <x v="52"/>
    <s v="No"/>
    <s v="convo w/ Mary re: review and schedule"/>
    <x v="3"/>
    <s v="Wednesday"/>
  </r>
  <r>
    <d v="2024-02-21T00:00:00"/>
    <x v="14"/>
    <s v="Bookkeeping"/>
    <n v="0.53"/>
    <x v="34"/>
    <s v="Yes"/>
    <s v="queries"/>
    <x v="3"/>
    <s v="Wednesday"/>
  </r>
  <r>
    <d v="2024-02-21T00:00:00"/>
    <x v="14"/>
    <s v="Bookkeeping"/>
    <n v="0.55000000000000004"/>
    <x v="28"/>
    <s v="Yes"/>
    <s v="call w/ Jim re: forecast P&amp;L layout"/>
    <x v="3"/>
    <s v="Wednesday"/>
  </r>
  <r>
    <d v="2024-02-21T00:00:00"/>
    <x v="14"/>
    <s v="Bookkeeping"/>
    <n v="0.98"/>
    <x v="119"/>
    <s v="Yes"/>
    <s v="Xero set-up CoA/ contacts"/>
    <x v="3"/>
    <s v="Wednesday"/>
  </r>
  <r>
    <d v="2024-02-21T00:00:00"/>
    <x v="14"/>
    <s v="General"/>
    <n v="0.32"/>
    <x v="12"/>
    <s v="No"/>
    <s v="teams, queries"/>
    <x v="3"/>
    <s v="Wednesday"/>
  </r>
  <r>
    <d v="2024-02-21T00:00:00"/>
    <x v="14"/>
    <s v="General"/>
    <n v="0.5"/>
    <x v="12"/>
    <s v="No"/>
    <s v="break"/>
    <x v="3"/>
    <s v="Wednesday"/>
  </r>
  <r>
    <d v="2024-02-21T00:00:00"/>
    <x v="14"/>
    <s v="General"/>
    <n v="0.56999999999999995"/>
    <x v="12"/>
    <s v="No"/>
    <s v="emails/teams/queries/Sprout"/>
    <x v="3"/>
    <s v="Wednesday"/>
  </r>
  <r>
    <d v="2024-02-21T00:00:00"/>
    <x v="14"/>
    <s v="Meetings"/>
    <n v="0.55000000000000004"/>
    <x v="12"/>
    <s v="No"/>
    <s v="team acitivity"/>
    <x v="3"/>
    <s v="Wednesday"/>
  </r>
  <r>
    <d v="2024-02-21T00:00:00"/>
    <x v="14"/>
    <s v="Payroll Processing"/>
    <n v="0.8"/>
    <x v="16"/>
    <s v="No"/>
    <s v="payroll process walkthrough w/ Rose and Sherley"/>
    <x v="3"/>
    <s v="Wednesday"/>
  </r>
  <r>
    <d v="2024-02-21T00:00:00"/>
    <x v="14"/>
    <s v="Payroll Processing"/>
    <n v="3.12"/>
    <x v="16"/>
    <s v="Yes"/>
    <m/>
    <x v="3"/>
    <s v="Wednesday"/>
  </r>
  <r>
    <d v="2024-02-21T00:00:00"/>
    <x v="15"/>
    <s v="General"/>
    <n v="10.02"/>
    <x v="12"/>
    <s v="No"/>
    <e v="#NAME?"/>
    <x v="3"/>
    <s v="Wednesday"/>
  </r>
  <r>
    <d v="2024-02-21T00:00:00"/>
    <x v="16"/>
    <s v="Bookkeeping"/>
    <n v="0.5"/>
    <x v="29"/>
    <s v="Yes"/>
    <s v="Budget report. import file"/>
    <x v="3"/>
    <s v="Wednesday"/>
  </r>
  <r>
    <d v="2024-02-21T00:00:00"/>
    <x v="16"/>
    <s v="Bookkeeping"/>
    <n v="0.56999999999999995"/>
    <x v="31"/>
    <s v="Yes"/>
    <s v="bank recon process ap invoices from email"/>
    <x v="3"/>
    <s v="Wednesday"/>
  </r>
  <r>
    <d v="2024-02-21T00:00:00"/>
    <x v="16"/>
    <s v="Bookkeeping"/>
    <n v="0.62"/>
    <x v="32"/>
    <s v="Yes"/>
    <s v="IAS"/>
    <x v="3"/>
    <s v="Wednesday"/>
  </r>
  <r>
    <d v="2024-02-21T00:00:00"/>
    <x v="16"/>
    <s v="Bookkeeping"/>
    <n v="0.65"/>
    <x v="75"/>
    <s v="No"/>
    <s v="reviewing recorded training, checking previous invoices"/>
    <x v="3"/>
    <s v="Wednesday"/>
  </r>
  <r>
    <d v="2024-02-21T00:00:00"/>
    <x v="16"/>
    <s v="Bookkeeping"/>
    <n v="0.7"/>
    <x v="30"/>
    <s v="Yes"/>
    <s v="ap invoices"/>
    <x v="3"/>
    <s v="Wednesday"/>
  </r>
  <r>
    <d v="2024-02-21T00:00:00"/>
    <x v="16"/>
    <s v="Bookkeeping"/>
    <n v="0.93"/>
    <x v="31"/>
    <s v="Yes"/>
    <s v="bank recon call with Ms.Ef"/>
    <x v="3"/>
    <s v="Wednesday"/>
  </r>
  <r>
    <d v="2024-02-21T00:00:00"/>
    <x v="16"/>
    <s v="Bookkeeping"/>
    <n v="1.4"/>
    <x v="31"/>
    <s v="Yes"/>
    <s v="bank recon process invoices from email"/>
    <x v="3"/>
    <s v="Wednesday"/>
  </r>
  <r>
    <d v="2024-02-21T00:00:00"/>
    <x v="16"/>
    <s v="Bookkeeping"/>
    <n v="1.7"/>
    <x v="30"/>
    <s v="Yes"/>
    <s v="ap batch payment"/>
    <x v="3"/>
    <s v="Wednesday"/>
  </r>
  <r>
    <d v="2024-02-21T00:00:00"/>
    <x v="16"/>
    <s v="General"/>
    <n v="0.52"/>
    <x v="12"/>
    <s v="No"/>
    <s v="team activity"/>
    <x v="3"/>
    <s v="Wednesday"/>
  </r>
  <r>
    <d v="2024-02-21T00:00:00"/>
    <x v="16"/>
    <s v="Meetings"/>
    <n v="0.42"/>
    <x v="12"/>
    <s v="No"/>
    <s v="team activity"/>
    <x v="3"/>
    <s v="Wednesday"/>
  </r>
  <r>
    <d v="2024-02-21T00:00:00"/>
    <x v="17"/>
    <s v="Bookkeeping"/>
    <n v="0.25"/>
    <x v="34"/>
    <s v="Yes"/>
    <s v="Checking queries"/>
    <x v="3"/>
    <s v="Wednesday"/>
  </r>
  <r>
    <d v="2024-02-21T00:00:00"/>
    <x v="17"/>
    <s v="Bookkeeping"/>
    <n v="0.6"/>
    <x v="35"/>
    <s v="Yes"/>
    <s v="Bank recs, checking of ATO payments"/>
    <x v="3"/>
    <s v="Wednesday"/>
  </r>
  <r>
    <d v="2024-02-21T00:00:00"/>
    <x v="17"/>
    <s v="Bookkeeping"/>
    <n v="0.6"/>
    <x v="80"/>
    <s v="Yes"/>
    <s v="Bank recs"/>
    <x v="3"/>
    <s v="Wednesday"/>
  </r>
  <r>
    <d v="2024-02-21T00:00:00"/>
    <x v="17"/>
    <s v="Bookkeeping"/>
    <n v="0.75"/>
    <x v="34"/>
    <s v="Yes"/>
    <s v="Checking pending AS and sending email follow-up to client, checking accounts"/>
    <x v="3"/>
    <s v="Wednesday"/>
  </r>
  <r>
    <d v="2024-02-21T00:00:00"/>
    <x v="17"/>
    <s v="Bookkeeping"/>
    <n v="4.33"/>
    <x v="87"/>
    <s v="No"/>
    <s v="Tax queries"/>
    <x v="3"/>
    <s v="Wednesday"/>
  </r>
  <r>
    <d v="2024-02-21T00:00:00"/>
    <x v="17"/>
    <s v="Meetings"/>
    <n v="0.48"/>
    <x v="12"/>
    <s v="No"/>
    <s v="SA meeting with Ann"/>
    <x v="3"/>
    <s v="Wednesday"/>
  </r>
  <r>
    <d v="2024-02-21T00:00:00"/>
    <x v="17"/>
    <s v="Meetings"/>
    <n v="0.53"/>
    <x v="12"/>
    <s v="No"/>
    <s v="Team activity"/>
    <x v="3"/>
    <s v="Wednesday"/>
  </r>
  <r>
    <d v="2024-02-21T00:00:00"/>
    <x v="17"/>
    <s v="Payroll Processing"/>
    <n v="0.13"/>
    <x v="37"/>
    <s v="Yes"/>
    <s v="Filing pay runs to ATO, publishing payslips"/>
    <x v="3"/>
    <s v="Wednesday"/>
  </r>
  <r>
    <d v="2024-02-21T00:00:00"/>
    <x v="17"/>
    <s v="Payroll Processing"/>
    <n v="0.23"/>
    <x v="37"/>
    <s v="Yes"/>
    <s v="Exporting ABA files"/>
    <x v="3"/>
    <s v="Wednesday"/>
  </r>
  <r>
    <d v="2024-02-21T00:00:00"/>
    <x v="17"/>
    <s v="Payroll Processing"/>
    <n v="0.25"/>
    <x v="37"/>
    <s v="Yes"/>
    <s v="Checking pay run and sending email follow-up"/>
    <x v="3"/>
    <s v="Wednesday"/>
  </r>
  <r>
    <d v="2024-02-21T00:00:00"/>
    <x v="18"/>
    <s v="Bookkeeping"/>
    <n v="0.17"/>
    <x v="66"/>
    <s v="Yes"/>
    <s v="email follow up client"/>
    <x v="3"/>
    <s v="Wednesday"/>
  </r>
  <r>
    <d v="2024-02-21T00:00:00"/>
    <x v="18"/>
    <s v="Client Meeting"/>
    <n v="0.53"/>
    <x v="111"/>
    <s v="Yes"/>
    <s v="continue setting up Xero"/>
    <x v="3"/>
    <s v="Wednesday"/>
  </r>
  <r>
    <d v="2024-02-21T00:00:00"/>
    <x v="18"/>
    <s v="Client Meeting"/>
    <n v="0.78"/>
    <x v="111"/>
    <s v="Yes"/>
    <s v="complete Xero file setup"/>
    <x v="3"/>
    <s v="Wednesday"/>
  </r>
  <r>
    <d v="2024-02-21T00:00:00"/>
    <x v="18"/>
    <s v="Financial Statements"/>
    <n v="1.52"/>
    <x v="132"/>
    <s v="Yes"/>
    <s v="Balance Sheet prep"/>
    <x v="3"/>
    <s v="Wednesday"/>
  </r>
  <r>
    <d v="2024-02-21T00:00:00"/>
    <x v="18"/>
    <s v="General"/>
    <n v="0.35"/>
    <x v="12"/>
    <s v="No"/>
    <s v="emails, asana, chat with Sylvie"/>
    <x v="3"/>
    <s v="Wednesday"/>
  </r>
  <r>
    <d v="2024-02-21T00:00:00"/>
    <x v="18"/>
    <s v="General"/>
    <n v="0.85"/>
    <x v="12"/>
    <s v="No"/>
    <s v="check trainings sent by Nick"/>
    <x v="3"/>
    <s v="Wednesday"/>
  </r>
  <r>
    <d v="2024-02-21T00:00:00"/>
    <x v="18"/>
    <s v="Management Reporting"/>
    <n v="0.56999999999999995"/>
    <x v="113"/>
    <s v="Yes"/>
    <s v="reply to client query"/>
    <x v="3"/>
    <s v="Wednesday"/>
  </r>
  <r>
    <d v="2024-02-21T00:00:00"/>
    <x v="18"/>
    <s v="Management Reporting"/>
    <n v="1.17"/>
    <x v="29"/>
    <s v="No"/>
    <s v="training with Ge how to import budget"/>
    <x v="3"/>
    <s v="Wednesday"/>
  </r>
  <r>
    <d v="2024-02-21T00:00:00"/>
    <x v="18"/>
    <s v="Management Reporting"/>
    <n v="1.52"/>
    <x v="29"/>
    <s v="Yes"/>
    <s v="update forecast file"/>
    <x v="3"/>
    <s v="Wednesday"/>
  </r>
  <r>
    <d v="2024-02-21T00:00:00"/>
    <x v="18"/>
    <s v="Meetings"/>
    <n v="0.57999999999999996"/>
    <x v="12"/>
    <s v="No"/>
    <s v="emails, asana, chat with Ann review trainings meeting with Ali"/>
    <x v="3"/>
    <s v="Wednesday"/>
  </r>
  <r>
    <d v="2024-02-21T00:00:00"/>
    <x v="19"/>
    <s v="Bookkeeping"/>
    <n v="0.25"/>
    <x v="3"/>
    <s v="Yes"/>
    <s v="Jan 24 Super"/>
    <x v="3"/>
    <s v="Wednesday"/>
  </r>
  <r>
    <d v="2024-02-21T00:00:00"/>
    <x v="19"/>
    <s v="Bookkeeping"/>
    <n v="1.18"/>
    <x v="36"/>
    <s v="Yes"/>
    <m/>
    <x v="3"/>
    <s v="Wednesday"/>
  </r>
  <r>
    <d v="2024-02-21T00:00:00"/>
    <x v="19"/>
    <s v="Payroll Processing"/>
    <n v="6.57"/>
    <x v="3"/>
    <s v="Yes"/>
    <m/>
    <x v="3"/>
    <s v="Wednesday"/>
  </r>
  <r>
    <d v="2024-02-21T00:00:00"/>
    <x v="20"/>
    <s v="P&amp;C Advisory"/>
    <n v="8"/>
    <x v="37"/>
    <s v="Yes"/>
    <s v="MD LOO HR Daily Huddle Employment Contract template updates Phone Screen - Finance Handover prep Phone screen - Estimator VIC Formal performance mgmt advice - SM VIC lever trouble shooting Inbox enquiries"/>
    <x v="3"/>
    <s v="Wednesday"/>
  </r>
  <r>
    <d v="2024-02-21T00:00:00"/>
    <x v="21"/>
    <s v="Bookkeeping"/>
    <n v="0.25"/>
    <x v="40"/>
    <s v="Yes"/>
    <m/>
    <x v="3"/>
    <s v="Wednesday"/>
  </r>
  <r>
    <d v="2024-02-21T00:00:00"/>
    <x v="21"/>
    <s v="Bookkeeping"/>
    <n v="0.32"/>
    <x v="57"/>
    <s v="Yes"/>
    <s v="bank recon, ap items"/>
    <x v="3"/>
    <s v="Wednesday"/>
  </r>
  <r>
    <d v="2024-02-21T00:00:00"/>
    <x v="21"/>
    <s v="Bookkeeping"/>
    <n v="0.42"/>
    <x v="28"/>
    <s v="Yes"/>
    <s v="AP bills review and sent to client for batch upload"/>
    <x v="3"/>
    <s v="Wednesday"/>
  </r>
  <r>
    <d v="2024-02-21T00:00:00"/>
    <x v="21"/>
    <s v="Bookkeeping"/>
    <n v="0.5"/>
    <x v="41"/>
    <s v="Yes"/>
    <m/>
    <x v="3"/>
    <s v="Wednesday"/>
  </r>
  <r>
    <d v="2024-02-21T00:00:00"/>
    <x v="21"/>
    <s v="Bookkeeping"/>
    <n v="0.55000000000000004"/>
    <x v="28"/>
    <s v="Yes"/>
    <s v="AP items, dext prepare, emails, batch sent to client for payrun"/>
    <x v="3"/>
    <s v="Wednesday"/>
  </r>
  <r>
    <d v="2024-02-21T00:00:00"/>
    <x v="21"/>
    <s v="Bookkeeping"/>
    <n v="0.65"/>
    <x v="39"/>
    <s v="Yes"/>
    <s v="ap items"/>
    <x v="3"/>
    <s v="Wednesday"/>
  </r>
  <r>
    <d v="2024-02-21T00:00:00"/>
    <x v="21"/>
    <s v="Bookkeeping"/>
    <n v="0.75"/>
    <x v="28"/>
    <s v="Yes"/>
    <m/>
    <x v="3"/>
    <s v="Wednesday"/>
  </r>
  <r>
    <d v="2024-02-21T00:00:00"/>
    <x v="21"/>
    <s v="Bookkeeping"/>
    <n v="0.8"/>
    <x v="28"/>
    <s v="Yes"/>
    <s v="Client query fill up data for their forecast excel, ap items"/>
    <x v="3"/>
    <s v="Wednesday"/>
  </r>
  <r>
    <d v="2024-02-21T00:00:00"/>
    <x v="21"/>
    <s v="Bookkeeping"/>
    <n v="0.83"/>
    <x v="36"/>
    <s v="Yes"/>
    <s v="ap bills review"/>
    <x v="3"/>
    <s v="Wednesday"/>
  </r>
  <r>
    <d v="2024-02-21T00:00:00"/>
    <x v="21"/>
    <s v="Bookkeeping"/>
    <n v="1.1499999999999999"/>
    <x v="39"/>
    <s v="Yes"/>
    <s v="ap items, bank recon, update on BS recon"/>
    <x v="3"/>
    <s v="Wednesday"/>
  </r>
  <r>
    <d v="2024-02-21T00:00:00"/>
    <x v="21"/>
    <s v="Bookkeeping"/>
    <n v="1.38"/>
    <x v="28"/>
    <s v="Yes"/>
    <s v="Finalise custom report for P&amp;L forecast as requested by John Cousins."/>
    <x v="3"/>
    <s v="Wednesday"/>
  </r>
  <r>
    <d v="2024-02-21T00:00:00"/>
    <x v="21"/>
    <s v="Payroll Processing"/>
    <n v="0.4"/>
    <x v="41"/>
    <s v="Yes"/>
    <m/>
    <x v="3"/>
    <s v="Wednesday"/>
  </r>
  <r>
    <d v="2024-02-21T00:00:00"/>
    <x v="22"/>
    <s v="Automations - Surefire"/>
    <n v="8"/>
    <x v="12"/>
    <s v="No"/>
    <s v="SureFire Services Automation"/>
    <x v="3"/>
    <s v="Wednesday"/>
  </r>
  <r>
    <d v="2024-02-21T00:00:00"/>
    <x v="23"/>
    <s v="Automations"/>
    <n v="4"/>
    <x v="12"/>
    <s v="No"/>
    <m/>
    <x v="3"/>
    <s v="Wednesday"/>
  </r>
  <r>
    <d v="2024-02-21T00:00:00"/>
    <x v="23"/>
    <s v="Sick Leave"/>
    <n v="4"/>
    <x v="12"/>
    <s v="No"/>
    <m/>
    <x v="3"/>
    <s v="Wednesday"/>
  </r>
  <r>
    <d v="2024-02-21T00:00:00"/>
    <x v="24"/>
    <s v="Automations"/>
    <n v="8"/>
    <x v="12"/>
    <s v="No"/>
    <s v="Run: LOC Dev: PrimeBuild Payroll Processing Report Automation"/>
    <x v="3"/>
    <s v="Wednesday"/>
  </r>
  <r>
    <d v="2024-02-21T00:00:00"/>
    <x v="25"/>
    <s v="Bookkeeping"/>
    <n v="0.05"/>
    <x v="42"/>
    <s v="Yes"/>
    <s v="Check DL and laiise with Ef re Lucia personal payment"/>
    <x v="3"/>
    <s v="Wednesday"/>
  </r>
  <r>
    <d v="2024-02-21T00:00:00"/>
    <x v="25"/>
    <s v="Bookkeeping"/>
    <n v="7.0000000000000007E-2"/>
    <x v="9"/>
    <s v="No"/>
    <s v="Return form to Mercer for overpaid super.  Non billable - Dext error"/>
    <x v="3"/>
    <s v="Wednesday"/>
  </r>
  <r>
    <d v="2024-02-21T00:00:00"/>
    <x v="25"/>
    <s v="Bookkeeping"/>
    <n v="0.17"/>
    <x v="44"/>
    <s v="Yes"/>
    <s v="Email to Tyson with ATO payment details"/>
    <x v="3"/>
    <s v="Wednesday"/>
  </r>
  <r>
    <d v="2024-02-21T00:00:00"/>
    <x v="25"/>
    <s v="Bookkeeping"/>
    <n v="0.27"/>
    <x v="21"/>
    <s v="Yes"/>
    <s v="Email to Ash re Oporto queries"/>
    <x v="3"/>
    <s v="Wednesday"/>
  </r>
  <r>
    <d v="2024-02-21T00:00:00"/>
    <x v="25"/>
    <s v="Bookkeeping"/>
    <n v="0.53"/>
    <x v="24"/>
    <s v="Yes"/>
    <s v="Reports for 4 entities to Julian / Eric"/>
    <x v="3"/>
    <s v="Wednesday"/>
  </r>
  <r>
    <d v="2024-02-21T00:00:00"/>
    <x v="25"/>
    <s v="Bookkeeping"/>
    <n v="1.2"/>
    <x v="44"/>
    <s v="Yes"/>
    <s v="Load payments, email to Marianne, process update and emailt o Ef"/>
    <x v="3"/>
    <s v="Wednesday"/>
  </r>
  <r>
    <d v="2024-02-21T00:00:00"/>
    <x v="25"/>
    <s v="Client Admin"/>
    <n v="0.45"/>
    <x v="12"/>
    <s v="No"/>
    <s v="Call iwth Jess Invocing for Dexterous"/>
    <x v="3"/>
    <s v="Wednesday"/>
  </r>
  <r>
    <d v="2024-02-21T00:00:00"/>
    <x v="25"/>
    <s v="General"/>
    <n v="0.2"/>
    <x v="12"/>
    <s v="No"/>
    <s v="Emails, Asana"/>
    <x v="3"/>
    <s v="Wednesday"/>
  </r>
  <r>
    <d v="2024-02-21T00:00:00"/>
    <x v="25"/>
    <s v="General"/>
    <n v="0.25"/>
    <x v="12"/>
    <s v="No"/>
    <s v="Emails, calls"/>
    <x v="3"/>
    <s v="Wednesday"/>
  </r>
  <r>
    <d v="2024-02-21T00:00:00"/>
    <x v="25"/>
    <s v="General"/>
    <n v="0.25"/>
    <x v="12"/>
    <s v="No"/>
    <s v="Emails, teams messages"/>
    <x v="3"/>
    <s v="Wednesday"/>
  </r>
  <r>
    <d v="2024-02-21T00:00:00"/>
    <x v="25"/>
    <s v="General"/>
    <n v="0.5"/>
    <x v="12"/>
    <s v="No"/>
    <s v="Emails, call with Ali, teasm"/>
    <x v="3"/>
    <s v="Wednesday"/>
  </r>
  <r>
    <d v="2024-02-21T00:00:00"/>
    <x v="25"/>
    <s v="Payroll Processing"/>
    <n v="0.17"/>
    <x v="37"/>
    <s v="Yes"/>
    <s v="Download PRODA letter and setup meeting with Allison"/>
    <x v="3"/>
    <s v="Wednesday"/>
  </r>
  <r>
    <d v="2024-02-21T00:00:00"/>
    <x v="25"/>
    <s v="Payroll Processing"/>
    <n v="0.22"/>
    <x v="42"/>
    <s v="Yes"/>
    <s v="Load payroll to bank, import visa card statements "/>
    <x v="3"/>
    <s v="Wednesday"/>
  </r>
  <r>
    <d v="2024-02-21T00:00:00"/>
    <x v="25"/>
    <s v="Payroll Processing"/>
    <n v="0.25"/>
    <x v="24"/>
    <s v="Yes"/>
    <s v="Sueprannuation for all Oporto PHG entities, email to client "/>
    <x v="3"/>
    <s v="Wednesday"/>
  </r>
  <r>
    <d v="2024-02-21T00:00:00"/>
    <x v="25"/>
    <s v="Payroll Processing"/>
    <n v="0.25"/>
    <x v="37"/>
    <s v="Yes"/>
    <s v="Load payrolls to bank and send email"/>
    <x v="3"/>
    <s v="Wednesday"/>
  </r>
  <r>
    <d v="2024-02-21T00:00:00"/>
    <x v="25"/>
    <s v="Payroll Processing"/>
    <n v="0.33"/>
    <x v="37"/>
    <s v="Yes"/>
    <s v="Finalise payroll and send emails to team / Mohit for cash"/>
    <x v="3"/>
    <s v="Wednesday"/>
  </r>
  <r>
    <d v="2024-02-21T00:00:00"/>
    <x v="25"/>
    <s v="Payroll Processing"/>
    <n v="1.1499999999999999"/>
    <x v="43"/>
    <s v="Yes"/>
    <s v="REview payroll and meting with MAry, call to Matt Finalise RCTIs for contractors"/>
    <x v="3"/>
    <s v="Wednesday"/>
  </r>
  <r>
    <d v="2024-02-21T00:00:00"/>
    <x v="25"/>
    <s v="Payroll Processing"/>
    <n v="2.2200000000000002"/>
    <x v="37"/>
    <s v="Yes"/>
    <s v="Payroll reviews"/>
    <x v="3"/>
    <s v="Wednesday"/>
  </r>
  <r>
    <d v="2024-02-21T00:00:00"/>
    <x v="51"/>
    <s v="Meetings"/>
    <n v="0.25"/>
    <x v="12"/>
    <s v="No"/>
    <s v="Exit Interview - Ze"/>
    <x v="3"/>
    <s v="Wednesday"/>
  </r>
  <r>
    <d v="2024-02-21T00:00:00"/>
    <x v="51"/>
    <s v="P&amp;C Advisory - Nordfab"/>
    <n v="0.17"/>
    <x v="63"/>
    <s v="Yes"/>
    <s v="Verbal Employment Offer Acceptance (Kyle) - Sheet Metal Worker - NSW - Nordfab - Alison"/>
    <x v="3"/>
    <s v="Wednesday"/>
  </r>
  <r>
    <d v="2024-02-21T00:00:00"/>
    <x v="51"/>
    <s v="P&amp;C Advisory - Nordfab"/>
    <n v="0.5"/>
    <x v="63"/>
    <s v="Yes"/>
    <s v="Reference Check (Gerry) - Kyle - Sheet Metal Worker - NSW - Nordfab - Alison"/>
    <x v="3"/>
    <s v="Wednesday"/>
  </r>
  <r>
    <d v="2024-02-21T00:00:00"/>
    <x v="26"/>
    <s v="Business Development"/>
    <n v="0.17"/>
    <x v="12"/>
    <s v="No"/>
    <s v="Sent an email to Bern and part of quality control"/>
    <x v="3"/>
    <s v="Wednesday"/>
  </r>
  <r>
    <d v="2024-02-21T00:00:00"/>
    <x v="26"/>
    <s v="Client Meeting"/>
    <n v="0.23"/>
    <x v="32"/>
    <s v="Yes"/>
    <s v="Responding to Queries and checking details."/>
    <x v="3"/>
    <s v="Wednesday"/>
  </r>
  <r>
    <d v="2024-02-21T00:00:00"/>
    <x v="26"/>
    <s v="Client Meeting"/>
    <n v="0.27"/>
    <x v="89"/>
    <s v="Yes"/>
    <s v="Attending to queries and checking of 162 variance"/>
    <x v="3"/>
    <s v="Wednesday"/>
  </r>
  <r>
    <d v="2024-02-21T00:00:00"/>
    <x v="26"/>
    <s v="General"/>
    <n v="0.25"/>
    <x v="12"/>
    <s v="No"/>
    <s v="15 mins coffee breaks as paid per Labor Code of the Philippines, Article 85. ( Afternoon Break )  "/>
    <x v="3"/>
    <s v="Wednesday"/>
  </r>
  <r>
    <d v="2024-02-21T00:00:00"/>
    <x v="26"/>
    <s v="General"/>
    <n v="0.25"/>
    <x v="12"/>
    <s v="No"/>
    <s v="15 mins coffee breaks as paid per Labor Code of the Philippines, Article 85. ( Morning Break ) "/>
    <x v="3"/>
    <s v="Wednesday"/>
  </r>
  <r>
    <d v="2024-02-21T00:00:00"/>
    <x v="26"/>
    <s v="General"/>
    <n v="0.52"/>
    <x v="12"/>
    <s v="No"/>
    <s v="XPM update ( Checking pending OTS &amp; ASAN ) and inform the client. "/>
    <x v="3"/>
    <s v="Wednesday"/>
  </r>
  <r>
    <d v="2024-02-21T00:00:00"/>
    <x v="26"/>
    <s v="General"/>
    <n v="0.55000000000000004"/>
    <x v="12"/>
    <s v="No"/>
    <s v="Morning email"/>
    <x v="3"/>
    <s v="Wednesday"/>
  </r>
  <r>
    <d v="2024-02-21T00:00:00"/>
    <x v="26"/>
    <s v="IAS/BAS Preparation &amp; Lodgement - Oct-Dec"/>
    <n v="0.48"/>
    <x v="89"/>
    <s v="Yes"/>
    <m/>
    <x v="3"/>
    <s v="Wednesday"/>
  </r>
  <r>
    <d v="2024-02-21T00:00:00"/>
    <x v="26"/>
    <s v="IAS/BAS Preparation &amp; Lodgement - Oct-Dec"/>
    <n v="0.52"/>
    <x v="133"/>
    <s v="Yes"/>
    <s v="BAS"/>
    <x v="3"/>
    <s v="Wednesday"/>
  </r>
  <r>
    <d v="2024-02-21T00:00:00"/>
    <x v="26"/>
    <s v="IAS/BAS Preparation &amp; Lodgement - Oct-Dec"/>
    <n v="0.63"/>
    <x v="122"/>
    <s v="Yes"/>
    <m/>
    <x v="3"/>
    <s v="Wednesday"/>
  </r>
  <r>
    <d v="2024-02-21T00:00:00"/>
    <x v="26"/>
    <s v="IAS/BAS Preparation &amp; Lodgement - Oct-Dec"/>
    <n v="0.97"/>
    <x v="22"/>
    <s v="Yes"/>
    <s v="&gt;Fixing Error in XPM and AS refill &gt;Template creation &gt;BAS prep and process &gt;Reading email and Asana"/>
    <x v="3"/>
    <s v="Wednesday"/>
  </r>
  <r>
    <d v="2024-02-21T00:00:00"/>
    <x v="26"/>
    <s v="IAS/BAS Preparation &amp; Lodgement - Oct-Dec"/>
    <n v="1.42"/>
    <x v="60"/>
    <s v="Yes"/>
    <s v="&gt;_x0009_updating and creating BAS template  &gt;_x0009_updating ASANA &gt;_x0009_updating template for use of import report &gt;_x0009_Checking of previous BAS lodgemend &gt;_x0009_Checking &amp; Reading outlook emails in case there is special notes/instruction &gt;_x0009_Reading ASANA if there is previous instruction from Shalini &gt;_x0009_Looking for onedrive folder. &gt;_x0009_Encoding client other details in ASANA, XPM &amp; Xero file &gt;_x0009_Creating File name &gt;_x0009_Checking of previous BAS activity statement &gt;_x0009_Checking of financial setting &gt;_x0009_Validating invoices &gt;_x0009_Initial check of BAS recon &gt;_x0009_Initial check of Sale Recon recon &gt;_x0009_Checking FBT inst. Registration from ATO portal &gt;_x0009_Verifying ATO portal those posted in Xero book ( from previous quarter to current ) &gt;_x0009_Checking of previous variance &gt;_x0009_Validating difference of GST  &gt;_x0009_Initial Review BAS &gt;XPM error &gt;Fixing details in XPM &gt;Checking of code in ATO portal RE-EMAIL &gt;Received email from Shalini, regarding the adjustment &gt;Update the WPS &gt;Did manual recon &gt;Update the ASANA &gt;Update the BAS list "/>
    <x v="3"/>
    <s v="Wednesday"/>
  </r>
  <r>
    <d v="2024-02-21T00:00:00"/>
    <x v="26"/>
    <s v="IAS/BAS Preparation &amp; Lodgement - Oct-Dec"/>
    <n v="1.5"/>
    <x v="96"/>
    <s v="Yes"/>
    <s v="Dec 2023 BAS including meeting, recon, XPM, ATO, template and 144K variance"/>
    <x v="3"/>
    <s v="Wednesday"/>
  </r>
  <r>
    <d v="2024-02-21T00:00:00"/>
    <x v="26"/>
    <s v="Unpaid Leave"/>
    <n v="0.28000000000000003"/>
    <x v="12"/>
    <s v="No"/>
    <s v="Work late and deducted to my salary"/>
    <x v="3"/>
    <s v="Wednesday"/>
  </r>
  <r>
    <d v="2024-02-21T00:00:00"/>
    <x v="27"/>
    <s v="HR/Recuitment"/>
    <n v="0.25"/>
    <x v="12"/>
    <s v="No"/>
    <s v="Phone interview with applicant for casual admin HR role and set up interview face to face for next week, Teams message COO with information."/>
    <x v="3"/>
    <s v="Wednesday"/>
  </r>
  <r>
    <d v="2024-02-21T00:00:00"/>
    <x v="27"/>
    <s v="P&amp;C Advisory"/>
    <n v="7.75"/>
    <x v="19"/>
    <s v="Yes"/>
    <s v="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
    <x v="3"/>
    <s v="Wednesday"/>
  </r>
  <r>
    <d v="2024-02-21T00:00:00"/>
    <x v="28"/>
    <s v="Bookkeeping"/>
    <n v="1.08"/>
    <x v="49"/>
    <s v="Yes"/>
    <s v="Consolidated supporting docs for Tax Team"/>
    <x v="3"/>
    <s v="Wednesday"/>
  </r>
  <r>
    <d v="2024-02-21T00:00:00"/>
    <x v="28"/>
    <s v="Bookkeeping"/>
    <n v="1.83"/>
    <x v="18"/>
    <s v="Yes"/>
    <m/>
    <x v="3"/>
    <s v="Wednesday"/>
  </r>
  <r>
    <d v="2024-02-21T00:00:00"/>
    <x v="28"/>
    <s v="Bookkeeping"/>
    <n v="2.38"/>
    <x v="16"/>
    <s v="Yes"/>
    <m/>
    <x v="3"/>
    <s v="Wednesday"/>
  </r>
  <r>
    <d v="2024-02-21T00:00:00"/>
    <x v="28"/>
    <s v="Payroll Processing"/>
    <n v="0.63"/>
    <x v="32"/>
    <s v="Yes"/>
    <m/>
    <x v="3"/>
    <s v="Wednesday"/>
  </r>
  <r>
    <d v="2024-02-21T00:00:00"/>
    <x v="28"/>
    <s v="Payroll Processing"/>
    <n v="0.93"/>
    <x v="18"/>
    <s v="Yes"/>
    <s v="Employee set up"/>
    <x v="3"/>
    <s v="Wednesday"/>
  </r>
  <r>
    <d v="2024-02-21T00:00:00"/>
    <x v="28"/>
    <s v="Payroll Processing"/>
    <n v="1.23"/>
    <x v="32"/>
    <s v="Yes"/>
    <s v="answer queries raised by employees regarding super"/>
    <x v="3"/>
    <s v="Wednesday"/>
  </r>
  <r>
    <d v="2024-02-21T00:00:00"/>
    <x v="29"/>
    <s v="Bookkeeping"/>
    <n v="1.25"/>
    <x v="49"/>
    <s v="Yes"/>
    <s v="Load all BAS from FY18 to FY23 to tax team one drive Reconcile ATO BAS account Emails to Daniel re GST"/>
    <x v="3"/>
    <s v="Wednesday"/>
  </r>
  <r>
    <d v="2024-02-21T00:00:00"/>
    <x v="30"/>
    <s v="Adhoc Support &amp; Advice"/>
    <n v="0.75"/>
    <x v="16"/>
    <s v="No"/>
    <s v="Collections process with Sherly"/>
    <x v="3"/>
    <s v="Wednesday"/>
  </r>
  <r>
    <d v="2024-02-21T00:00:00"/>
    <x v="30"/>
    <s v="Debt Collection"/>
    <n v="2.73"/>
    <x v="12"/>
    <s v="No"/>
    <m/>
    <x v="3"/>
    <s v="Wednesday"/>
  </r>
  <r>
    <d v="2024-02-21T00:00:00"/>
    <x v="30"/>
    <s v="Debt Collection"/>
    <n v="3.5"/>
    <x v="16"/>
    <s v="Yes"/>
    <m/>
    <x v="3"/>
    <s v="Wednesday"/>
  </r>
  <r>
    <d v="2024-02-21T00:00:00"/>
    <x v="30"/>
    <s v="General"/>
    <n v="0.5"/>
    <x v="12"/>
    <s v="No"/>
    <s v="break"/>
    <x v="3"/>
    <s v="Wednesday"/>
  </r>
  <r>
    <d v="2024-02-21T00:00:00"/>
    <x v="30"/>
    <s v="Meetings"/>
    <n v="0.52"/>
    <x v="12"/>
    <s v="No"/>
    <s v="team activity"/>
    <x v="3"/>
    <s v="Wednesday"/>
  </r>
  <r>
    <d v="2024-02-21T00:00:00"/>
    <x v="31"/>
    <s v="Client Meeting"/>
    <n v="0.43"/>
    <x v="12"/>
    <s v="No"/>
    <s v="emails"/>
    <x v="3"/>
    <s v="Wednesday"/>
  </r>
  <r>
    <d v="2024-02-21T00:00:00"/>
    <x v="31"/>
    <s v="Client Meeting"/>
    <n v="1.4"/>
    <x v="12"/>
    <s v="No"/>
    <s v="catch up Mel / CF / emails"/>
    <x v="3"/>
    <s v="Wednesday"/>
  </r>
  <r>
    <d v="2024-02-21T00:00:00"/>
    <x v="31"/>
    <s v="Management Reporting"/>
    <n v="0.43"/>
    <x v="16"/>
    <s v="Yes"/>
    <s v="call with James - GP Analysis"/>
    <x v="3"/>
    <s v="Wednesday"/>
  </r>
  <r>
    <d v="2024-02-21T00:00:00"/>
    <x v="31"/>
    <s v="Management Reporting"/>
    <n v="0.72"/>
    <x v="16"/>
    <s v="Yes"/>
    <s v="adhoc report"/>
    <x v="3"/>
    <s v="Wednesday"/>
  </r>
  <r>
    <d v="2024-02-21T00:00:00"/>
    <x v="31"/>
    <s v="Management Reporting"/>
    <n v="2.4300000000000002"/>
    <x v="16"/>
    <s v="Yes"/>
    <s v="Variations Analysis / Updating BS Rec file / Checking salary incentives account"/>
    <x v="3"/>
    <s v="Wednesday"/>
  </r>
  <r>
    <d v="2024-02-21T00:00:00"/>
    <x v="31"/>
    <s v="Management Reporting"/>
    <n v="3.2"/>
    <x v="16"/>
    <s v="Yes"/>
    <s v="PL Analysis / hand over / emails / setup BAS Payment"/>
    <x v="3"/>
    <s v="Wednesday"/>
  </r>
  <r>
    <d v="2024-02-21T00:00:00"/>
    <x v="32"/>
    <s v="Bookkeeping"/>
    <n v="2.2200000000000002"/>
    <x v="51"/>
    <s v="Yes"/>
    <s v="Payment uploading to Combizz Import Paypal currencies and reconciled Bills raise to xero postscript transactions Postscript transactions to a2x sales sent to xero Reconciled postscript transactions to LOC Inc Account"/>
    <x v="3"/>
    <s v="Wednesday"/>
  </r>
  <r>
    <d v="2024-02-21T00:00:00"/>
    <x v="32"/>
    <s v="Bookkeeping"/>
    <n v="5.28"/>
    <x v="51"/>
    <s v="Yes"/>
    <s v="Email Management Bills raise to xero  check and approved sales in a2x Bank Reconciliation BM and LOC Inc Payroll Onboarding for new Employee Prepared Payment summary report for approval "/>
    <x v="3"/>
    <s v="Wednesday"/>
  </r>
  <r>
    <d v="2024-02-21T00:00:00"/>
    <x v="32"/>
    <s v="General"/>
    <n v="0.5"/>
    <x v="12"/>
    <s v="No"/>
    <s v="Break"/>
    <x v="3"/>
    <s v="Wednesday"/>
  </r>
  <r>
    <d v="2024-02-21T00:00:00"/>
    <x v="33"/>
    <s v="IT"/>
    <n v="9"/>
    <x v="12"/>
    <s v="No"/>
    <s v="IT Support"/>
    <x v="3"/>
    <s v="Wednesday"/>
  </r>
  <r>
    <d v="2024-02-21T00:00:00"/>
    <x v="34"/>
    <s v="Bookkeeping"/>
    <n v="0.72"/>
    <x v="45"/>
    <s v="Yes"/>
    <s v="Email Management Bills Processing Bank Recon Richbox Loan Recon "/>
    <x v="3"/>
    <s v="Wednesday"/>
  </r>
  <r>
    <d v="2024-02-21T00:00:00"/>
    <x v="34"/>
    <s v="Bookkeeping"/>
    <n v="1.87"/>
    <x v="43"/>
    <s v="Yes"/>
    <s v="Email Management Forwarding of Bills in AU Hubdoc Reconciling of Bills and invoices against vendors statement   "/>
    <x v="3"/>
    <s v="Wednesday"/>
  </r>
  <r>
    <d v="2024-02-21T00:00:00"/>
    <x v="34"/>
    <s v="Bookkeeping"/>
    <n v="2.87"/>
    <x v="15"/>
    <s v="Yes"/>
    <s v="Email Management Bills Processing Bank/Credit Card Recon Preparation of Cash Flow Sending of updated unreconciled credit card transactions to Michelle and Nicole"/>
    <x v="3"/>
    <s v="Wednesday"/>
  </r>
  <r>
    <d v="2024-02-21T00:00:00"/>
    <x v="34"/>
    <s v="General"/>
    <n v="0.63"/>
    <x v="12"/>
    <s v="No"/>
    <s v="Team Ann Social Activity  Email Management  Asana Task Clean up"/>
    <x v="3"/>
    <s v="Wednesday"/>
  </r>
  <r>
    <d v="2024-02-21T00:00:00"/>
    <x v="34"/>
    <s v="General"/>
    <n v="0.72"/>
    <x v="12"/>
    <s v="No"/>
    <m/>
    <x v="3"/>
    <s v="Wednesday"/>
  </r>
  <r>
    <d v="2024-02-21T00:00:00"/>
    <x v="34"/>
    <s v="Payroll Processing"/>
    <n v="0.28000000000000003"/>
    <x v="43"/>
    <s v="No"/>
    <m/>
    <x v="3"/>
    <s v="Wednesday"/>
  </r>
  <r>
    <d v="2024-02-21T00:00:00"/>
    <x v="34"/>
    <s v="Payroll Processing"/>
    <n v="0.28000000000000003"/>
    <x v="43"/>
    <s v="No"/>
    <s v="NON Billable  Meeting with Kate RE: update in Today's AU Payroll  NON Billable  Meeting with Kate RE: update in Today's AU Payroll  Finalising AU Payroll, send ABA and payroll summary to Kate and sending of Payslips"/>
    <x v="3"/>
    <s v="Wednesday"/>
  </r>
  <r>
    <d v="2024-02-21T00:00:00"/>
    <x v="34"/>
    <s v="Payroll Processing"/>
    <n v="0.72"/>
    <x v="43"/>
    <s v="Yes"/>
    <m/>
    <x v="3"/>
    <s v="Wednesday"/>
  </r>
  <r>
    <d v="2024-02-21T00:00:00"/>
    <x v="35"/>
    <s v="Accounts"/>
    <n v="0.13"/>
    <x v="12"/>
    <s v="No"/>
    <s v="Additional invoicing based on Asana tasks"/>
    <x v="3"/>
    <s v="Wednesday"/>
  </r>
  <r>
    <d v="2024-02-21T00:00:00"/>
    <x v="35"/>
    <s v="Accounts"/>
    <n v="0.82"/>
    <x v="12"/>
    <s v="No"/>
    <s v="Further checking/concerns for the requested bills. Follow up Kate for invoicing. Update BAS/IAS repeating template as per Shalini."/>
    <x v="3"/>
    <s v="Wednesday"/>
  </r>
  <r>
    <d v="2024-02-21T00:00:00"/>
    <x v="35"/>
    <s v="Accounts"/>
    <n v="1.27"/>
    <x v="12"/>
    <s v="No"/>
    <s v="Checking of emails. Endorse payables to Nick. Prepare schedule and ABA file."/>
    <x v="3"/>
    <s v="Wednesday"/>
  </r>
  <r>
    <d v="2024-02-21T00:00:00"/>
    <x v="35"/>
    <s v="Compliance"/>
    <n v="0.53"/>
    <x v="53"/>
    <s v="No"/>
    <s v="BIR installation by Mark and rechecking "/>
    <x v="3"/>
    <s v="Wednesday"/>
  </r>
  <r>
    <d v="2024-02-21T00:00:00"/>
    <x v="35"/>
    <s v="Compliance"/>
    <n v="0.93"/>
    <x v="53"/>
    <s v="No"/>
    <s v="Prepare BIR 1604E For CY2023 and schedule for Alphalist - for Branch"/>
    <x v="3"/>
    <s v="Wednesday"/>
  </r>
  <r>
    <d v="2024-02-21T00:00:00"/>
    <x v="35"/>
    <s v="Compliance"/>
    <n v="1.67"/>
    <x v="69"/>
    <s v="No"/>
    <s v="Prepare BIR 1604E For CY2023 and schedule for Alphalist - for RO"/>
    <x v="3"/>
    <s v="Wednesday"/>
  </r>
  <r>
    <d v="2024-02-21T00:00:00"/>
    <x v="35"/>
    <s v="Meetings"/>
    <n v="1.4"/>
    <x v="53"/>
    <s v="No"/>
    <s v="Meeting with Ms Con"/>
    <x v="3"/>
    <s v="Wednesday"/>
  </r>
  <r>
    <d v="2024-02-21T00:00:00"/>
    <x v="35"/>
    <s v="Payroll Processing"/>
    <n v="1.85"/>
    <x v="53"/>
    <s v="No"/>
    <s v="Payroll processing/request and BDO file upload preparation"/>
    <x v="3"/>
    <s v="Wednesday"/>
  </r>
  <r>
    <d v="2024-02-21T00:00:00"/>
    <x v="36"/>
    <s v="Web"/>
    <n v="10"/>
    <x v="12"/>
    <s v="No"/>
    <s v="🟨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
    <x v="3"/>
    <s v="Wednesday"/>
  </r>
  <r>
    <d v="2024-02-21T00:00:00"/>
    <x v="37"/>
    <s v="Bookkeeping"/>
    <n v="0.5"/>
    <x v="84"/>
    <s v="Yes"/>
    <s v="Uploading payments in bank"/>
    <x v="3"/>
    <s v="Wednesday"/>
  </r>
  <r>
    <d v="2024-02-21T00:00:00"/>
    <x v="37"/>
    <s v="Bookkeeping"/>
    <n v="0.5"/>
    <x v="59"/>
    <s v="Yes"/>
    <m/>
    <x v="3"/>
    <s v="Wednesday"/>
  </r>
  <r>
    <d v="2024-02-21T00:00:00"/>
    <x v="37"/>
    <s v="Bookkeeping"/>
    <n v="0.5"/>
    <x v="85"/>
    <s v="Yes"/>
    <m/>
    <x v="3"/>
    <s v="Wednesday"/>
  </r>
  <r>
    <d v="2024-02-21T00:00:00"/>
    <x v="37"/>
    <s v="Bookkeeping"/>
    <n v="0.75"/>
    <x v="84"/>
    <s v="Yes"/>
    <s v="Preparing AP list"/>
    <x v="3"/>
    <s v="Wednesday"/>
  </r>
  <r>
    <d v="2024-02-21T00:00:00"/>
    <x v="37"/>
    <s v="Bookkeeping"/>
    <n v="2.5"/>
    <x v="19"/>
    <s v="Yes"/>
    <m/>
    <x v="3"/>
    <s v="Wednesday"/>
  </r>
  <r>
    <d v="2024-02-21T00:00:00"/>
    <x v="37"/>
    <s v="Payroll Processing"/>
    <n v="0.25"/>
    <x v="84"/>
    <s v="Yes"/>
    <s v="uploading payroll payments"/>
    <x v="3"/>
    <s v="Wednesday"/>
  </r>
  <r>
    <d v="2024-02-21T00:00:00"/>
    <x v="37"/>
    <s v="Payroll Processing"/>
    <n v="0.5"/>
    <x v="83"/>
    <s v="Yes"/>
    <m/>
    <x v="3"/>
    <s v="Wednesday"/>
  </r>
  <r>
    <d v="2024-02-21T00:00:00"/>
    <x v="38"/>
    <s v="Client Manager"/>
    <n v="7.0000000000000007E-2"/>
    <x v="2"/>
    <s v="Yes"/>
    <s v="emails, teams, Asana"/>
    <x v="3"/>
    <s v="Wednesday"/>
  </r>
  <r>
    <d v="2024-02-21T00:00:00"/>
    <x v="38"/>
    <s v="Client Manager"/>
    <n v="0.08"/>
    <x v="50"/>
    <s v="No"/>
    <s v="Fathom help"/>
    <x v="3"/>
    <s v="Wednesday"/>
  </r>
  <r>
    <d v="2024-02-21T00:00:00"/>
    <x v="38"/>
    <s v="Client Manager"/>
    <n v="0.5"/>
    <x v="87"/>
    <s v="No"/>
    <s v="Meeting with Carly on financial model"/>
    <x v="3"/>
    <s v="Wednesday"/>
  </r>
  <r>
    <d v="2024-02-21T00:00:00"/>
    <x v="38"/>
    <s v="Client Manager"/>
    <n v="1.82"/>
    <x v="87"/>
    <s v="Yes"/>
    <s v="financial model"/>
    <x v="3"/>
    <s v="Wednesday"/>
  </r>
  <r>
    <d v="2024-02-21T00:00:00"/>
    <x v="38"/>
    <s v="General"/>
    <n v="3.17"/>
    <x v="12"/>
    <s v="No"/>
    <s v="emails, teams, Asana"/>
    <x v="3"/>
    <s v="Wednesday"/>
  </r>
  <r>
    <d v="2024-02-21T00:00:00"/>
    <x v="39"/>
    <s v="Bookkeeping"/>
    <n v="0.47"/>
    <x v="14"/>
    <s v="Yes"/>
    <s v="AR reports"/>
    <x v="3"/>
    <s v="Wednesday"/>
  </r>
  <r>
    <d v="2024-02-21T00:00:00"/>
    <x v="39"/>
    <s v="Bookkeeping"/>
    <n v="0.53"/>
    <x v="55"/>
    <s v="Yes"/>
    <m/>
    <x v="3"/>
    <s v="Wednesday"/>
  </r>
  <r>
    <d v="2024-02-21T00:00:00"/>
    <x v="39"/>
    <s v="Bookkeeping"/>
    <n v="0.68"/>
    <x v="55"/>
    <s v="Yes"/>
    <s v="Ap"/>
    <x v="3"/>
    <s v="Wednesday"/>
  </r>
  <r>
    <d v="2024-02-21T00:00:00"/>
    <x v="39"/>
    <s v="Bookkeeping"/>
    <n v="1.2"/>
    <x v="55"/>
    <s v="Yes"/>
    <s v="email, call icare"/>
    <x v="3"/>
    <s v="Wednesday"/>
  </r>
  <r>
    <d v="2024-02-21T00:00:00"/>
    <x v="39"/>
    <s v="Bookkeeping"/>
    <n v="1.2"/>
    <x v="14"/>
    <s v="Yes"/>
    <s v="BR"/>
    <x v="3"/>
    <s v="Wednesday"/>
  </r>
  <r>
    <d v="2024-02-21T00:00:00"/>
    <x v="39"/>
    <s v="Bookkeeping"/>
    <n v="1.38"/>
    <x v="55"/>
    <s v="No"/>
    <s v="marsil icare internal queries/ with Rose and prepare wps for multiple yrs"/>
    <x v="3"/>
    <s v="Wednesday"/>
  </r>
  <r>
    <d v="2024-02-21T00:00:00"/>
    <x v="39"/>
    <s v="Bookkeeping"/>
    <n v="1.6"/>
    <x v="55"/>
    <s v="Yes"/>
    <s v="AP. recs"/>
    <x v="3"/>
    <s v="Wednesday"/>
  </r>
  <r>
    <d v="2024-02-21T00:00:00"/>
    <x v="39"/>
    <s v="General"/>
    <n v="0.08"/>
    <x v="12"/>
    <s v="No"/>
    <s v="email"/>
    <x v="3"/>
    <s v="Wednesday"/>
  </r>
  <r>
    <d v="2024-02-21T00:00:00"/>
    <x v="39"/>
    <s v="General"/>
    <n v="0.13"/>
    <x v="12"/>
    <s v="No"/>
    <s v="email/chat"/>
    <x v="3"/>
    <s v="Wednesday"/>
  </r>
  <r>
    <d v="2024-02-21T00:00:00"/>
    <x v="39"/>
    <s v="Meetings"/>
    <n v="0.7"/>
    <x v="12"/>
    <s v="No"/>
    <s v="Team meeting"/>
    <x v="3"/>
    <s v="Wednesday"/>
  </r>
  <r>
    <d v="2024-02-21T00:00:00"/>
    <x v="40"/>
    <s v="Bookkeeping"/>
    <n v="0.53"/>
    <x v="50"/>
    <s v="Yes"/>
    <m/>
    <x v="3"/>
    <s v="Wednesday"/>
  </r>
  <r>
    <d v="2024-02-21T00:00:00"/>
    <x v="40"/>
    <s v="Bookkeeping"/>
    <n v="2.7"/>
    <x v="50"/>
    <s v="Yes"/>
    <s v="3top recs"/>
    <x v="3"/>
    <s v="Wednesday"/>
  </r>
  <r>
    <d v="2024-02-21T00:00:00"/>
    <x v="40"/>
    <s v="Payroll Processing"/>
    <n v="0.22"/>
    <x v="3"/>
    <s v="Yes"/>
    <s v="January Super reviewed"/>
    <x v="3"/>
    <s v="Wednesday"/>
  </r>
  <r>
    <d v="2024-02-21T00:00:00"/>
    <x v="40"/>
    <s v="Payroll Processing"/>
    <n v="0.52"/>
    <x v="3"/>
    <s v="Yes"/>
    <s v="payroll review"/>
    <x v="3"/>
    <s v="Wednesday"/>
  </r>
  <r>
    <d v="2024-02-21T00:00:00"/>
    <x v="40"/>
    <s v="Payroll Processing"/>
    <n v="5.0999999999999996"/>
    <x v="36"/>
    <s v="Yes"/>
    <m/>
    <x v="3"/>
    <s v="Wednesday"/>
  </r>
  <r>
    <d v="2024-02-21T00:00:00"/>
    <x v="41"/>
    <s v="General"/>
    <n v="0.28000000000000003"/>
    <x v="12"/>
    <s v="No"/>
    <s v="5th month eval - Maan Ticzon"/>
    <x v="3"/>
    <s v="Wednesday"/>
  </r>
  <r>
    <d v="2024-02-21T00:00:00"/>
    <x v="41"/>
    <s v="General"/>
    <n v="0.93"/>
    <x v="12"/>
    <s v="No"/>
    <s v="Xero cert -self phased completion"/>
    <x v="3"/>
    <s v="Wednesday"/>
  </r>
  <r>
    <d v="2024-02-21T00:00:00"/>
    <x v="41"/>
    <s v="General"/>
    <n v="1.42"/>
    <x v="12"/>
    <s v="No"/>
    <s v="Finished graph model for billable analysis"/>
    <x v="3"/>
    <s v="Wednesday"/>
  </r>
  <r>
    <d v="2024-02-21T00:00:00"/>
    <x v="41"/>
    <s v="General"/>
    <n v="1.93"/>
    <x v="12"/>
    <s v="No"/>
    <s v="Billable update continued Xero cert"/>
    <x v="3"/>
    <s v="Wednesday"/>
  </r>
  <r>
    <d v="2024-02-21T00:00:00"/>
    <x v="41"/>
    <s v="General"/>
    <n v="4.2300000000000004"/>
    <x v="12"/>
    <s v="No"/>
    <s v="Finalizing billable dashboard Admin - staff matters, queries, emails "/>
    <x v="3"/>
    <s v="Wednesday"/>
  </r>
  <r>
    <d v="2024-02-21T00:00:00"/>
    <x v="42"/>
    <s v="Bookkeeping"/>
    <n v="8.1300000000000008"/>
    <x v="16"/>
    <s v="Yes"/>
    <m/>
    <x v="3"/>
    <s v="Wednesday"/>
  </r>
  <r>
    <d v="2024-02-21T00:00:00"/>
    <x v="42"/>
    <s v="Client Meeting"/>
    <n v="0.47"/>
    <x v="16"/>
    <s v="Yes"/>
    <m/>
    <x v="3"/>
    <s v="Wednesday"/>
  </r>
  <r>
    <d v="2024-02-21T00:00:00"/>
    <x v="43"/>
    <s v="Bookkeeping"/>
    <n v="0.25"/>
    <x v="32"/>
    <s v="Yes"/>
    <s v="Query from Ge re IAS"/>
    <x v="3"/>
    <s v="Wednesday"/>
  </r>
  <r>
    <d v="2024-02-21T00:00:00"/>
    <x v="43"/>
    <s v="Bookkeeping"/>
    <n v="0.27"/>
    <x v="32"/>
    <s v="Yes"/>
    <s v="Requesting for deferral"/>
    <x v="3"/>
    <s v="Wednesday"/>
  </r>
  <r>
    <d v="2024-02-21T00:00:00"/>
    <x v="43"/>
    <s v="Bookkeeping"/>
    <n v="0.4"/>
    <x v="55"/>
    <s v="Yes"/>
    <s v="Review actual wages (x4 FY) discussion with Cess"/>
    <x v="3"/>
    <s v="Wednesday"/>
  </r>
  <r>
    <d v="2024-02-21T00:00:00"/>
    <x v="43"/>
    <s v="Bookkeeping"/>
    <n v="0.56999999999999995"/>
    <x v="55"/>
    <s v="Yes"/>
    <s v="Discussion with Cess BAS, outstanding iCare dec, Martin's wages"/>
    <x v="3"/>
    <s v="Wednesday"/>
  </r>
  <r>
    <d v="2024-02-21T00:00:00"/>
    <x v="43"/>
    <s v="Bookkeeping"/>
    <n v="0.62"/>
    <x v="73"/>
    <s v="Yes"/>
    <s v="Fixing up tax code and account code of some Dec23 quarter transactions"/>
    <x v="3"/>
    <s v="Wednesday"/>
  </r>
  <r>
    <d v="2024-02-21T00:00:00"/>
    <x v="43"/>
    <s v="Bookkeeping"/>
    <n v="0.93"/>
    <x v="75"/>
    <s v="Yes"/>
    <s v="Emails with Deb re BAS, IAS payments, and review Dec23 books"/>
    <x v="3"/>
    <s v="Wednesday"/>
  </r>
  <r>
    <d v="2024-02-21T00:00:00"/>
    <x v="43"/>
    <s v="Client Meeting"/>
    <n v="0.95"/>
    <x v="16"/>
    <s v="Yes"/>
    <s v="Payroll processing overview with Sherly and Xavi"/>
    <x v="3"/>
    <s v="Wednesday"/>
  </r>
  <r>
    <d v="2024-02-21T00:00:00"/>
    <x v="43"/>
    <s v="General"/>
    <n v="0.08"/>
    <x v="12"/>
    <s v="No"/>
    <s v="Teams messages"/>
    <x v="3"/>
    <s v="Wednesday"/>
  </r>
  <r>
    <d v="2024-02-21T00:00:00"/>
    <x v="43"/>
    <s v="General"/>
    <n v="0.38"/>
    <x v="12"/>
    <s v="No"/>
    <s v="Morning emails, teams messages"/>
    <x v="3"/>
    <s v="Wednesday"/>
  </r>
  <r>
    <d v="2024-02-21T00:00:00"/>
    <x v="43"/>
    <s v="General"/>
    <n v="0.5"/>
    <x v="12"/>
    <s v="No"/>
    <s v="Break"/>
    <x v="3"/>
    <s v="Wednesday"/>
  </r>
  <r>
    <d v="2024-02-21T00:00:00"/>
    <x v="43"/>
    <s v="IAS/BAS Preparation &amp; Lodgement - Oct-Dec"/>
    <n v="0.08"/>
    <x v="96"/>
    <s v="Yes"/>
    <s v="Call wit LM re PAYG"/>
    <x v="3"/>
    <s v="Wednesday"/>
  </r>
  <r>
    <d v="2024-02-21T00:00:00"/>
    <x v="43"/>
    <s v="Out-of-Scope Services"/>
    <n v="0.18"/>
    <x v="93"/>
    <s v="Yes"/>
    <s v="Fix pay template to top up super,  delete draft invoices as per email, process top up super for this FN"/>
    <x v="3"/>
    <s v="Wednesday"/>
  </r>
  <r>
    <d v="2024-02-21T00:00:00"/>
    <x v="43"/>
    <s v="Payroll Processing"/>
    <n v="0.2"/>
    <x v="95"/>
    <s v="Yes"/>
    <s v="Payroll review"/>
    <x v="3"/>
    <s v="Wednesday"/>
  </r>
  <r>
    <d v="2024-02-21T00:00:00"/>
    <x v="43"/>
    <s v="Payroll Processing"/>
    <n v="0.3"/>
    <x v="16"/>
    <s v="Yes"/>
    <s v="Action payroll emails, update query sheet, update employees' addresses as per ELMO"/>
    <x v="3"/>
    <s v="Wednesday"/>
  </r>
  <r>
    <d v="2024-02-21T00:00:00"/>
    <x v="43"/>
    <s v="Payroll Processing"/>
    <n v="0.7"/>
    <x v="16"/>
    <s v="Yes"/>
    <s v="Catch up with Con re novated lease and month end workings of novated lease clearing account"/>
    <x v="3"/>
    <s v="Wednesday"/>
  </r>
  <r>
    <d v="2024-02-21T00:00:00"/>
    <x v="43"/>
    <s v="Payroll Processing"/>
    <n v="1.62"/>
    <x v="16"/>
    <s v="Yes"/>
    <s v="Payroll processing"/>
    <x v="3"/>
    <s v="Wednesday"/>
  </r>
  <r>
    <d v="2024-02-21T00:00:00"/>
    <x v="44"/>
    <s v="Company Tax Returns"/>
    <n v="0.7"/>
    <x v="50"/>
    <s v="Yes"/>
    <s v="Review and update workpapers and tax return Journal dividend at 31 Oct 23 to repay director loans at 30 June 2023 and run past Sylvie and Shalini"/>
    <x v="3"/>
    <s v="Wednesday"/>
  </r>
  <r>
    <d v="2024-02-21T00:00:00"/>
    <x v="45"/>
    <s v="Bookkeeping"/>
    <n v="0.13"/>
    <x v="50"/>
    <s v="Yes"/>
    <s v="Set up new bank accounts in BELCR"/>
    <x v="3"/>
    <s v="Wednesday"/>
  </r>
  <r>
    <d v="2024-02-21T00:00:00"/>
    <x v="45"/>
    <s v="Bookkeeping"/>
    <n v="0.15"/>
    <x v="58"/>
    <s v="Yes"/>
    <s v="Post journal for Jan24 IAS Send email reminder re IAS/BAS"/>
    <x v="3"/>
    <s v="Wednesday"/>
  </r>
  <r>
    <d v="2024-02-21T00:00:00"/>
    <x v="45"/>
    <s v="Bookkeeping"/>
    <n v="0.18"/>
    <x v="41"/>
    <s v="Yes"/>
    <s v="AP review"/>
    <x v="3"/>
    <s v="Wednesday"/>
  </r>
  <r>
    <d v="2024-02-21T00:00:00"/>
    <x v="45"/>
    <s v="Bookkeeping"/>
    <n v="0.28000000000000003"/>
    <x v="50"/>
    <s v="Yes"/>
    <s v="Bank rec"/>
    <x v="3"/>
    <s v="Wednesday"/>
  </r>
  <r>
    <d v="2024-02-21T00:00:00"/>
    <x v="45"/>
    <s v="Bookkeeping"/>
    <n v="0.28000000000000003"/>
    <x v="50"/>
    <s v="Yes"/>
    <s v="Update pending transactions file and send to Carly."/>
    <x v="3"/>
    <s v="Wednesday"/>
  </r>
  <r>
    <d v="2024-02-21T00:00:00"/>
    <x v="45"/>
    <s v="Bookkeeping"/>
    <n v="0.62"/>
    <x v="50"/>
    <s v="Yes"/>
    <s v="Inbox mgmt Bank rec"/>
    <x v="3"/>
    <s v="Wednesday"/>
  </r>
  <r>
    <d v="2024-02-21T00:00:00"/>
    <x v="45"/>
    <s v="Bookkeeping"/>
    <n v="0.73"/>
    <x v="50"/>
    <s v="Yes"/>
    <s v="Set up new bank accounts in Xero Connect bank feeds"/>
    <x v="3"/>
    <s v="Wednesday"/>
  </r>
  <r>
    <d v="2024-02-21T00:00:00"/>
    <x v="45"/>
    <s v="Bookkeeping"/>
    <n v="0.9"/>
    <x v="58"/>
    <s v="Yes"/>
    <s v="Import bank transactions Bank reconciliation Send follow up email to client re pending transactions for BAS"/>
    <x v="3"/>
    <s v="Wednesday"/>
  </r>
  <r>
    <d v="2024-02-21T00:00:00"/>
    <x v="45"/>
    <s v="Bookkeeping"/>
    <n v="1.23"/>
    <x v="57"/>
    <s v="Yes"/>
    <s v="AP run Update cashflow"/>
    <x v="3"/>
    <s v="Wednesday"/>
  </r>
  <r>
    <d v="2024-02-21T00:00:00"/>
    <x v="45"/>
    <s v="General"/>
    <n v="0.5"/>
    <x v="12"/>
    <s v="No"/>
    <s v="Paid break"/>
    <x v="3"/>
    <s v="Wednesday"/>
  </r>
  <r>
    <d v="2024-02-21T00:00:00"/>
    <x v="45"/>
    <s v="Learning &amp; Development"/>
    <n v="1.75"/>
    <x v="12"/>
    <s v="No"/>
    <s v="Fathom training"/>
    <x v="3"/>
    <s v="Wednesday"/>
  </r>
  <r>
    <d v="2024-02-21T00:00:00"/>
    <x v="45"/>
    <s v="Payroll Processing"/>
    <n v="0.05"/>
    <x v="60"/>
    <s v="Yes"/>
    <s v="Process payroll"/>
    <x v="3"/>
    <s v="Wednesday"/>
  </r>
  <r>
    <d v="2024-02-21T00:00:00"/>
    <x v="45"/>
    <s v="Payroll Processing"/>
    <n v="0.1"/>
    <x v="21"/>
    <s v="Yes"/>
    <s v="Process payroll"/>
    <x v="3"/>
    <s v="Wednesday"/>
  </r>
  <r>
    <d v="2024-02-21T00:00:00"/>
    <x v="45"/>
    <s v="Payroll Processing"/>
    <n v="0.18"/>
    <x v="22"/>
    <s v="Yes"/>
    <s v="Process payroll Export reports Email client"/>
    <x v="3"/>
    <s v="Wednesday"/>
  </r>
  <r>
    <d v="2024-02-21T00:00:00"/>
    <x v="45"/>
    <s v="Payroll Processing"/>
    <n v="0.22"/>
    <x v="22"/>
    <s v="Yes"/>
    <s v="Review draft payroll Send query to Ash"/>
    <x v="3"/>
    <s v="Wednesday"/>
  </r>
  <r>
    <d v="2024-02-21T00:00:00"/>
    <x v="45"/>
    <s v="Payroll Processing"/>
    <n v="0.27"/>
    <x v="21"/>
    <s v="Yes"/>
    <s v="Process payroll Export reports Email client"/>
    <x v="3"/>
    <s v="Wednesday"/>
  </r>
  <r>
    <d v="2024-02-21T00:00:00"/>
    <x v="45"/>
    <s v="Payroll Processing"/>
    <n v="0.33"/>
    <x v="22"/>
    <s v="Yes"/>
    <s v="Complete set up of new employees Review draft payroll Set up OT pay item"/>
    <x v="3"/>
    <s v="Wednesday"/>
  </r>
  <r>
    <d v="2024-02-21T00:00:00"/>
    <x v="45"/>
    <s v="Payroll Processing - Senior"/>
    <n v="0.12"/>
    <x v="41"/>
    <s v="Yes"/>
    <s v="Payroll review"/>
    <x v="3"/>
    <s v="Wednesday"/>
  </r>
  <r>
    <d v="2024-02-21T00:00:00"/>
    <x v="46"/>
    <s v="Client Manager"/>
    <n v="0.33"/>
    <x v="89"/>
    <s v="Yes"/>
    <s v="Dec 2023 quarter BAS review and lodgement"/>
    <x v="3"/>
    <s v="Wednesday"/>
  </r>
  <r>
    <d v="2024-02-21T00:00:00"/>
    <x v="46"/>
    <s v="Client Manager"/>
    <n v="0.33"/>
    <x v="5"/>
    <s v="Yes"/>
    <s v="Dec 2023 quarter BAS review and lodgement"/>
    <x v="3"/>
    <s v="Wednesday"/>
  </r>
  <r>
    <d v="2024-02-21T00:00:00"/>
    <x v="46"/>
    <s v="Client Manager"/>
    <n v="0.5"/>
    <x v="28"/>
    <s v="Yes"/>
    <s v="Attend to emails from Gary and John"/>
    <x v="3"/>
    <s v="Wednesday"/>
  </r>
  <r>
    <d v="2024-02-21T00:00:00"/>
    <x v="46"/>
    <s v="Client Manager"/>
    <n v="0.5"/>
    <x v="88"/>
    <s v="Yes"/>
    <s v="Send BPAY details for Lyndcote Pty Ltd BAS to David for payment. Request for further information for the Xero setup"/>
    <x v="3"/>
    <s v="Wednesday"/>
  </r>
  <r>
    <d v="2024-02-21T00:00:00"/>
    <x v="46"/>
    <s v="General"/>
    <n v="0.5"/>
    <x v="12"/>
    <s v="No"/>
    <s v="Gen messages to coordinate training time, Angela emails re debtor chasing, bank transactions for Dext"/>
    <x v="3"/>
    <s v="Wednesday"/>
  </r>
  <r>
    <d v="2024-02-21T00:00:00"/>
    <x v="46"/>
    <s v="General"/>
    <n v="0.5"/>
    <x v="12"/>
    <s v="No"/>
    <s v="Scope change form for Shipley. Finalise Emma M scope change form and send for signing"/>
    <x v="3"/>
    <s v="Wednesday"/>
  </r>
  <r>
    <d v="2024-02-21T00:00:00"/>
    <x v="46"/>
    <s v="General"/>
    <n v="1"/>
    <x v="12"/>
    <s v="No"/>
    <s v="Start with scope review for Marsill"/>
    <x v="3"/>
    <s v="Wednesday"/>
  </r>
  <r>
    <d v="2024-02-21T00:00:00"/>
    <x v="46"/>
    <s v="General"/>
    <n v="1.5"/>
    <x v="12"/>
    <s v="No"/>
    <s v="Follow up with team re IAS signature. Request for BAS deferrals, send list to team for approved deferrals"/>
    <x v="3"/>
    <s v="Wednesday"/>
  </r>
  <r>
    <d v="2024-02-21T00:00:00"/>
    <x v="46"/>
    <s v="General"/>
    <n v="1.5"/>
    <x v="12"/>
    <s v="No"/>
    <s v="Start preparing training materials"/>
    <x v="3"/>
    <s v="Wednesday"/>
  </r>
  <r>
    <d v="2024-02-21T00:00:00"/>
    <x v="46"/>
    <s v="IAS/BAS Preparation &amp; Lodgement - Oct-Dec"/>
    <n v="0.33"/>
    <x v="22"/>
    <s v="Yes"/>
    <s v="Dec 2023 quarter BAS review and lodgement"/>
    <x v="3"/>
    <s v="Wednesday"/>
  </r>
  <r>
    <d v="2024-02-21T00:00:00"/>
    <x v="46"/>
    <s v="IAS/BAS Preparation &amp; Lodgement - Oct-Dec"/>
    <n v="0.33"/>
    <x v="130"/>
    <s v="Yes"/>
    <s v="Dec 2023 quarter BAS review and lodgement"/>
    <x v="3"/>
    <s v="Wednesday"/>
  </r>
  <r>
    <d v="2024-02-21T00:00:00"/>
    <x v="46"/>
    <s v="IAS/BAS Preparation &amp; Lodgement - Oct-Dec"/>
    <n v="0.33"/>
    <x v="129"/>
    <s v="Yes"/>
    <s v="Dec 2023 quarter BAS review and lodgement"/>
    <x v="3"/>
    <s v="Wednesday"/>
  </r>
  <r>
    <d v="2024-02-21T00:00:00"/>
    <x v="53"/>
    <s v="General"/>
    <n v="8.1"/>
    <x v="12"/>
    <s v="No"/>
    <s v="Overview process of AP, AR and Payroll"/>
    <x v="3"/>
    <s v="Wednesday"/>
  </r>
  <r>
    <d v="2024-02-21T00:00:00"/>
    <x v="47"/>
    <s v="Bookkeeping"/>
    <n v="0.3"/>
    <x v="50"/>
    <s v="Yes"/>
    <s v="3TOP rec"/>
    <x v="3"/>
    <s v="Wednesday"/>
  </r>
  <r>
    <d v="2024-02-21T00:00:00"/>
    <x v="47"/>
    <s v="Bookkeeping"/>
    <n v="0.4"/>
    <x v="50"/>
    <s v="Yes"/>
    <s v="Review cc transactions, pay Rene's card"/>
    <x v="3"/>
    <s v="Wednesday"/>
  </r>
  <r>
    <d v="2024-02-21T00:00:00"/>
    <x v="47"/>
    <s v="Bookkeeping"/>
    <n v="0.4"/>
    <x v="4"/>
    <s v="Yes"/>
    <s v="query Tracey on payment receipt"/>
    <x v="3"/>
    <s v="Wednesday"/>
  </r>
  <r>
    <d v="2024-02-21T00:00:00"/>
    <x v="47"/>
    <s v="Bookkeeping"/>
    <n v="0.5"/>
    <x v="50"/>
    <s v="Yes"/>
    <s v="queries new bank accounts"/>
    <x v="3"/>
    <s v="Wednesday"/>
  </r>
  <r>
    <d v="2024-02-21T00:00:00"/>
    <x v="47"/>
    <s v="Bookkeeping"/>
    <n v="0.5"/>
    <x v="50"/>
    <s v="Yes"/>
    <s v="Review and send procedures and task list"/>
    <x v="3"/>
    <s v="Wednesday"/>
  </r>
  <r>
    <d v="2024-02-21T00:00:00"/>
    <x v="47"/>
    <s v="Bookkeeping"/>
    <n v="0.7"/>
    <x v="50"/>
    <s v="Yes"/>
    <s v="Try access and change details QRO"/>
    <x v="3"/>
    <s v="Wednesday"/>
  </r>
  <r>
    <d v="2024-02-21T00:00:00"/>
    <x v="47"/>
    <s v="Client Manager"/>
    <n v="1.5"/>
    <x v="50"/>
    <s v="Yes"/>
    <s v="Catch up Stephen"/>
    <x v="3"/>
    <s v="Wednesday"/>
  </r>
  <r>
    <d v="2024-02-21T00:00:00"/>
    <x v="47"/>
    <s v="Financial Statements"/>
    <n v="0.8"/>
    <x v="132"/>
    <s v="Yes"/>
    <s v="Call and email Josh, Nick, Nica"/>
    <x v="3"/>
    <s v="Wednesday"/>
  </r>
  <r>
    <d v="2024-02-21T00:00:00"/>
    <x v="47"/>
    <s v="General"/>
    <n v="0.6"/>
    <x v="12"/>
    <s v="No"/>
    <m/>
    <x v="3"/>
    <s v="Wednesday"/>
  </r>
  <r>
    <d v="2024-02-21T00:00:00"/>
    <x v="47"/>
    <s v="Management Reporting"/>
    <n v="1.3"/>
    <x v="50"/>
    <s v="Yes"/>
    <s v="Correct Fathom layout and actual invoices in BASS"/>
    <x v="3"/>
    <s v="Wednesday"/>
  </r>
  <r>
    <d v="2024-02-21T00:00:00"/>
    <x v="47"/>
    <s v="Out-of-Scope Services"/>
    <n v="0.8"/>
    <x v="50"/>
    <s v="Yes"/>
    <s v="RIL - Summarise ATO situation for 2 entities"/>
    <x v="3"/>
    <s v="Wednesday"/>
  </r>
  <r>
    <d v="2024-02-21T00:00:00"/>
    <x v="52"/>
    <s v="Automations"/>
    <n v="2"/>
    <x v="12"/>
    <s v="No"/>
    <s v="BAS Automation"/>
    <x v="3"/>
    <s v="Wednesday"/>
  </r>
  <r>
    <d v="2024-02-21T00:00:00"/>
    <x v="48"/>
    <s v="General"/>
    <n v="2"/>
    <x v="12"/>
    <s v="No"/>
    <e v="#NAME?"/>
    <x v="3"/>
    <s v="Wednesday"/>
  </r>
  <r>
    <d v="2024-02-21T00:00:00"/>
    <x v="48"/>
    <s v="HR/Recuitment"/>
    <n v="3.5"/>
    <x v="12"/>
    <s v="No"/>
    <e v="#NAME?"/>
    <x v="3"/>
    <s v="Wednesday"/>
  </r>
  <r>
    <d v="2024-02-21T00:00:00"/>
    <x v="48"/>
    <s v="Meetings"/>
    <n v="0.5"/>
    <x v="12"/>
    <s v="No"/>
    <e v="#NAME?"/>
    <x v="3"/>
    <s v="Wednesday"/>
  </r>
  <r>
    <d v="2024-02-21T00:00:00"/>
    <x v="48"/>
    <s v="Meetings"/>
    <n v="1"/>
    <x v="12"/>
    <s v="No"/>
    <e v="#NAME?"/>
    <x v="3"/>
    <s v="Wednesday"/>
  </r>
  <r>
    <d v="2024-02-21T00:00:00"/>
    <x v="48"/>
    <s v="Meetings"/>
    <n v="1"/>
    <x v="12"/>
    <s v="No"/>
    <e v="#NAME?"/>
    <x v="3"/>
    <s v="Wednesday"/>
  </r>
  <r>
    <d v="2024-02-22T00:00:00"/>
    <x v="0"/>
    <s v="Bookkeeping"/>
    <n v="0.05"/>
    <x v="10"/>
    <s v="Yes"/>
    <s v="Email"/>
    <x v="3"/>
    <s v="Thursday"/>
  </r>
  <r>
    <d v="2024-02-22T00:00:00"/>
    <x v="0"/>
    <s v="Bookkeeping"/>
    <n v="7.0000000000000007E-2"/>
    <x v="62"/>
    <s v="Yes"/>
    <s v="Accounts Payable"/>
    <x v="3"/>
    <s v="Thursday"/>
  </r>
  <r>
    <d v="2024-02-22T00:00:00"/>
    <x v="0"/>
    <s v="Bookkeeping"/>
    <n v="0.1"/>
    <x v="3"/>
    <s v="Yes"/>
    <s v="Email"/>
    <x v="3"/>
    <s v="Thursday"/>
  </r>
  <r>
    <d v="2024-02-22T00:00:00"/>
    <x v="0"/>
    <s v="Bookkeeping"/>
    <n v="0.13"/>
    <x v="3"/>
    <s v="Yes"/>
    <s v="Emails"/>
    <x v="3"/>
    <s v="Thursday"/>
  </r>
  <r>
    <d v="2024-02-22T00:00:00"/>
    <x v="0"/>
    <s v="Bookkeeping"/>
    <n v="0.13"/>
    <x v="3"/>
    <s v="Yes"/>
    <s v="Submit bill for approval in Xero"/>
    <x v="3"/>
    <s v="Thursday"/>
  </r>
  <r>
    <d v="2024-02-22T00:00:00"/>
    <x v="0"/>
    <s v="Bookkeeping"/>
    <n v="0.17"/>
    <x v="4"/>
    <s v="Yes"/>
    <s v="Email/Inbox Management"/>
    <x v="3"/>
    <s v="Thursday"/>
  </r>
  <r>
    <d v="2024-02-22T00:00:00"/>
    <x v="0"/>
    <s v="Bookkeeping"/>
    <n v="0.3"/>
    <x v="2"/>
    <s v="Yes"/>
    <s v="Check Hubdoc and Email/Inbox Management"/>
    <x v="3"/>
    <s v="Thursday"/>
  </r>
  <r>
    <d v="2024-02-22T00:00:00"/>
    <x v="0"/>
    <s v="Bookkeeping"/>
    <n v="0.33"/>
    <x v="7"/>
    <s v="Yes"/>
    <s v="Bank Reconciliation"/>
    <x v="3"/>
    <s v="Thursday"/>
  </r>
  <r>
    <d v="2024-02-22T00:00:00"/>
    <x v="0"/>
    <s v="Bookkeeping"/>
    <n v="0.4"/>
    <x v="4"/>
    <s v="Yes"/>
    <s v="Accounts Payable"/>
    <x v="3"/>
    <s v="Thursday"/>
  </r>
  <r>
    <d v="2024-02-22T00:00:00"/>
    <x v="0"/>
    <s v="Bookkeeping"/>
    <n v="0.43"/>
    <x v="4"/>
    <s v="Yes"/>
    <s v="Create a Prepayment Schedule and Manual Journals"/>
    <x v="3"/>
    <s v="Thursday"/>
  </r>
  <r>
    <d v="2024-02-22T00:00:00"/>
    <x v="0"/>
    <s v="Bookkeeping"/>
    <n v="0.48"/>
    <x v="9"/>
    <s v="Yes"/>
    <s v="Bank Reconciliation"/>
    <x v="3"/>
    <s v="Thursday"/>
  </r>
  <r>
    <d v="2024-02-22T00:00:00"/>
    <x v="0"/>
    <s v="Bookkeeping"/>
    <n v="0.7"/>
    <x v="6"/>
    <s v="Yes"/>
    <s v="AP and Email/Inbox Management"/>
    <x v="3"/>
    <s v="Thursday"/>
  </r>
  <r>
    <d v="2024-02-22T00:00:00"/>
    <x v="0"/>
    <s v="Bookkeeping"/>
    <n v="1.17"/>
    <x v="19"/>
    <s v="Yes"/>
    <s v="Accounts Payable"/>
    <x v="3"/>
    <s v="Thursday"/>
  </r>
  <r>
    <d v="2024-02-22T00:00:00"/>
    <x v="0"/>
    <s v="Bookkeeping"/>
    <n v="1.2"/>
    <x v="19"/>
    <s v="Yes"/>
    <s v="AP and Email/Inbox Management"/>
    <x v="3"/>
    <s v="Thursday"/>
  </r>
  <r>
    <d v="2024-02-22T00:00:00"/>
    <x v="0"/>
    <s v="Client Meeting"/>
    <n v="0.32"/>
    <x v="2"/>
    <s v="No"/>
    <s v="Call with Nicole"/>
    <x v="3"/>
    <s v="Thursday"/>
  </r>
  <r>
    <d v="2024-02-22T00:00:00"/>
    <x v="0"/>
    <s v="General"/>
    <n v="0.08"/>
    <x v="12"/>
    <s v="No"/>
    <s v="Admin emails"/>
    <x v="3"/>
    <s v="Thursday"/>
  </r>
  <r>
    <d v="2024-02-22T00:00:00"/>
    <x v="0"/>
    <s v="General"/>
    <n v="0.25"/>
    <x v="12"/>
    <s v="No"/>
    <s v="Afternoon Break"/>
    <x v="3"/>
    <s v="Thursday"/>
  </r>
  <r>
    <d v="2024-02-22T00:00:00"/>
    <x v="0"/>
    <s v="General"/>
    <n v="0.25"/>
    <x v="12"/>
    <s v="No"/>
    <s v="Morning Break"/>
    <x v="3"/>
    <s v="Thursday"/>
  </r>
  <r>
    <d v="2024-02-22T00:00:00"/>
    <x v="0"/>
    <s v="Learning &amp; Development"/>
    <n v="1.1000000000000001"/>
    <x v="12"/>
    <s v="No"/>
    <s v="Quickbooks Training"/>
    <x v="3"/>
    <s v="Thursday"/>
  </r>
  <r>
    <d v="2024-02-22T00:00:00"/>
    <x v="0"/>
    <s v="Payroll Processing"/>
    <n v="0.33"/>
    <x v="13"/>
    <s v="No"/>
    <s v="Check FWO awards rate"/>
    <x v="3"/>
    <s v="Thursday"/>
  </r>
  <r>
    <d v="2024-02-22T00:00:00"/>
    <x v="49"/>
    <s v="P&amp;C Advisory - Group"/>
    <n v="2.25"/>
    <x v="63"/>
    <s v="Yes"/>
    <s v="Town Hall Meeting with VP HR  Correspondence re. email accounts/distribution lists Coordinate Difficult Conversations training"/>
    <x v="3"/>
    <s v="Thursday"/>
  </r>
  <r>
    <d v="2024-02-22T00:00:00"/>
    <x v="49"/>
    <s v="P&amp;C Advisory - Nederman Mikropul"/>
    <n v="0.5"/>
    <x v="63"/>
    <s v="Yes"/>
    <s v="Correspondence re. warehouse issues"/>
    <x v="3"/>
    <s v="Thursday"/>
  </r>
  <r>
    <d v="2024-02-22T00:00:00"/>
    <x v="49"/>
    <s v="P&amp;C Advisory - Nordfab"/>
    <n v="0.25"/>
    <x v="63"/>
    <s v="Yes"/>
    <s v="Correspondence re. recruitment/review of applications"/>
    <x v="3"/>
    <s v="Thursday"/>
  </r>
  <r>
    <d v="2024-02-22T00:00:00"/>
    <x v="1"/>
    <s v="Bookkeeping"/>
    <n v="0.2"/>
    <x v="64"/>
    <s v="Yes"/>
    <s v="Enter new investors in Xero"/>
    <x v="3"/>
    <s v="Thursday"/>
  </r>
  <r>
    <d v="2024-02-22T00:00:00"/>
    <x v="1"/>
    <s v="Bookkeeping"/>
    <n v="0.23"/>
    <x v="6"/>
    <s v="No"/>
    <s v="call with Mary re queries"/>
    <x v="3"/>
    <s v="Thursday"/>
  </r>
  <r>
    <d v="2024-02-22T00:00:00"/>
    <x v="1"/>
    <s v="Bookkeeping"/>
    <n v="0.33"/>
    <x v="14"/>
    <s v="Yes"/>
    <m/>
    <x v="3"/>
    <s v="Thursday"/>
  </r>
  <r>
    <d v="2024-02-22T00:00:00"/>
    <x v="1"/>
    <s v="Bookkeeping"/>
    <n v="0.37"/>
    <x v="64"/>
    <s v="Yes"/>
    <s v="Atlantis - check email and updates, post adjustment to reconcile with TMO"/>
    <x v="3"/>
    <s v="Thursday"/>
  </r>
  <r>
    <d v="2024-02-22T00:00:00"/>
    <x v="1"/>
    <s v="Bookkeeping"/>
    <n v="0.43"/>
    <x v="15"/>
    <s v="Yes"/>
    <m/>
    <x v="3"/>
    <s v="Thursday"/>
  </r>
  <r>
    <d v="2024-02-22T00:00:00"/>
    <x v="1"/>
    <s v="Bookkeeping"/>
    <n v="0.73"/>
    <x v="64"/>
    <s v="Yes"/>
    <s v="update management reports for changes in data, chats with Sylvie re CPDF holidngs"/>
    <x v="3"/>
    <s v="Thursday"/>
  </r>
  <r>
    <d v="2024-02-22T00:00:00"/>
    <x v="1"/>
    <s v="Bookkeeping"/>
    <n v="0.78"/>
    <x v="64"/>
    <s v="Yes"/>
    <s v="Check info on CPDF holdings, try to figure how to go about Tim's request, check emails"/>
    <x v="3"/>
    <s v="Thursday"/>
  </r>
  <r>
    <d v="2024-02-22T00:00:00"/>
    <x v="1"/>
    <s v="General"/>
    <n v="0.22"/>
    <x v="12"/>
    <s v="No"/>
    <m/>
    <x v="3"/>
    <s v="Thursday"/>
  </r>
  <r>
    <d v="2024-02-22T00:00:00"/>
    <x v="1"/>
    <s v="General"/>
    <n v="0.53"/>
    <x v="12"/>
    <s v="No"/>
    <s v="break"/>
    <x v="3"/>
    <s v="Thursday"/>
  </r>
  <r>
    <d v="2024-02-22T00:00:00"/>
    <x v="1"/>
    <s v="General"/>
    <n v="0.87"/>
    <x v="12"/>
    <s v="No"/>
    <s v="chats, double check team APE sched, attend to concerns/queries, etc"/>
    <x v="3"/>
    <s v="Thursday"/>
  </r>
  <r>
    <d v="2024-02-22T00:00:00"/>
    <x v="1"/>
    <s v="General"/>
    <n v="1.83"/>
    <x v="12"/>
    <s v="No"/>
    <s v="chats, emails, Sprout, check APE sched, review capacity, check hrs in capacity vs invoice (cost), etc"/>
    <x v="3"/>
    <s v="Thursday"/>
  </r>
  <r>
    <d v="2024-02-22T00:00:00"/>
    <x v="1"/>
    <s v="Meetings"/>
    <n v="1.22"/>
    <x v="12"/>
    <s v="No"/>
    <s v="Update file; Global team meeting"/>
    <x v="3"/>
    <s v="Thursday"/>
  </r>
  <r>
    <d v="2024-02-22T00:00:00"/>
    <x v="1"/>
    <s v="Xero Migration"/>
    <n v="0.27"/>
    <x v="64"/>
    <s v="Yes"/>
    <m/>
    <x v="3"/>
    <s v="Thursday"/>
  </r>
  <r>
    <d v="2024-02-22T00:00:00"/>
    <x v="3"/>
    <s v="Business Development"/>
    <n v="8"/>
    <x v="12"/>
    <s v="No"/>
    <s v="*handover finalization  *Sporadic meetings and finalizations  *continuation of flows"/>
    <x v="3"/>
    <s v="Thursday"/>
  </r>
  <r>
    <d v="2024-02-22T00:00:00"/>
    <x v="4"/>
    <s v="Business Development"/>
    <n v="11"/>
    <x v="12"/>
    <s v="No"/>
    <m/>
    <x v="3"/>
    <s v="Thursday"/>
  </r>
  <r>
    <d v="2024-02-22T00:00:00"/>
    <x v="5"/>
    <s v="Bookkeeping"/>
    <n v="1.8"/>
    <x v="16"/>
    <s v="Yes"/>
    <s v="Email Management "/>
    <x v="3"/>
    <s v="Thursday"/>
  </r>
  <r>
    <d v="2024-02-22T00:00:00"/>
    <x v="5"/>
    <s v="Bookkeeping"/>
    <n v="2.3199999999999998"/>
    <x v="16"/>
    <s v="Yes"/>
    <s v="Statement Checking "/>
    <x v="3"/>
    <s v="Thursday"/>
  </r>
  <r>
    <d v="2024-02-22T00:00:00"/>
    <x v="5"/>
    <s v="Bookkeeping"/>
    <n v="4.2"/>
    <x v="16"/>
    <s v="Yes"/>
    <s v="Posting of Invoices "/>
    <x v="3"/>
    <s v="Thursday"/>
  </r>
  <r>
    <d v="2024-02-22T00:00:00"/>
    <x v="7"/>
    <s v="Automations"/>
    <n v="10.3"/>
    <x v="12"/>
    <s v="No"/>
    <m/>
    <x v="3"/>
    <s v="Thursday"/>
  </r>
  <r>
    <d v="2024-02-22T00:00:00"/>
    <x v="9"/>
    <s v="Automations"/>
    <n v="3.5"/>
    <x v="12"/>
    <s v="No"/>
    <s v="Run four Alliance automations + AP automation; Fixed OneDrive issue where Raw Files folder on local machine not updating"/>
    <x v="3"/>
    <s v="Thursday"/>
  </r>
  <r>
    <d v="2024-02-22T00:00:00"/>
    <x v="10"/>
    <s v="Automations"/>
    <n v="9.02"/>
    <x v="12"/>
    <s v="No"/>
    <s v="Alliance Automation Part 2 and 3 Development Payroll Journal Reports Generation"/>
    <x v="3"/>
    <s v="Thursday"/>
  </r>
  <r>
    <d v="2024-02-22T00:00:00"/>
    <x v="11"/>
    <s v="Bookkeeping"/>
    <n v="0.25"/>
    <x v="24"/>
    <s v="Yes"/>
    <s v="bank recon"/>
    <x v="3"/>
    <s v="Thursday"/>
  </r>
  <r>
    <d v="2024-02-22T00:00:00"/>
    <x v="11"/>
    <s v="Bookkeeping"/>
    <n v="0.42"/>
    <x v="25"/>
    <s v="No"/>
    <s v="checking the account, reading emails to get details of the quotes"/>
    <x v="3"/>
    <s v="Thursday"/>
  </r>
  <r>
    <d v="2024-02-22T00:00:00"/>
    <x v="11"/>
    <s v="Bookkeeping"/>
    <n v="0.67"/>
    <x v="42"/>
    <s v="No"/>
    <s v="Trying to figure out what to do re the Zendesk prepayment"/>
    <x v="3"/>
    <s v="Thursday"/>
  </r>
  <r>
    <d v="2024-02-22T00:00:00"/>
    <x v="11"/>
    <s v="Bookkeeping"/>
    <n v="1.5"/>
    <x v="42"/>
    <s v="Yes"/>
    <s v="Checking emails, loading bills, bank recon, AP file"/>
    <x v="3"/>
    <s v="Thursday"/>
  </r>
  <r>
    <d v="2024-02-22T00:00:00"/>
    <x v="11"/>
    <s v="Bookkeeping"/>
    <n v="4.5"/>
    <x v="25"/>
    <s v="Yes"/>
    <s v="Checking emails, loading bills, creating quotes as requested by Anna, bank recon, weekly report"/>
    <x v="3"/>
    <s v="Thursday"/>
  </r>
  <r>
    <d v="2024-02-22T00:00:00"/>
    <x v="11"/>
    <s v="Client Meeting"/>
    <n v="0.17"/>
    <x v="42"/>
    <s v="No"/>
    <s v="Introduction to Lucia"/>
    <x v="3"/>
    <s v="Thursday"/>
  </r>
  <r>
    <d v="2024-02-22T00:00:00"/>
    <x v="11"/>
    <s v="General"/>
    <n v="0.5"/>
    <x v="12"/>
    <s v="No"/>
    <s v="break"/>
    <x v="3"/>
    <s v="Thursday"/>
  </r>
  <r>
    <d v="2024-02-22T00:00:00"/>
    <x v="12"/>
    <s v="CFO Advisory"/>
    <n v="0.25"/>
    <x v="34"/>
    <s v="No"/>
    <s v="Follow up on meeting request Set up meeting get necessary info (eg notice period)"/>
    <x v="3"/>
    <s v="Thursday"/>
  </r>
  <r>
    <d v="2024-02-22T00:00:00"/>
    <x v="12"/>
    <s v="CFO Advisory"/>
    <n v="0.5"/>
    <x v="1"/>
    <s v="Yes"/>
    <s v="Set up meeting with Vishal Respond to Ilana re: Rabbi Apple fund accounting"/>
    <x v="3"/>
    <s v="Thursday"/>
  </r>
  <r>
    <d v="2024-02-22T00:00:00"/>
    <x v="12"/>
    <s v="CFO001 - CFO Services"/>
    <n v="0.5"/>
    <x v="6"/>
    <s v="Yes"/>
    <s v="Investigate + summarise response to letter re: missed deadlines for CSG from ATO check on current status of financials"/>
    <x v="3"/>
    <s v="Thursday"/>
  </r>
  <r>
    <d v="2024-02-22T00:00:00"/>
    <x v="14"/>
    <s v="Bookkeeping"/>
    <n v="0.37"/>
    <x v="13"/>
    <s v="Yes"/>
    <s v="queries"/>
    <x v="3"/>
    <s v="Thursday"/>
  </r>
  <r>
    <d v="2024-02-22T00:00:00"/>
    <x v="14"/>
    <s v="Bookkeeping"/>
    <n v="0.5"/>
    <x v="28"/>
    <s v="Yes"/>
    <s v="emails/queries"/>
    <x v="3"/>
    <s v="Thursday"/>
  </r>
  <r>
    <d v="2024-02-22T00:00:00"/>
    <x v="14"/>
    <s v="Bookkeeping"/>
    <n v="0.5"/>
    <x v="13"/>
    <s v="Yes"/>
    <s v="super and bank integration"/>
    <x v="3"/>
    <s v="Thursday"/>
  </r>
  <r>
    <d v="2024-02-22T00:00:00"/>
    <x v="14"/>
    <s v="Bookkeeping"/>
    <n v="0.62"/>
    <x v="42"/>
    <s v="Yes"/>
    <s v="review/ prepayments adj"/>
    <x v="3"/>
    <s v="Thursday"/>
  </r>
  <r>
    <d v="2024-02-22T00:00:00"/>
    <x v="14"/>
    <s v="Bookkeeping"/>
    <n v="1"/>
    <x v="52"/>
    <s v="Yes"/>
    <s v="bank rec review"/>
    <x v="3"/>
    <s v="Thursday"/>
  </r>
  <r>
    <d v="2024-02-22T00:00:00"/>
    <x v="14"/>
    <s v="Client Meeting"/>
    <n v="0.15"/>
    <x v="42"/>
    <s v="Yes"/>
    <s v="client intro w/ internal Dex team &amp; Lucia"/>
    <x v="3"/>
    <s v="Thursday"/>
  </r>
  <r>
    <d v="2024-02-22T00:00:00"/>
    <x v="14"/>
    <s v="General"/>
    <n v="0.5"/>
    <x v="12"/>
    <s v="No"/>
    <s v="break"/>
    <x v="3"/>
    <s v="Thursday"/>
  </r>
  <r>
    <d v="2024-02-22T00:00:00"/>
    <x v="14"/>
    <s v="General"/>
    <n v="0.56999999999999995"/>
    <x v="12"/>
    <s v="No"/>
    <s v="emails/queries/teams/calendar sched/reminders/Sprout"/>
    <x v="3"/>
    <s v="Thursday"/>
  </r>
  <r>
    <d v="2024-02-22T00:00:00"/>
    <x v="14"/>
    <s v="Payroll Processing"/>
    <n v="0.13"/>
    <x v="16"/>
    <s v="Yes"/>
    <s v="emails/ queries"/>
    <x v="3"/>
    <s v="Thursday"/>
  </r>
  <r>
    <d v="2024-02-22T00:00:00"/>
    <x v="14"/>
    <s v="Payroll Processing"/>
    <n v="0.25"/>
    <x v="16"/>
    <s v="Yes"/>
    <s v="approval, STP, pay slips"/>
    <x v="3"/>
    <s v="Thursday"/>
  </r>
  <r>
    <d v="2024-02-22T00:00:00"/>
    <x v="14"/>
    <s v="Payroll Processing"/>
    <n v="1.18"/>
    <x v="16"/>
    <s v="Yes"/>
    <s v="review, adjustments, upload, approval"/>
    <x v="3"/>
    <s v="Thursday"/>
  </r>
  <r>
    <d v="2024-02-22T00:00:00"/>
    <x v="14"/>
    <s v="Payroll Processing"/>
    <n v="2.23"/>
    <x v="16"/>
    <s v="Yes"/>
    <s v="review and adjustment"/>
    <x v="3"/>
    <s v="Thursday"/>
  </r>
  <r>
    <d v="2024-02-22T00:00:00"/>
    <x v="15"/>
    <s v="General"/>
    <n v="10.050000000000001"/>
    <x v="12"/>
    <s v="No"/>
    <e v="#NAME?"/>
    <x v="3"/>
    <s v="Thursday"/>
  </r>
  <r>
    <d v="2024-02-22T00:00:00"/>
    <x v="16"/>
    <s v="Bookkeeping"/>
    <n v="0.22"/>
    <x v="32"/>
    <s v="Yes"/>
    <s v="bank recon"/>
    <x v="3"/>
    <s v="Thursday"/>
  </r>
  <r>
    <d v="2024-02-22T00:00:00"/>
    <x v="16"/>
    <s v="Bookkeeping"/>
    <n v="0.38"/>
    <x v="29"/>
    <s v="No"/>
    <s v="checking budget reports"/>
    <x v="3"/>
    <s v="Thursday"/>
  </r>
  <r>
    <d v="2024-02-22T00:00:00"/>
    <x v="16"/>
    <s v="Bookkeeping"/>
    <n v="1.18"/>
    <x v="75"/>
    <s v="Yes"/>
    <s v="bank transaction call with Ms.Rose"/>
    <x v="3"/>
    <s v="Thursday"/>
  </r>
  <r>
    <d v="2024-02-22T00:00:00"/>
    <x v="16"/>
    <s v="Bookkeeping - AP"/>
    <n v="1.38"/>
    <x v="33"/>
    <s v="No"/>
    <s v="re-checking of processed invoices"/>
    <x v="3"/>
    <s v="Thursday"/>
  </r>
  <r>
    <d v="2024-02-22T00:00:00"/>
    <x v="16"/>
    <s v="Bookkeeping - AP"/>
    <n v="2.58"/>
    <x v="33"/>
    <s v="Yes"/>
    <s v="approve ap invoices"/>
    <x v="3"/>
    <s v="Thursday"/>
  </r>
  <r>
    <d v="2024-02-22T00:00:00"/>
    <x v="16"/>
    <s v="Bookkeeping - Bank Recs"/>
    <n v="0.37"/>
    <x v="33"/>
    <s v="Yes"/>
    <m/>
    <x v="3"/>
    <s v="Thursday"/>
  </r>
  <r>
    <d v="2024-02-22T00:00:00"/>
    <x v="16"/>
    <s v="General"/>
    <n v="0.4"/>
    <x v="12"/>
    <s v="No"/>
    <s v="emails"/>
    <x v="3"/>
    <s v="Thursday"/>
  </r>
  <r>
    <d v="2024-02-22T00:00:00"/>
    <x v="16"/>
    <s v="General"/>
    <n v="0.43"/>
    <x v="12"/>
    <s v="No"/>
    <m/>
    <x v="3"/>
    <s v="Thursday"/>
  </r>
  <r>
    <d v="2024-02-22T00:00:00"/>
    <x v="16"/>
    <s v="General"/>
    <n v="0.5"/>
    <x v="12"/>
    <s v="No"/>
    <s v="break"/>
    <x v="3"/>
    <s v="Thursday"/>
  </r>
  <r>
    <d v="2024-02-22T00:00:00"/>
    <x v="16"/>
    <s v="General"/>
    <n v="0.55000000000000004"/>
    <x v="12"/>
    <s v="No"/>
    <s v="emails regarding bas ang ias"/>
    <x v="3"/>
    <s v="Thursday"/>
  </r>
  <r>
    <d v="2024-02-22T00:00:00"/>
    <x v="17"/>
    <s v="Bookkeeping"/>
    <n v="0.27"/>
    <x v="35"/>
    <s v="Yes"/>
    <s v="Updating invoices"/>
    <x v="3"/>
    <s v="Thursday"/>
  </r>
  <r>
    <d v="2024-02-22T00:00:00"/>
    <x v="17"/>
    <s v="Bookkeeping"/>
    <n v="0.75"/>
    <x v="34"/>
    <s v="Yes"/>
    <s v="Recording of invoices"/>
    <x v="3"/>
    <s v="Thursday"/>
  </r>
  <r>
    <d v="2024-02-22T00:00:00"/>
    <x v="17"/>
    <s v="Bookkeeping"/>
    <n v="0.83"/>
    <x v="87"/>
    <s v="No"/>
    <s v="Tax queries"/>
    <x v="3"/>
    <s v="Thursday"/>
  </r>
  <r>
    <d v="2024-02-22T00:00:00"/>
    <x v="17"/>
    <s v="Bookkeeping"/>
    <n v="1.23"/>
    <x v="34"/>
    <s v="Yes"/>
    <s v="Responding to emails, checking inbox"/>
    <x v="3"/>
    <s v="Thursday"/>
  </r>
  <r>
    <d v="2024-02-22T00:00:00"/>
    <x v="17"/>
    <s v="Bookkeeping"/>
    <n v="1.25"/>
    <x v="34"/>
    <s v="Yes"/>
    <s v="Recording of invoices, Bank recs"/>
    <x v="3"/>
    <s v="Thursday"/>
  </r>
  <r>
    <d v="2024-02-22T00:00:00"/>
    <x v="17"/>
    <s v="Bookkeeping"/>
    <n v="1.83"/>
    <x v="34"/>
    <s v="Yes"/>
    <s v="Bank recs, recording of invoices, manual journals"/>
    <x v="3"/>
    <s v="Thursday"/>
  </r>
  <r>
    <d v="2024-02-22T00:00:00"/>
    <x v="17"/>
    <s v="Bookkeeping"/>
    <n v="3"/>
    <x v="87"/>
    <s v="No"/>
    <s v="Recon for tax queries"/>
    <x v="3"/>
    <s v="Thursday"/>
  </r>
  <r>
    <d v="2024-02-22T00:00:00"/>
    <x v="18"/>
    <s v="Client Meeting"/>
    <n v="0.48"/>
    <x v="132"/>
    <s v="Yes"/>
    <s v="meeting with Sylvie - JPE trust"/>
    <x v="3"/>
    <s v="Thursday"/>
  </r>
  <r>
    <d v="2024-02-22T00:00:00"/>
    <x v="18"/>
    <s v="Financial Statements"/>
    <n v="0.43"/>
    <x v="132"/>
    <s v="Yes"/>
    <s v="balance sheet prep"/>
    <x v="3"/>
    <s v="Thursday"/>
  </r>
  <r>
    <d v="2024-02-22T00:00:00"/>
    <x v="18"/>
    <s v="Financial Statements"/>
    <n v="1.08"/>
    <x v="132"/>
    <s v="Yes"/>
    <s v="balance sheet discussion with Sylvie"/>
    <x v="3"/>
    <s v="Thursday"/>
  </r>
  <r>
    <d v="2024-02-22T00:00:00"/>
    <x v="18"/>
    <s v="General"/>
    <n v="0.7"/>
    <x v="12"/>
    <s v="No"/>
    <s v="read emails, check email about Chemika - read email thread"/>
    <x v="3"/>
    <s v="Thursday"/>
  </r>
  <r>
    <d v="2024-02-22T00:00:00"/>
    <x v="18"/>
    <s v="General"/>
    <n v="1.43"/>
    <x v="12"/>
    <s v="No"/>
    <s v="emails, chats, read about Aider chat with Sylvie about JPE trust"/>
    <x v="3"/>
    <s v="Thursday"/>
  </r>
  <r>
    <d v="2024-02-22T00:00:00"/>
    <x v="18"/>
    <s v="General"/>
    <n v="3.25"/>
    <x v="12"/>
    <s v="No"/>
    <s v="idle - power interruption"/>
    <x v="3"/>
    <s v="Thursday"/>
  </r>
  <r>
    <d v="2024-02-22T00:00:00"/>
    <x v="18"/>
    <s v="Out-of-Scope Services"/>
    <n v="0.32"/>
    <x v="113"/>
    <s v="Yes"/>
    <s v="review the query from Client"/>
    <x v="3"/>
    <s v="Thursday"/>
  </r>
  <r>
    <d v="2024-02-22T00:00:00"/>
    <x v="19"/>
    <s v="Bookkeeping"/>
    <n v="8.0500000000000007"/>
    <x v="36"/>
    <s v="Yes"/>
    <m/>
    <x v="3"/>
    <s v="Thursday"/>
  </r>
  <r>
    <d v="2024-02-22T00:00:00"/>
    <x v="20"/>
    <s v="P&amp;C Advisory"/>
    <n v="1"/>
    <x v="37"/>
    <s v="Yes"/>
    <s v="Employment Relations matter - Rob Morris LOO T&amp;C - Nick Saclley Phone calls to/from mgmt "/>
    <x v="3"/>
    <s v="Thursday"/>
  </r>
  <r>
    <d v="2024-02-22T00:00:00"/>
    <x v="20"/>
    <s v="P&amp;C Advisory"/>
    <n v="1"/>
    <x v="38"/>
    <s v="Yes"/>
    <s v="Contract audit - base &amp; super T&amp;C"/>
    <x v="3"/>
    <s v="Thursday"/>
  </r>
  <r>
    <d v="2024-02-22T00:00:00"/>
    <x v="21"/>
    <s v="Bookkeeping"/>
    <n v="0.38"/>
    <x v="57"/>
    <s v="Yes"/>
    <s v="invisalign invoices, bank recon"/>
    <x v="3"/>
    <s v="Thursday"/>
  </r>
  <r>
    <d v="2024-02-22T00:00:00"/>
    <x v="21"/>
    <s v="Bookkeeping"/>
    <n v="0.42"/>
    <x v="39"/>
    <s v="Yes"/>
    <s v="AP items, bank recon"/>
    <x v="3"/>
    <s v="Thursday"/>
  </r>
  <r>
    <d v="2024-02-22T00:00:00"/>
    <x v="21"/>
    <s v="Bookkeeping"/>
    <n v="0.75"/>
    <x v="41"/>
    <s v="Yes"/>
    <s v="bills, emails sort, hubdoc"/>
    <x v="3"/>
    <s v="Thursday"/>
  </r>
  <r>
    <d v="2024-02-22T00:00:00"/>
    <x v="21"/>
    <s v="Bookkeeping"/>
    <n v="0.82"/>
    <x v="40"/>
    <s v="Yes"/>
    <s v="Update P&amp;L report, bank recon, dext prep"/>
    <x v="3"/>
    <s v="Thursday"/>
  </r>
  <r>
    <d v="2024-02-22T00:00:00"/>
    <x v="21"/>
    <s v="Bookkeeping"/>
    <n v="0.95"/>
    <x v="72"/>
    <s v="Yes"/>
    <m/>
    <x v="3"/>
    <s v="Thursday"/>
  </r>
  <r>
    <d v="2024-02-22T00:00:00"/>
    <x v="21"/>
    <s v="Bookkeeping"/>
    <n v="1.17"/>
    <x v="36"/>
    <s v="Yes"/>
    <s v="ap bills review"/>
    <x v="3"/>
    <s v="Thursday"/>
  </r>
  <r>
    <d v="2024-02-22T00:00:00"/>
    <x v="21"/>
    <s v="Bookkeeping"/>
    <n v="1.52"/>
    <x v="28"/>
    <s v="Yes"/>
    <s v="AP Bills, Dext Prepare, Update P&amp;L report formats "/>
    <x v="3"/>
    <s v="Thursday"/>
  </r>
  <r>
    <d v="2024-02-22T00:00:00"/>
    <x v="21"/>
    <s v="Bookkeeping"/>
    <n v="2"/>
    <x v="41"/>
    <s v="Yes"/>
    <m/>
    <x v="3"/>
    <s v="Thursday"/>
  </r>
  <r>
    <d v="2024-02-22T00:00:00"/>
    <x v="22"/>
    <s v="Automations - Surefire"/>
    <n v="8"/>
    <x v="12"/>
    <s v="No"/>
    <s v="SureFire Services Automation"/>
    <x v="3"/>
    <s v="Thursday"/>
  </r>
  <r>
    <d v="2024-02-22T00:00:00"/>
    <x v="23"/>
    <s v="Automations"/>
    <n v="8"/>
    <x v="12"/>
    <s v="No"/>
    <m/>
    <x v="3"/>
    <s v="Thursday"/>
  </r>
  <r>
    <d v="2024-02-22T00:00:00"/>
    <x v="24"/>
    <s v="Automations"/>
    <n v="8"/>
    <x v="12"/>
    <s v="No"/>
    <s v="Run: LOC Dev: PrimeBuild Payroll Processing Report Automation"/>
    <x v="3"/>
    <s v="Thursday"/>
  </r>
  <r>
    <d v="2024-02-22T00:00:00"/>
    <x v="25"/>
    <s v="Bookkeeping"/>
    <n v="0.56999999999999995"/>
    <x v="42"/>
    <s v="Yes"/>
    <s v="Check for Nine invoices - email to Lucia Message with Ef re AP, super allcoate tasks to Xavi "/>
    <x v="3"/>
    <s v="Thursday"/>
  </r>
  <r>
    <d v="2024-02-22T00:00:00"/>
    <x v="25"/>
    <s v="Business Development"/>
    <n v="1"/>
    <x v="12"/>
    <s v="Yes"/>
    <s v="PAX TECHNOLOGY- meeting with Deb onsite"/>
    <x v="3"/>
    <s v="Thursday"/>
  </r>
  <r>
    <d v="2024-02-22T00:00:00"/>
    <x v="25"/>
    <s v="Business Development"/>
    <n v="1.5"/>
    <x v="12"/>
    <s v="No"/>
    <s v="Travel to / from Deb onsite Central"/>
    <x v="3"/>
    <s v="Thursday"/>
  </r>
  <r>
    <d v="2024-02-22T00:00:00"/>
    <x v="25"/>
    <s v="Client Manager"/>
    <n v="0.13"/>
    <x v="42"/>
    <s v="Yes"/>
    <s v="Email to Ef / Xavi re prepayments for Zendesk / accounting for new monthly billing"/>
    <x v="3"/>
    <s v="Thursday"/>
  </r>
  <r>
    <d v="2024-02-22T00:00:00"/>
    <x v="25"/>
    <s v="Client Meeting"/>
    <n v="0.25"/>
    <x v="42"/>
    <s v="No"/>
    <s v="Handover introduction to global team - non billable"/>
    <x v="3"/>
    <s v="Thursday"/>
  </r>
  <r>
    <d v="2024-02-22T00:00:00"/>
    <x v="25"/>
    <s v="Client Meeting"/>
    <n v="1.18"/>
    <x v="121"/>
    <s v="Yes"/>
    <s v="Review payroll information sent by client Initial client meeting Email to IT team re setting up new email address Review new Xero file setup form - request hard copy to edit from IT team"/>
    <x v="3"/>
    <s v="Thursday"/>
  </r>
  <r>
    <d v="2024-02-22T00:00:00"/>
    <x v="25"/>
    <s v="General"/>
    <n v="0.22"/>
    <x v="12"/>
    <s v="No"/>
    <s v="Emails and Teams"/>
    <x v="3"/>
    <s v="Thursday"/>
  </r>
  <r>
    <d v="2024-02-22T00:00:00"/>
    <x v="25"/>
    <s v="General"/>
    <n v="0.23"/>
    <x v="12"/>
    <s v="No"/>
    <s v="Call with Nick "/>
    <x v="3"/>
    <s v="Thursday"/>
  </r>
  <r>
    <d v="2024-02-22T00:00:00"/>
    <x v="25"/>
    <s v="General"/>
    <n v="0.32"/>
    <x v="12"/>
    <s v="No"/>
    <s v="Catch up with new Mayday account manager Emails"/>
    <x v="3"/>
    <s v="Thursday"/>
  </r>
  <r>
    <d v="2024-02-22T00:00:00"/>
    <x v="25"/>
    <s v="General"/>
    <n v="0.38"/>
    <x v="12"/>
    <s v="No"/>
    <s v=" Email to Zoe to confirm fees / EL Emails WPN exemption from STP legislation"/>
    <x v="3"/>
    <s v="Thursday"/>
  </r>
  <r>
    <d v="2024-02-22T00:00:00"/>
    <x v="25"/>
    <s v="General"/>
    <n v="0.38"/>
    <x v="12"/>
    <s v="No"/>
    <s v="Emails - Aider email to Bailey (Aider) and Nick"/>
    <x v="3"/>
    <s v="Thursday"/>
  </r>
  <r>
    <d v="2024-02-22T00:00:00"/>
    <x v="25"/>
    <s v="General"/>
    <n v="0.47"/>
    <x v="12"/>
    <s v="No"/>
    <s v="Work with Mark to setup email address for Angie, follow up on various asana tasks."/>
    <x v="3"/>
    <s v="Thursday"/>
  </r>
  <r>
    <d v="2024-02-22T00:00:00"/>
    <x v="25"/>
    <s v="General"/>
    <n v="0.57999999999999996"/>
    <x v="12"/>
    <s v="No"/>
    <s v="Emails, teams - draft email to Deb to follow up from meeting"/>
    <x v="3"/>
    <s v="Thursday"/>
  </r>
  <r>
    <d v="2024-02-22T00:00:00"/>
    <x v="25"/>
    <s v="General"/>
    <n v="0.75"/>
    <x v="12"/>
    <s v="No"/>
    <s v="Emails - review Ackad GST for BAS, email  Tyson Create Deb / Angie info file Review info on WPN / no ABN "/>
    <x v="3"/>
    <s v="Thursday"/>
  </r>
  <r>
    <d v="2024-02-22T00:00:00"/>
    <x v="25"/>
    <s v="Payroll Processing"/>
    <n v="0.28000000000000003"/>
    <x v="24"/>
    <s v="Yes"/>
    <s v="check tax for brent, email Eric"/>
    <x v="3"/>
    <s v="Thursday"/>
  </r>
  <r>
    <d v="2024-02-22T00:00:00"/>
    <x v="26"/>
    <s v="General"/>
    <n v="0.15"/>
    <x v="12"/>
    <s v="No"/>
    <s v="Team chat with Bern"/>
    <x v="3"/>
    <s v="Thursday"/>
  </r>
  <r>
    <d v="2024-02-22T00:00:00"/>
    <x v="26"/>
    <s v="General"/>
    <n v="0.25"/>
    <x v="12"/>
    <s v="No"/>
    <s v="15 mins coffee breaks as paid per Labor Code of the Philippines, Article 85. ( AFTERNOON ) "/>
    <x v="3"/>
    <s v="Thursday"/>
  </r>
  <r>
    <d v="2024-02-22T00:00:00"/>
    <x v="26"/>
    <s v="General"/>
    <n v="0.25"/>
    <x v="12"/>
    <s v="No"/>
    <s v="15 mins coffee breaks as paid per Labor Code of the Philippines, Article 85. ( Morning Break ) "/>
    <x v="3"/>
    <s v="Thursday"/>
  </r>
  <r>
    <d v="2024-02-22T00:00:00"/>
    <x v="26"/>
    <s v="General"/>
    <n v="0.53"/>
    <x v="12"/>
    <s v="No"/>
    <s v="Xero downtime and other Xero concern raised by IT"/>
    <x v="3"/>
    <s v="Thursday"/>
  </r>
  <r>
    <d v="2024-02-22T00:00:00"/>
    <x v="26"/>
    <s v="General"/>
    <n v="0.72"/>
    <x v="12"/>
    <s v="No"/>
    <s v="XPM, Emails, Teamchat, Asana and other adhocs"/>
    <x v="3"/>
    <s v="Thursday"/>
  </r>
  <r>
    <d v="2024-02-22T00:00:00"/>
    <x v="26"/>
    <s v="General"/>
    <n v="1.5"/>
    <x v="12"/>
    <s v="No"/>
    <s v="idle - internet issue and network interruption"/>
    <x v="3"/>
    <s v="Thursday"/>
  </r>
  <r>
    <d v="2024-02-22T00:00:00"/>
    <x v="26"/>
    <s v="IAS/BAS Preparation &amp; Lodgement - Oct-Dec"/>
    <n v="0.32"/>
    <x v="134"/>
    <s v="Yes"/>
    <m/>
    <x v="3"/>
    <s v="Thursday"/>
  </r>
  <r>
    <d v="2024-02-22T00:00:00"/>
    <x v="26"/>
    <s v="IAS/BAS Preparation &amp; Lodgement - Oct-Dec"/>
    <n v="0.55000000000000004"/>
    <x v="55"/>
    <s v="Yes"/>
    <m/>
    <x v="3"/>
    <s v="Thursday"/>
  </r>
  <r>
    <d v="2024-02-22T00:00:00"/>
    <x v="26"/>
    <s v="IAS/BAS Preparation &amp; Lodgement - Oct-Dec"/>
    <n v="0.92"/>
    <x v="134"/>
    <s v="Yes"/>
    <s v="Dec 2023 BAS"/>
    <x v="3"/>
    <s v="Thursday"/>
  </r>
  <r>
    <d v="2024-02-22T00:00:00"/>
    <x v="26"/>
    <s v="IAS/BAS Preparation &amp; Lodgement - Oct-Dec"/>
    <n v="0.92"/>
    <x v="55"/>
    <s v="Yes"/>
    <s v="BAS con"/>
    <x v="3"/>
    <s v="Thursday"/>
  </r>
  <r>
    <d v="2024-02-22T00:00:00"/>
    <x v="26"/>
    <s v="IAS/BAS Preparation &amp; Lodgement - Oct-Dec"/>
    <n v="1.7"/>
    <x v="6"/>
    <s v="Yes"/>
    <s v="Redoing of work and further digging of variance due to adjustment"/>
    <x v="3"/>
    <s v="Thursday"/>
  </r>
  <r>
    <d v="2024-02-22T00:00:00"/>
    <x v="26"/>
    <s v="Tax Admin"/>
    <n v="0.25"/>
    <x v="12"/>
    <s v="No"/>
    <s v="Sort out Asana tasks"/>
    <x v="3"/>
    <s v="Thursday"/>
  </r>
  <r>
    <d v="2024-02-22T00:00:00"/>
    <x v="27"/>
    <s v="HR/Recuitment"/>
    <n v="2"/>
    <x v="12"/>
    <s v="No"/>
    <s v="Recruitment for HR Advisor - review Seek resumes x 25 and shortlist applicants.  Phone interviews."/>
    <x v="3"/>
    <s v="Thursday"/>
  </r>
  <r>
    <d v="2024-02-22T00:00:00"/>
    <x v="27"/>
    <s v="P&amp;C Advisory"/>
    <n v="6"/>
    <x v="19"/>
    <s v="Yes"/>
    <s v="Various phone calls with CEO.  Redundancy paperwork and terminations. Various Teams calls with employees to be terminated, and Teams message.  Liaise with IT/Salesforce Manager to advise of IT access disablement tomorrow.  Type up statements of Service."/>
    <x v="3"/>
    <s v="Thursday"/>
  </r>
  <r>
    <d v="2024-02-22T00:00:00"/>
    <x v="28"/>
    <s v="Bookkeeping"/>
    <n v="0.72"/>
    <x v="49"/>
    <s v="Yes"/>
    <s v="GST Recs and organizing the folder"/>
    <x v="3"/>
    <s v="Thursday"/>
  </r>
  <r>
    <d v="2024-02-22T00:00:00"/>
    <x v="28"/>
    <s v="Bookkeeping"/>
    <n v="2.15"/>
    <x v="16"/>
    <s v="Yes"/>
    <m/>
    <x v="3"/>
    <s v="Thursday"/>
  </r>
  <r>
    <d v="2024-02-22T00:00:00"/>
    <x v="28"/>
    <s v="Bookkeeping"/>
    <n v="2.9"/>
    <x v="18"/>
    <s v="Yes"/>
    <m/>
    <x v="3"/>
    <s v="Thursday"/>
  </r>
  <r>
    <d v="2024-02-22T00:00:00"/>
    <x v="28"/>
    <s v="General"/>
    <n v="0.92"/>
    <x v="12"/>
    <s v="No"/>
    <s v="Emails, Asana (Deleted hundreds of duplicate tasks)"/>
    <x v="3"/>
    <s v="Thursday"/>
  </r>
  <r>
    <d v="2024-02-22T00:00:00"/>
    <x v="28"/>
    <s v="Payroll Processing"/>
    <n v="1.42"/>
    <x v="32"/>
    <s v="Yes"/>
    <s v="Answer Superannuation queries from employees. Called the Employee services for QSuper"/>
    <x v="3"/>
    <s v="Thursday"/>
  </r>
  <r>
    <d v="2024-02-22T00:00:00"/>
    <x v="29"/>
    <s v="Bookkeeping"/>
    <n v="1"/>
    <x v="49"/>
    <s v="Yes"/>
    <s v="Year end recs - ATO Integrated account check documents loaded in tax team One Drive"/>
    <x v="3"/>
    <s v="Thursday"/>
  </r>
  <r>
    <d v="2024-02-22T00:00:00"/>
    <x v="30"/>
    <s v="Debt Collection"/>
    <n v="1"/>
    <x v="12"/>
    <s v="No"/>
    <s v="adhoc "/>
    <x v="3"/>
    <s v="Thursday"/>
  </r>
  <r>
    <d v="2024-02-22T00:00:00"/>
    <x v="30"/>
    <s v="Debt Collection"/>
    <n v="3"/>
    <x v="16"/>
    <s v="Yes"/>
    <m/>
    <x v="3"/>
    <s v="Thursday"/>
  </r>
  <r>
    <d v="2024-02-22T00:00:00"/>
    <x v="30"/>
    <s v="Debt Collection"/>
    <n v="3.5"/>
    <x v="12"/>
    <s v="No"/>
    <m/>
    <x v="3"/>
    <s v="Thursday"/>
  </r>
  <r>
    <d v="2024-02-22T00:00:00"/>
    <x v="30"/>
    <s v="General"/>
    <n v="0.5"/>
    <x v="12"/>
    <s v="No"/>
    <s v="break"/>
    <x v="3"/>
    <s v="Thursday"/>
  </r>
  <r>
    <d v="2024-02-22T00:00:00"/>
    <x v="31"/>
    <s v="General"/>
    <n v="2.1"/>
    <x v="12"/>
    <s v="No"/>
    <s v="emails / BIR Review / follow up Aranas, BDO, Parlance / payroll tax  registration"/>
    <x v="3"/>
    <s v="Thursday"/>
  </r>
  <r>
    <d v="2024-02-22T00:00:00"/>
    <x v="31"/>
    <s v="General"/>
    <n v="5.32"/>
    <x v="69"/>
    <s v="No"/>
    <s v="CF / emails / catch up Nick / Hand over Sherly / management meeting / call with RJ re Dext Internal"/>
    <x v="3"/>
    <s v="Thursday"/>
  </r>
  <r>
    <d v="2024-02-22T00:00:00"/>
    <x v="31"/>
    <s v="Management Reporting"/>
    <n v="0.63"/>
    <x v="16"/>
    <s v="Yes"/>
    <s v="GP analysis"/>
    <x v="3"/>
    <s v="Thursday"/>
  </r>
  <r>
    <d v="2024-02-22T00:00:00"/>
    <x v="32"/>
    <s v="Bookkeeping"/>
    <n v="3.23"/>
    <x v="51"/>
    <s v="Yes"/>
    <s v="Prepared Clearing Account Domestic - Klarna -Shopify -Afterpay Bills raise to xero Updating pay template of Kaycee Prepared Clearing Account International -Afterpay -Klarna -Shopify approving postscript sales to a2x"/>
    <x v="3"/>
    <s v="Thursday"/>
  </r>
  <r>
    <d v="2024-02-22T00:00:00"/>
    <x v="32"/>
    <s v="Bookkeeping"/>
    <n v="4.32"/>
    <x v="51"/>
    <s v="Yes"/>
    <s v="Email Management Bills raise to xero Approving sales to a2x Bank Reconciliation BM and LOC Inc Updated the Payroll info of Lauren and Anna "/>
    <x v="3"/>
    <s v="Thursday"/>
  </r>
  <r>
    <d v="2024-02-22T00:00:00"/>
    <x v="32"/>
    <s v="General"/>
    <n v="0.5"/>
    <x v="12"/>
    <s v="No"/>
    <s v="Break"/>
    <x v="3"/>
    <s v="Thursday"/>
  </r>
  <r>
    <d v="2024-02-22T00:00:00"/>
    <x v="33"/>
    <s v="IT"/>
    <n v="9"/>
    <x v="12"/>
    <s v="No"/>
    <s v="Support and Admin"/>
    <x v="3"/>
    <s v="Thursday"/>
  </r>
  <r>
    <d v="2024-02-22T00:00:00"/>
    <x v="34"/>
    <s v="Bookkeeping"/>
    <n v="0.73"/>
    <x v="15"/>
    <s v="Yes"/>
    <s v="Preparation of Weekly Batch Payment  Email Management Bills Processing Bank / Credit Card Recon "/>
    <x v="3"/>
    <s v="Thursday"/>
  </r>
  <r>
    <d v="2024-02-22T00:00:00"/>
    <x v="34"/>
    <s v="Bookkeeping"/>
    <n v="1.1299999999999999"/>
    <x v="6"/>
    <s v="No"/>
    <s v="Balance Sheet Recon "/>
    <x v="3"/>
    <s v="Thursday"/>
  </r>
  <r>
    <d v="2024-02-22T00:00:00"/>
    <x v="34"/>
    <s v="Bookkeeping"/>
    <n v="2.4700000000000002"/>
    <x v="52"/>
    <s v="Yes"/>
    <s v="Email Management Bills processing Bank Recon Sending Unreconciled Bank Transactions and AP report to Kate and Xavi"/>
    <x v="3"/>
    <s v="Thursday"/>
  </r>
  <r>
    <d v="2024-02-22T00:00:00"/>
    <x v="34"/>
    <s v="Bookkeeping"/>
    <n v="2.8"/>
    <x v="15"/>
    <s v="Yes"/>
    <m/>
    <x v="3"/>
    <s v="Thursday"/>
  </r>
  <r>
    <d v="2024-02-22T00:00:00"/>
    <x v="34"/>
    <s v="General"/>
    <n v="1.03"/>
    <x v="12"/>
    <s v="No"/>
    <s v="Email Management Asana Task Clean up "/>
    <x v="3"/>
    <s v="Thursday"/>
  </r>
  <r>
    <d v="2024-02-22T00:00:00"/>
    <x v="35"/>
    <s v="Accounts"/>
    <n v="0.82"/>
    <x v="12"/>
    <s v="No"/>
    <s v="Further clean up of Asana tasks/Prepare report needed by Ali."/>
    <x v="3"/>
    <s v="Thursday"/>
  </r>
  <r>
    <d v="2024-02-22T00:00:00"/>
    <x v="35"/>
    <s v="Accounts"/>
    <n v="1.8"/>
    <x v="12"/>
    <s v="No"/>
    <s v="Cleaning up Asana tasks on Onboarding-Offboarding clients"/>
    <x v="3"/>
    <s v="Thursday"/>
  </r>
  <r>
    <d v="2024-02-22T00:00:00"/>
    <x v="35"/>
    <s v="Accounts"/>
    <n v="1.83"/>
    <x v="12"/>
    <s v="No"/>
    <s v="Process invoices for BAS/IAS. Checking with CMs. Compliance invoicing update. Catch up emails and respond."/>
    <x v="3"/>
    <s v="Thursday"/>
  </r>
  <r>
    <d v="2024-02-22T00:00:00"/>
    <x v="35"/>
    <s v="Accounts"/>
    <n v="2.2799999999999998"/>
    <x v="53"/>
    <s v="No"/>
    <s v="Process BDO upload/Bank recs/Sending emails for 2307/Coordination the payout."/>
    <x v="3"/>
    <s v="Thursday"/>
  </r>
  <r>
    <d v="2024-02-22T00:00:00"/>
    <x v="35"/>
    <s v="Bookkeeping"/>
    <n v="0.97"/>
    <x v="12"/>
    <s v="No"/>
    <s v="Invoicing and updating all templates for invoicing"/>
    <x v="3"/>
    <s v="Thursday"/>
  </r>
  <r>
    <d v="2024-02-22T00:00:00"/>
    <x v="35"/>
    <s v="Compliance"/>
    <n v="1.77"/>
    <x v="53"/>
    <s v="No"/>
    <s v="Process 1604E for RO and Branch and prepare summary of Annual Alphalisting for both CY2023"/>
    <x v="3"/>
    <s v="Thursday"/>
  </r>
  <r>
    <d v="2024-02-22T00:00:00"/>
    <x v="36"/>
    <s v="Web"/>
    <n v="10"/>
    <x v="12"/>
    <s v="No"/>
    <s v="✅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x v="3"/>
    <s v="Thursday"/>
  </r>
  <r>
    <d v="2024-02-22T00:00:00"/>
    <x v="37"/>
    <s v="Bookkeeping"/>
    <n v="0.5"/>
    <x v="84"/>
    <s v="Yes"/>
    <s v="processing supplier bills and bank reco"/>
    <x v="3"/>
    <s v="Thursday"/>
  </r>
  <r>
    <d v="2024-02-22T00:00:00"/>
    <x v="37"/>
    <s v="Bookkeeping"/>
    <n v="1.25"/>
    <x v="85"/>
    <s v="Yes"/>
    <m/>
    <x v="3"/>
    <s v="Thursday"/>
  </r>
  <r>
    <d v="2024-02-22T00:00:00"/>
    <x v="37"/>
    <s v="Bookkeeping"/>
    <n v="2"/>
    <x v="19"/>
    <s v="Yes"/>
    <m/>
    <x v="3"/>
    <s v="Thursday"/>
  </r>
  <r>
    <d v="2024-02-22T00:00:00"/>
    <x v="37"/>
    <s v="General"/>
    <n v="0.25"/>
    <x v="12"/>
    <s v="No"/>
    <s v="emails and logins"/>
    <x v="3"/>
    <s v="Thursday"/>
  </r>
  <r>
    <d v="2024-02-22T00:00:00"/>
    <x v="37"/>
    <s v="Payroll Processing"/>
    <n v="0.25"/>
    <x v="86"/>
    <s v="Yes"/>
    <m/>
    <x v="3"/>
    <s v="Thursday"/>
  </r>
  <r>
    <d v="2024-02-22T00:00:00"/>
    <x v="37"/>
    <s v="Payroll Processing"/>
    <n v="0.5"/>
    <x v="84"/>
    <s v="Yes"/>
    <s v="filing and emailing payslips"/>
    <x v="3"/>
    <s v="Thursday"/>
  </r>
  <r>
    <d v="2024-02-22T00:00:00"/>
    <x v="37"/>
    <s v="Payroll Processing"/>
    <n v="0.75"/>
    <x v="83"/>
    <s v="Yes"/>
    <m/>
    <x v="3"/>
    <s v="Thursday"/>
  </r>
  <r>
    <d v="2024-02-22T00:00:00"/>
    <x v="38"/>
    <s v="Client Manager"/>
    <n v="0.05"/>
    <x v="50"/>
    <s v="No"/>
    <s v="Fathom"/>
    <x v="3"/>
    <s v="Thursday"/>
  </r>
  <r>
    <d v="2024-02-22T00:00:00"/>
    <x v="38"/>
    <s v="Client Manager"/>
    <n v="0.08"/>
    <x v="113"/>
    <s v="Yes"/>
    <s v="emails"/>
    <x v="3"/>
    <s v="Thursday"/>
  </r>
  <r>
    <d v="2024-02-22T00:00:00"/>
    <x v="38"/>
    <s v="Client Manager"/>
    <n v="0.15"/>
    <x v="2"/>
    <s v="Yes"/>
    <s v="emails"/>
    <x v="3"/>
    <s v="Thursday"/>
  </r>
  <r>
    <d v="2024-02-22T00:00:00"/>
    <x v="38"/>
    <s v="Client Manager"/>
    <n v="0.27"/>
    <x v="46"/>
    <s v="Yes"/>
    <s v="emails"/>
    <x v="3"/>
    <s v="Thursday"/>
  </r>
  <r>
    <d v="2024-02-22T00:00:00"/>
    <x v="38"/>
    <s v="Client Manager"/>
    <n v="0.27"/>
    <x v="2"/>
    <s v="Yes"/>
    <s v="email to Yoko and call to Stuart"/>
    <x v="3"/>
    <s v="Thursday"/>
  </r>
  <r>
    <d v="2024-02-22T00:00:00"/>
    <x v="38"/>
    <s v="Client Manager"/>
    <n v="1.05"/>
    <x v="2"/>
    <s v="Yes"/>
    <s v="Call with Stuart and prep for Square call"/>
    <x v="3"/>
    <s v="Thursday"/>
  </r>
  <r>
    <d v="2024-02-22T00:00:00"/>
    <x v="38"/>
    <s v="Client Manager"/>
    <n v="1.3"/>
    <x v="2"/>
    <s v="No"/>
    <s v="follow up tasks Asana and meeting with Aileen Prep for Square call"/>
    <x v="3"/>
    <s v="Thursday"/>
  </r>
  <r>
    <d v="2024-02-22T00:00:00"/>
    <x v="38"/>
    <s v="Client Manager"/>
    <n v="3.48"/>
    <x v="54"/>
    <s v="Yes"/>
    <s v="month end report"/>
    <x v="3"/>
    <s v="Thursday"/>
  </r>
  <r>
    <d v="2024-02-22T00:00:00"/>
    <x v="38"/>
    <s v="Client Meeting"/>
    <n v="0.77"/>
    <x v="2"/>
    <s v="Yes"/>
    <s v="Call with Yoko from SquareTrade"/>
    <x v="3"/>
    <s v="Thursday"/>
  </r>
  <r>
    <d v="2024-02-22T00:00:00"/>
    <x v="38"/>
    <s v="General"/>
    <n v="0.63"/>
    <x v="12"/>
    <s v="No"/>
    <s v="emails, teams, Asana"/>
    <x v="3"/>
    <s v="Thursday"/>
  </r>
  <r>
    <d v="2024-02-22T00:00:00"/>
    <x v="39"/>
    <s v="Bookkeeping"/>
    <n v="0.22"/>
    <x v="14"/>
    <s v="Yes"/>
    <m/>
    <x v="3"/>
    <s v="Thursday"/>
  </r>
  <r>
    <d v="2024-02-22T00:00:00"/>
    <x v="39"/>
    <s v="Bookkeeping"/>
    <n v="0.23"/>
    <x v="14"/>
    <s v="Yes"/>
    <s v="Jan BS recs"/>
    <x v="3"/>
    <s v="Thursday"/>
  </r>
  <r>
    <d v="2024-02-22T00:00:00"/>
    <x v="39"/>
    <s v="Bookkeeping"/>
    <n v="0.25"/>
    <x v="14"/>
    <s v="Yes"/>
    <s v="email"/>
    <x v="3"/>
    <s v="Thursday"/>
  </r>
  <r>
    <d v="2024-02-22T00:00:00"/>
    <x v="39"/>
    <s v="Bookkeeping"/>
    <n v="0.45"/>
    <x v="55"/>
    <s v="Yes"/>
    <s v="email, Files"/>
    <x v="3"/>
    <s v="Thursday"/>
  </r>
  <r>
    <d v="2024-02-22T00:00:00"/>
    <x v="39"/>
    <s v="Bookkeeping"/>
    <n v="0.57999999999999996"/>
    <x v="55"/>
    <s v="Yes"/>
    <s v="email, BR"/>
    <x v="3"/>
    <s v="Thursday"/>
  </r>
  <r>
    <d v="2024-02-22T00:00:00"/>
    <x v="39"/>
    <s v="Bookkeeping"/>
    <n v="0.62"/>
    <x v="14"/>
    <s v="Yes"/>
    <s v="BR"/>
    <x v="3"/>
    <s v="Thursday"/>
  </r>
  <r>
    <d v="2024-02-22T00:00:00"/>
    <x v="39"/>
    <s v="Bookkeeping"/>
    <n v="0.83"/>
    <x v="55"/>
    <s v="Yes"/>
    <s v="BR"/>
    <x v="3"/>
    <s v="Thursday"/>
  </r>
  <r>
    <d v="2024-02-22T00:00:00"/>
    <x v="39"/>
    <s v="Bookkeeping"/>
    <n v="1.1000000000000001"/>
    <x v="14"/>
    <s v="Yes"/>
    <s v="Jan2024 BS Recs"/>
    <x v="3"/>
    <s v="Thursday"/>
  </r>
  <r>
    <d v="2024-02-22T00:00:00"/>
    <x v="39"/>
    <s v="Bookkeeping"/>
    <n v="1.73"/>
    <x v="55"/>
    <s v="Yes"/>
    <s v="files"/>
    <x v="3"/>
    <s v="Thursday"/>
  </r>
  <r>
    <d v="2024-02-22T00:00:00"/>
    <x v="39"/>
    <s v="General"/>
    <n v="0.3"/>
    <x v="12"/>
    <s v="No"/>
    <s v="email"/>
    <x v="3"/>
    <s v="Thursday"/>
  </r>
  <r>
    <d v="2024-02-22T00:00:00"/>
    <x v="39"/>
    <s v="General"/>
    <n v="0.42"/>
    <x v="12"/>
    <s v="No"/>
    <s v="Checklist"/>
    <x v="3"/>
    <s v="Thursday"/>
  </r>
  <r>
    <d v="2024-02-22T00:00:00"/>
    <x v="39"/>
    <s v="General"/>
    <n v="0.57999999999999996"/>
    <x v="12"/>
    <s v="No"/>
    <s v="Marsil -email for icare"/>
    <x v="3"/>
    <s v="Thursday"/>
  </r>
  <r>
    <d v="2024-02-22T00:00:00"/>
    <x v="39"/>
    <s v="General"/>
    <n v="0.9"/>
    <x v="12"/>
    <s v="No"/>
    <s v="wyzed training"/>
    <x v="3"/>
    <s v="Thursday"/>
  </r>
  <r>
    <d v="2024-02-22T00:00:00"/>
    <x v="40"/>
    <s v="Bookkeeping"/>
    <n v="1.17"/>
    <x v="50"/>
    <s v="Yes"/>
    <s v="3top recs &amp; meeting w/ Sylvie"/>
    <x v="3"/>
    <s v="Thursday"/>
  </r>
  <r>
    <d v="2024-02-22T00:00:00"/>
    <x v="40"/>
    <s v="Bookkeeping"/>
    <n v="1.92"/>
    <x v="50"/>
    <s v="Yes"/>
    <m/>
    <x v="3"/>
    <s v="Thursday"/>
  </r>
  <r>
    <d v="2024-02-22T00:00:00"/>
    <x v="40"/>
    <s v="Payroll Processing"/>
    <n v="4.7300000000000004"/>
    <x v="36"/>
    <s v="Yes"/>
    <m/>
    <x v="3"/>
    <s v="Thursday"/>
  </r>
  <r>
    <d v="2024-02-22T00:00:00"/>
    <x v="40"/>
    <s v="Tax Advice"/>
    <n v="0.8"/>
    <x v="87"/>
    <s v="No"/>
    <s v="With Guia regarding Tax queries for both company"/>
    <x v="3"/>
    <s v="Thursday"/>
  </r>
  <r>
    <d v="2024-02-22T00:00:00"/>
    <x v="41"/>
    <s v="General"/>
    <n v="2.0699999999999998"/>
    <x v="12"/>
    <s v="No"/>
    <s v="Transferred Global team meeting tracker to MS list as suggestion  Sprout timesheet review (payroll tom)  Staff concerns  Prep for Ali catch-up  Start revamping team back-up plan"/>
    <x v="3"/>
    <s v="Thursday"/>
  </r>
  <r>
    <d v="2024-02-22T00:00:00"/>
    <x v="41"/>
    <s v="General"/>
    <n v="2.6"/>
    <x v="12"/>
    <s v="No"/>
    <s v="Assist in payroll specialist selection/screening with HR  WIP research in XPM  APE progress tracking  5th month evaluation continued"/>
    <x v="3"/>
    <s v="Thursday"/>
  </r>
  <r>
    <d v="2024-02-22T00:00:00"/>
    <x v="41"/>
    <s v="General"/>
    <n v="3.23"/>
    <x v="12"/>
    <s v="No"/>
    <s v="Global team meeting with Ali WIP analysis "/>
    <x v="3"/>
    <s v="Thursday"/>
  </r>
  <r>
    <d v="2024-02-22T00:00:00"/>
    <x v="41"/>
    <s v="Meetings"/>
    <n v="0.78"/>
    <x v="12"/>
    <s v="No"/>
    <s v="Finance catch-up"/>
    <x v="3"/>
    <s v="Thursday"/>
  </r>
  <r>
    <d v="2024-02-22T00:00:00"/>
    <x v="42"/>
    <s v="Annual Leave"/>
    <n v="8"/>
    <x v="12"/>
    <s v="No"/>
    <m/>
    <x v="3"/>
    <s v="Thursday"/>
  </r>
  <r>
    <d v="2024-02-22T00:00:00"/>
    <x v="43"/>
    <s v="Bookkeeping"/>
    <n v="0.37"/>
    <x v="75"/>
    <s v="Yes"/>
    <s v="Entering deposits from January"/>
    <x v="3"/>
    <s v="Thursday"/>
  </r>
  <r>
    <d v="2024-02-22T00:00:00"/>
    <x v="43"/>
    <s v="General"/>
    <n v="0.3"/>
    <x v="53"/>
    <s v="Yes"/>
    <s v="Query from Jim re HB"/>
    <x v="3"/>
    <s v="Thursday"/>
  </r>
  <r>
    <d v="2024-02-22T00:00:00"/>
    <x v="43"/>
    <s v="General"/>
    <n v="0.3"/>
    <x v="12"/>
    <s v="No"/>
    <s v="Emails, updating Asana"/>
    <x v="3"/>
    <s v="Thursday"/>
  </r>
  <r>
    <d v="2024-02-22T00:00:00"/>
    <x v="43"/>
    <s v="General"/>
    <n v="0.4"/>
    <x v="12"/>
    <s v="No"/>
    <s v="Update Asana, remove payroll tasks for Kinala group"/>
    <x v="3"/>
    <s v="Thursday"/>
  </r>
  <r>
    <d v="2024-02-22T00:00:00"/>
    <x v="43"/>
    <s v="General"/>
    <n v="0.5"/>
    <x v="12"/>
    <s v="No"/>
    <s v="Break"/>
    <x v="3"/>
    <s v="Thursday"/>
  </r>
  <r>
    <d v="2024-02-22T00:00:00"/>
    <x v="43"/>
    <s v="General"/>
    <n v="0.57999999999999996"/>
    <x v="12"/>
    <s v="No"/>
    <s v="Discussions in the office"/>
    <x v="3"/>
    <s v="Thursday"/>
  </r>
  <r>
    <d v="2024-02-22T00:00:00"/>
    <x v="43"/>
    <s v="Payroll Processing"/>
    <n v="0.18"/>
    <x v="37"/>
    <s v="Yes"/>
    <s v="Discussion with Kate re archiving old locations"/>
    <x v="3"/>
    <s v="Thursday"/>
  </r>
  <r>
    <d v="2024-02-22T00:00:00"/>
    <x v="43"/>
    <s v="Payroll Processing"/>
    <n v="0.48"/>
    <x v="51"/>
    <s v="Yes"/>
    <s v="Review new employee setup and pay update for Lauren"/>
    <x v="3"/>
    <s v="Thursday"/>
  </r>
  <r>
    <d v="2024-02-22T00:00:00"/>
    <x v="43"/>
    <s v="Payroll Processing"/>
    <n v="0.73"/>
    <x v="37"/>
    <s v="Yes"/>
    <s v="Payroll journals x 9 Hours worked report x 2"/>
    <x v="3"/>
    <s v="Thursday"/>
  </r>
  <r>
    <d v="2024-02-22T00:00:00"/>
    <x v="43"/>
    <s v="Payroll Processing"/>
    <n v="0.77"/>
    <x v="37"/>
    <s v="Yes"/>
    <s v="Review automated journals, emails to Allison, action payroll emails"/>
    <x v="3"/>
    <s v="Thursday"/>
  </r>
  <r>
    <d v="2024-02-22T00:00:00"/>
    <x v="43"/>
    <s v="Payroll Processing"/>
    <n v="0.8"/>
    <x v="37"/>
    <s v="Yes"/>
    <s v="Deleting/Archiving finished jobs"/>
    <x v="3"/>
    <s v="Thursday"/>
  </r>
  <r>
    <d v="2024-02-22T00:00:00"/>
    <x v="43"/>
    <s v="Payroll Processing"/>
    <n v="1.2"/>
    <x v="16"/>
    <s v="Yes"/>
    <s v="Payroll processing"/>
    <x v="3"/>
    <s v="Thursday"/>
  </r>
  <r>
    <d v="2024-02-22T00:00:00"/>
    <x v="43"/>
    <s v="Payroll Processing"/>
    <n v="1.38"/>
    <x v="16"/>
    <s v="Yes"/>
    <s v="Payroll processing and peer review, finalise payroll"/>
    <x v="3"/>
    <s v="Thursday"/>
  </r>
  <r>
    <d v="2024-02-22T00:00:00"/>
    <x v="45"/>
    <s v="Bookkeeping"/>
    <n v="0.65"/>
    <x v="50"/>
    <s v="Yes"/>
    <s v="Recode account allocation"/>
    <x v="3"/>
    <s v="Thursday"/>
  </r>
  <r>
    <d v="2024-02-22T00:00:00"/>
    <x v="45"/>
    <s v="Bookkeeping"/>
    <n v="0.75"/>
    <x v="57"/>
    <s v="Yes"/>
    <s v="Review cashflow AP and bank rec review"/>
    <x v="3"/>
    <s v="Thursday"/>
  </r>
  <r>
    <d v="2024-02-22T00:00:00"/>
    <x v="45"/>
    <s v="Bookkeeping"/>
    <n v="2.12"/>
    <x v="50"/>
    <s v="Yes"/>
    <s v="Inbox mgmt Review travel expense international account for recode Bank rec AP"/>
    <x v="3"/>
    <s v="Thursday"/>
  </r>
  <r>
    <d v="2024-02-22T00:00:00"/>
    <x v="45"/>
    <s v="Bookkeeping"/>
    <n v="3.55"/>
    <x v="50"/>
    <s v="Yes"/>
    <m/>
    <x v="3"/>
    <s v="Thursday"/>
  </r>
  <r>
    <d v="2024-02-22T00:00:00"/>
    <x v="45"/>
    <s v="General"/>
    <n v="0.5"/>
    <x v="12"/>
    <s v="No"/>
    <s v="Paid break"/>
    <x v="3"/>
    <s v="Thursday"/>
  </r>
  <r>
    <d v="2024-02-22T00:00:00"/>
    <x v="45"/>
    <s v="Payroll Processing"/>
    <n v="0.22"/>
    <x v="24"/>
    <s v="Yes"/>
    <s v="Update employee pay template Reprocess payroll"/>
    <x v="3"/>
    <s v="Thursday"/>
  </r>
  <r>
    <d v="2024-02-22T00:00:00"/>
    <x v="45"/>
    <s v="Payroll Processing"/>
    <n v="0.32"/>
    <x v="24"/>
    <s v="Yes"/>
    <s v="Create and update employee's payroll calendar Update pay templates for car allowance Create draft payroll"/>
    <x v="3"/>
    <s v="Thursday"/>
  </r>
  <r>
    <d v="2024-02-22T00:00:00"/>
    <x v="46"/>
    <s v="Client Manager"/>
    <n v="0.33"/>
    <x v="59"/>
    <s v="Yes"/>
    <s v="Upload payables and email Zoe"/>
    <x v="3"/>
    <s v="Thursday"/>
  </r>
  <r>
    <d v="2024-02-22T00:00:00"/>
    <x v="46"/>
    <s v="Client Manager"/>
    <n v="0.5"/>
    <x v="49"/>
    <s v="Yes"/>
    <s v="Review letter to ATO for GI remission, update same and send to Logika for final review with further comments"/>
    <x v="3"/>
    <s v="Thursday"/>
  </r>
  <r>
    <d v="2024-02-22T00:00:00"/>
    <x v="46"/>
    <s v="Client Manager"/>
    <n v="0.75"/>
    <x v="29"/>
    <s v="Yes"/>
    <s v="Attend to queries from Kerry and Prue. "/>
    <x v="3"/>
    <s v="Thursday"/>
  </r>
  <r>
    <d v="2024-02-22T00:00:00"/>
    <x v="46"/>
    <s v="Client Manager"/>
    <n v="1"/>
    <x v="114"/>
    <s v="No"/>
    <s v="Travel time"/>
    <x v="3"/>
    <s v="Thursday"/>
  </r>
  <r>
    <d v="2024-02-22T00:00:00"/>
    <x v="46"/>
    <s v="Client Manager"/>
    <n v="1.25"/>
    <x v="114"/>
    <s v="Yes"/>
    <s v="Onsite visit to meet with Alan and Catherine. Go over the scope list etc"/>
    <x v="3"/>
    <s v="Thursday"/>
  </r>
  <r>
    <d v="2024-02-22T00:00:00"/>
    <x v="46"/>
    <s v="General"/>
    <n v="3"/>
    <x v="12"/>
    <s v="No"/>
    <s v="Assist with debtor chasing, download client list from ATO portal, send to Gen, Emma M, payment plan communication, bank transactions, review invoices sitting in draft and advise Mel, meeting with Mel re income by contact etc"/>
    <x v="3"/>
    <s v="Thursday"/>
  </r>
  <r>
    <d v="2024-02-22T00:00:00"/>
    <x v="46"/>
    <s v="Meetings"/>
    <n v="0.75"/>
    <x v="12"/>
    <s v="No"/>
    <s v="Meeting with Bern re workflow"/>
    <x v="3"/>
    <s v="Thursday"/>
  </r>
  <r>
    <d v="2024-02-22T00:00:00"/>
    <x v="53"/>
    <s v="General"/>
    <n v="8.3699999999999992"/>
    <x v="12"/>
    <s v="No"/>
    <s v="training and meeting overview process"/>
    <x v="3"/>
    <s v="Thursday"/>
  </r>
  <r>
    <d v="2024-02-22T00:00:00"/>
    <x v="47"/>
    <s v="Bookkeeping"/>
    <n v="0.2"/>
    <x v="50"/>
    <s v="Yes"/>
    <s v="AMT Sybex inv query"/>
    <x v="3"/>
    <s v="Thursday"/>
  </r>
  <r>
    <d v="2024-02-22T00:00:00"/>
    <x v="47"/>
    <s v="Bookkeeping"/>
    <n v="0.3"/>
    <x v="64"/>
    <s v="Yes"/>
    <s v="try get bank feed for CFM / query Ann on Units register"/>
    <x v="3"/>
    <s v="Thursday"/>
  </r>
  <r>
    <d v="2024-02-22T00:00:00"/>
    <x v="47"/>
    <s v="Bookkeeping"/>
    <n v="0.7"/>
    <x v="50"/>
    <s v="Yes"/>
    <s v="Call ATO re GIC remission - email Stephen and Sam, update notes"/>
    <x v="3"/>
    <s v="Thursday"/>
  </r>
  <r>
    <d v="2024-02-22T00:00:00"/>
    <x v="47"/>
    <s v="Bookkeeping"/>
    <n v="0.7"/>
    <x v="50"/>
    <s v="Yes"/>
    <s v="call Rachele re 3TOP rec"/>
    <x v="3"/>
    <s v="Thursday"/>
  </r>
  <r>
    <d v="2024-02-22T00:00:00"/>
    <x v="47"/>
    <s v="Budget - Monthly"/>
    <n v="1"/>
    <x v="109"/>
    <s v="No"/>
    <s v="Access to VPN with Mark and Josh, start downloading reports, email Josh, issues with Outlook and Excel"/>
    <x v="3"/>
    <s v="Thursday"/>
  </r>
  <r>
    <d v="2024-02-22T00:00:00"/>
    <x v="47"/>
    <s v="Client Manager"/>
    <n v="0.8"/>
    <x v="50"/>
    <s v="Yes"/>
    <s v="emails, liaise with team, reach out to Logika"/>
    <x v="3"/>
    <s v="Thursday"/>
  </r>
  <r>
    <d v="2024-02-22T00:00:00"/>
    <x v="47"/>
    <s v="Financial Statements"/>
    <n v="0.5"/>
    <x v="132"/>
    <s v="Yes"/>
    <s v="Call with Nica"/>
    <x v="3"/>
    <s v="Thursday"/>
  </r>
  <r>
    <d v="2024-02-22T00:00:00"/>
    <x v="47"/>
    <s v="Financial Statements"/>
    <n v="1.5"/>
    <x v="132"/>
    <s v="Yes"/>
    <m/>
    <x v="3"/>
    <s v="Thursday"/>
  </r>
  <r>
    <d v="2024-02-22T00:00:00"/>
    <x v="47"/>
    <s v="General"/>
    <n v="0.9"/>
    <x v="12"/>
    <s v="No"/>
    <s v="Asana update, Teams, emails"/>
    <x v="3"/>
    <s v="Thursday"/>
  </r>
  <r>
    <d v="2024-02-22T00:00:00"/>
    <x v="47"/>
    <s v="Management Reporting"/>
    <n v="2.8"/>
    <x v="50"/>
    <s v="Yes"/>
    <s v="Fathom - correct report and actual, re-allocation of expenses, details for Stephen"/>
    <x v="3"/>
    <s v="Thursday"/>
  </r>
  <r>
    <d v="2024-02-22T00:00:00"/>
    <x v="47"/>
    <s v="Out-of-Scope Services"/>
    <n v="0.3"/>
    <x v="50"/>
    <s v="Yes"/>
    <s v="RIL - call ATO - email Shalini and Nick"/>
    <x v="3"/>
    <s v="Thursday"/>
  </r>
  <r>
    <d v="2024-02-22T00:00:00"/>
    <x v="48"/>
    <s v="General"/>
    <n v="5"/>
    <x v="12"/>
    <s v="No"/>
    <e v="#NAME?"/>
    <x v="3"/>
    <s v="Thursday"/>
  </r>
  <r>
    <d v="2024-02-22T00:00:00"/>
    <x v="48"/>
    <s v="HR/Recuitment"/>
    <n v="2"/>
    <x v="12"/>
    <s v="No"/>
    <m/>
    <x v="3"/>
    <s v="Thursday"/>
  </r>
  <r>
    <d v="2024-02-22T00:00:00"/>
    <x v="48"/>
    <s v="Meetings"/>
    <n v="1"/>
    <x v="12"/>
    <s v="No"/>
    <e v="#NAME?"/>
    <x v="3"/>
    <s v="Thursday"/>
  </r>
  <r>
    <d v="2024-02-23T00:00:00"/>
    <x v="0"/>
    <s v="Bookkeeping"/>
    <n v="7.0000000000000007E-2"/>
    <x v="3"/>
    <s v="Yes"/>
    <s v="Update supplier's bank details in Xero"/>
    <x v="3"/>
    <s v="Friday"/>
  </r>
  <r>
    <d v="2024-02-23T00:00:00"/>
    <x v="0"/>
    <s v="Bookkeeping"/>
    <n v="0.12"/>
    <x v="4"/>
    <s v="Yes"/>
    <s v="AP and Bank Reconciliation"/>
    <x v="3"/>
    <s v="Friday"/>
  </r>
  <r>
    <d v="2024-02-23T00:00:00"/>
    <x v="0"/>
    <s v="Bookkeeping"/>
    <n v="0.13"/>
    <x v="10"/>
    <s v="Yes"/>
    <s v="Email and Manual Journal"/>
    <x v="3"/>
    <s v="Friday"/>
  </r>
  <r>
    <d v="2024-02-23T00:00:00"/>
    <x v="0"/>
    <s v="Bookkeeping"/>
    <n v="0.17"/>
    <x v="2"/>
    <s v="Yes"/>
    <s v="Email/Inbox Management"/>
    <x v="3"/>
    <s v="Friday"/>
  </r>
  <r>
    <d v="2024-02-23T00:00:00"/>
    <x v="0"/>
    <s v="Bookkeeping"/>
    <n v="0.28000000000000003"/>
    <x v="19"/>
    <s v="Yes"/>
    <s v="Email/Inbox Management"/>
    <x v="3"/>
    <s v="Friday"/>
  </r>
  <r>
    <d v="2024-02-23T00:00:00"/>
    <x v="0"/>
    <s v="Bookkeeping"/>
    <n v="0.35"/>
    <x v="4"/>
    <s v="Yes"/>
    <s v="Bank Reconciliation"/>
    <x v="3"/>
    <s v="Friday"/>
  </r>
  <r>
    <d v="2024-02-23T00:00:00"/>
    <x v="0"/>
    <s v="Bookkeeping"/>
    <n v="0.35"/>
    <x v="3"/>
    <s v="Yes"/>
    <s v="Clear AP inbox and Submit bills for approval in Xero"/>
    <x v="3"/>
    <s v="Friday"/>
  </r>
  <r>
    <d v="2024-02-23T00:00:00"/>
    <x v="0"/>
    <s v="Bookkeeping"/>
    <n v="0.67"/>
    <x v="19"/>
    <s v="Yes"/>
    <s v="Enter bills in Sage"/>
    <x v="3"/>
    <s v="Friday"/>
  </r>
  <r>
    <d v="2024-02-23T00:00:00"/>
    <x v="0"/>
    <s v="Bookkeeping"/>
    <n v="0.75"/>
    <x v="11"/>
    <s v="Yes"/>
    <s v="Bank Reconciliation"/>
    <x v="3"/>
    <s v="Friday"/>
  </r>
  <r>
    <d v="2024-02-23T00:00:00"/>
    <x v="0"/>
    <s v="Bookkeeping"/>
    <n v="0.83"/>
    <x v="6"/>
    <s v="Yes"/>
    <s v="AP and Email/Inbox Management"/>
    <x v="3"/>
    <s v="Friday"/>
  </r>
  <r>
    <d v="2024-02-23T00:00:00"/>
    <x v="0"/>
    <s v="Bookkeeping"/>
    <n v="2.2999999999999998"/>
    <x v="19"/>
    <s v="Yes"/>
    <s v="Accounts Payable"/>
    <x v="3"/>
    <s v="Friday"/>
  </r>
  <r>
    <d v="2024-02-23T00:00:00"/>
    <x v="0"/>
    <s v="General"/>
    <n v="0.25"/>
    <x v="12"/>
    <s v="No"/>
    <s v="Afternoon Break"/>
    <x v="3"/>
    <s v="Friday"/>
  </r>
  <r>
    <d v="2024-02-23T00:00:00"/>
    <x v="0"/>
    <s v="General"/>
    <n v="0.25"/>
    <x v="12"/>
    <s v="No"/>
    <s v="Morning Break"/>
    <x v="3"/>
    <s v="Friday"/>
  </r>
  <r>
    <d v="2024-02-23T00:00:00"/>
    <x v="0"/>
    <s v="Learning &amp; Development"/>
    <n v="0.2"/>
    <x v="12"/>
    <s v="No"/>
    <s v="Cyber Security Training"/>
    <x v="3"/>
    <s v="Friday"/>
  </r>
  <r>
    <d v="2024-02-23T00:00:00"/>
    <x v="0"/>
    <s v="Meetings"/>
    <n v="0.56999999999999995"/>
    <x v="12"/>
    <s v="No"/>
    <s v="Team Huddle"/>
    <x v="3"/>
    <s v="Friday"/>
  </r>
  <r>
    <d v="2024-02-23T00:00:00"/>
    <x v="0"/>
    <s v="Payroll Processing"/>
    <n v="0.23"/>
    <x v="8"/>
    <s v="Yes"/>
    <m/>
    <x v="3"/>
    <s v="Friday"/>
  </r>
  <r>
    <d v="2024-02-23T00:00:00"/>
    <x v="0"/>
    <s v="Payroll Processing"/>
    <n v="0.48"/>
    <x v="13"/>
    <s v="Yes"/>
    <m/>
    <x v="3"/>
    <s v="Friday"/>
  </r>
  <r>
    <d v="2024-02-23T00:00:00"/>
    <x v="49"/>
    <s v="P&amp;C Advisory - Nederman PT"/>
    <n v="0.25"/>
    <x v="63"/>
    <s v="Yes"/>
    <s v="Review of correspondence re. Sydney office"/>
    <x v="3"/>
    <s v="Friday"/>
  </r>
  <r>
    <d v="2024-02-23T00:00:00"/>
    <x v="49"/>
    <s v="P&amp;C Advisory - Nordfab"/>
    <n v="1.75"/>
    <x v="63"/>
    <s v="Yes"/>
    <s v="Discussion re. CSG  Correspondence re. NSW sales Recruitment - review of applications"/>
    <x v="3"/>
    <s v="Friday"/>
  </r>
  <r>
    <d v="2024-02-23T00:00:00"/>
    <x v="1"/>
    <s v="Bookkeeping"/>
    <n v="0.15"/>
    <x v="64"/>
    <s v="Yes"/>
    <m/>
    <x v="3"/>
    <s v="Friday"/>
  </r>
  <r>
    <d v="2024-02-23T00:00:00"/>
    <x v="1"/>
    <s v="Bookkeeping"/>
    <n v="0.45"/>
    <x v="14"/>
    <s v="No"/>
    <s v="internal catchup"/>
    <x v="3"/>
    <s v="Friday"/>
  </r>
  <r>
    <d v="2024-02-23T00:00:00"/>
    <x v="1"/>
    <s v="Bookkeeping"/>
    <n v="1.55"/>
    <x v="15"/>
    <s v="Yes"/>
    <m/>
    <x v="3"/>
    <s v="Friday"/>
  </r>
  <r>
    <d v="2024-02-23T00:00:00"/>
    <x v="1"/>
    <s v="Bookkeeping"/>
    <n v="1.78"/>
    <x v="14"/>
    <s v="Yes"/>
    <m/>
    <x v="3"/>
    <s v="Friday"/>
  </r>
  <r>
    <d v="2024-02-23T00:00:00"/>
    <x v="1"/>
    <s v="General"/>
    <n v="0.53"/>
    <x v="12"/>
    <s v="No"/>
    <s v="break"/>
    <x v="3"/>
    <s v="Friday"/>
  </r>
  <r>
    <d v="2024-02-23T00:00:00"/>
    <x v="1"/>
    <s v="General"/>
    <n v="0.75"/>
    <x v="12"/>
    <s v="No"/>
    <s v="chats, emails, Sprout, Asana, chats re concerns, etc"/>
    <x v="3"/>
    <s v="Friday"/>
  </r>
  <r>
    <d v="2024-02-23T00:00:00"/>
    <x v="1"/>
    <s v="General"/>
    <n v="0.98"/>
    <x v="12"/>
    <s v="No"/>
    <s v="emails, Asana, Wyzed"/>
    <x v="3"/>
    <s v="Friday"/>
  </r>
  <r>
    <d v="2024-02-23T00:00:00"/>
    <x v="1"/>
    <s v="Meetings"/>
    <n v="0.55000000000000004"/>
    <x v="12"/>
    <s v="No"/>
    <s v="Weekly huddle"/>
    <x v="3"/>
    <s v="Friday"/>
  </r>
  <r>
    <d v="2024-02-23T00:00:00"/>
    <x v="1"/>
    <s v="Meetings"/>
    <n v="1.1499999999999999"/>
    <x v="12"/>
    <s v="No"/>
    <s v="Probationary review Cess - complete form, discuss with Cess and email Z"/>
    <x v="3"/>
    <s v="Friday"/>
  </r>
  <r>
    <d v="2024-02-23T00:00:00"/>
    <x v="1"/>
    <s v="Payroll Processing"/>
    <n v="0.1"/>
    <x v="15"/>
    <s v="Yes"/>
    <m/>
    <x v="3"/>
    <s v="Friday"/>
  </r>
  <r>
    <d v="2024-02-23T00:00:00"/>
    <x v="3"/>
    <s v="Business Development"/>
    <n v="10.6"/>
    <x v="12"/>
    <s v="No"/>
    <s v="*final handover (EXT)  *meeting with Miguel for intranet  *Sporadic meetings and finalizations  *continuation of flows"/>
    <x v="3"/>
    <s v="Friday"/>
  </r>
  <r>
    <d v="2024-02-23T00:00:00"/>
    <x v="4"/>
    <s v="Business Development"/>
    <n v="8"/>
    <x v="12"/>
    <s v="No"/>
    <m/>
    <x v="3"/>
    <s v="Friday"/>
  </r>
  <r>
    <d v="2024-02-23T00:00:00"/>
    <x v="5"/>
    <s v="Bookkeeping"/>
    <n v="0.56999999999999995"/>
    <x v="16"/>
    <s v="Yes"/>
    <s v="Leave Reports "/>
    <x v="3"/>
    <s v="Friday"/>
  </r>
  <r>
    <d v="2024-02-23T00:00:00"/>
    <x v="5"/>
    <s v="Bookkeeping"/>
    <n v="0.7"/>
    <x v="16"/>
    <s v="Yes"/>
    <s v="Leave Balances "/>
    <x v="3"/>
    <s v="Friday"/>
  </r>
  <r>
    <d v="2024-02-23T00:00:00"/>
    <x v="5"/>
    <s v="Bookkeeping"/>
    <n v="1.6"/>
    <x v="16"/>
    <s v="Yes"/>
    <s v="Checking of Statements "/>
    <x v="3"/>
    <s v="Friday"/>
  </r>
  <r>
    <d v="2024-02-23T00:00:00"/>
    <x v="5"/>
    <s v="Bookkeeping"/>
    <n v="1.8"/>
    <x v="16"/>
    <s v="Yes"/>
    <s v="Email Management "/>
    <x v="3"/>
    <s v="Friday"/>
  </r>
  <r>
    <d v="2024-02-23T00:00:00"/>
    <x v="5"/>
    <s v="Bookkeeping"/>
    <n v="2.62"/>
    <x v="16"/>
    <s v="Yes"/>
    <s v="Posting of invoices "/>
    <x v="3"/>
    <s v="Friday"/>
  </r>
  <r>
    <d v="2024-02-23T00:00:00"/>
    <x v="5"/>
    <s v="Meetings"/>
    <n v="0.5"/>
    <x v="12"/>
    <s v="No"/>
    <s v="Meeting with Ms. Con "/>
    <x v="3"/>
    <s v="Friday"/>
  </r>
  <r>
    <d v="2024-02-23T00:00:00"/>
    <x v="5"/>
    <s v="Meetings"/>
    <n v="1"/>
    <x v="12"/>
    <s v="No"/>
    <s v="Team Ann Weekly Huddle "/>
    <x v="3"/>
    <s v="Friday"/>
  </r>
  <r>
    <d v="2024-02-23T00:00:00"/>
    <x v="7"/>
    <s v="Automations"/>
    <n v="9.67"/>
    <x v="12"/>
    <s v="No"/>
    <m/>
    <x v="3"/>
    <s v="Friday"/>
  </r>
  <r>
    <d v="2024-02-23T00:00:00"/>
    <x v="9"/>
    <s v="Automations"/>
    <n v="3"/>
    <x v="12"/>
    <s v="No"/>
    <s v="Run four Alliance automations + AP automation; Added 4 supplier to Alliance Automation Tax Invoice"/>
    <x v="3"/>
    <s v="Friday"/>
  </r>
  <r>
    <d v="2024-02-23T00:00:00"/>
    <x v="10"/>
    <s v="Automations"/>
    <n v="9.27"/>
    <x v="12"/>
    <s v="No"/>
    <s v="Alliance Automation Part 2 and 3 Development Lack of Colors Report Generation Alliance Debtor Report Generation"/>
    <x v="3"/>
    <s v="Friday"/>
  </r>
  <r>
    <d v="2024-02-23T00:00:00"/>
    <x v="11"/>
    <s v="Bookkeeping"/>
    <n v="0.17"/>
    <x v="21"/>
    <s v="Yes"/>
    <s v="bank recon"/>
    <x v="3"/>
    <s v="Friday"/>
  </r>
  <r>
    <d v="2024-02-23T00:00:00"/>
    <x v="11"/>
    <s v="Bookkeeping"/>
    <n v="0.17"/>
    <x v="22"/>
    <s v="Yes"/>
    <s v="bank recon"/>
    <x v="3"/>
    <s v="Friday"/>
  </r>
  <r>
    <d v="2024-02-23T00:00:00"/>
    <x v="11"/>
    <s v="Bookkeeping"/>
    <n v="0.25"/>
    <x v="24"/>
    <s v="No"/>
    <s v="Checking all entities"/>
    <x v="3"/>
    <s v="Friday"/>
  </r>
  <r>
    <d v="2024-02-23T00:00:00"/>
    <x v="11"/>
    <s v="Bookkeeping"/>
    <n v="0.33"/>
    <x v="31"/>
    <s v="No"/>
    <s v="Handover with Ge"/>
    <x v="3"/>
    <s v="Friday"/>
  </r>
  <r>
    <d v="2024-02-23T00:00:00"/>
    <x v="11"/>
    <s v="Bookkeeping"/>
    <n v="0.42"/>
    <x v="44"/>
    <s v="Yes"/>
    <s v="Adding journals for bills paid"/>
    <x v="3"/>
    <s v="Friday"/>
  </r>
  <r>
    <d v="2024-02-23T00:00:00"/>
    <x v="11"/>
    <s v="Bookkeeping"/>
    <n v="0.5"/>
    <x v="25"/>
    <s v="Yes"/>
    <s v="inbox management, AP payment"/>
    <x v="3"/>
    <s v="Friday"/>
  </r>
  <r>
    <d v="2024-02-23T00:00:00"/>
    <x v="11"/>
    <s v="Bookkeeping"/>
    <n v="1.5"/>
    <x v="24"/>
    <s v="Yes"/>
    <s v="bank recon, BS rec"/>
    <x v="3"/>
    <s v="Friday"/>
  </r>
  <r>
    <d v="2024-02-23T00:00:00"/>
    <x v="11"/>
    <s v="General"/>
    <n v="0.5"/>
    <x v="12"/>
    <s v="No"/>
    <s v="break"/>
    <x v="3"/>
    <s v="Friday"/>
  </r>
  <r>
    <d v="2024-02-23T00:00:00"/>
    <x v="11"/>
    <s v="Meetings"/>
    <n v="0.67"/>
    <x v="12"/>
    <s v="No"/>
    <s v="Team huddle"/>
    <x v="3"/>
    <s v="Friday"/>
  </r>
  <r>
    <d v="2024-02-23T00:00:00"/>
    <x v="11"/>
    <s v="Out-of-Scope Services"/>
    <n v="0.17"/>
    <x v="92"/>
    <s v="Yes"/>
    <s v="Adding journals for bills paid"/>
    <x v="3"/>
    <s v="Friday"/>
  </r>
  <r>
    <d v="2024-02-23T00:00:00"/>
    <x v="11"/>
    <s v="Out-of-Scope Services"/>
    <n v="0.17"/>
    <x v="128"/>
    <s v="Yes"/>
    <s v="Adding journals for bills paid"/>
    <x v="3"/>
    <s v="Friday"/>
  </r>
  <r>
    <d v="2024-02-23T00:00:00"/>
    <x v="11"/>
    <s v="Out-of-Scope Services"/>
    <n v="0.17"/>
    <x v="78"/>
    <s v="Yes"/>
    <s v="Adding journals for bills paid"/>
    <x v="3"/>
    <s v="Friday"/>
  </r>
  <r>
    <d v="2024-02-23T00:00:00"/>
    <x v="11"/>
    <s v="Out-of-Scope Services"/>
    <n v="0.25"/>
    <x v="76"/>
    <s v="Yes"/>
    <s v="Adding journals for bills paid"/>
    <x v="3"/>
    <s v="Friday"/>
  </r>
  <r>
    <d v="2024-02-23T00:00:00"/>
    <x v="11"/>
    <s v="Out-of-Scope Services"/>
    <n v="0.57999999999999996"/>
    <x v="77"/>
    <s v="Yes"/>
    <s v="Adding journals for bills paid"/>
    <x v="3"/>
    <s v="Friday"/>
  </r>
  <r>
    <d v="2024-02-23T00:00:00"/>
    <x v="11"/>
    <s v="Out-of-Scope Services"/>
    <n v="0.75"/>
    <x v="122"/>
    <s v="Yes"/>
    <s v="bank recon"/>
    <x v="3"/>
    <s v="Friday"/>
  </r>
  <r>
    <d v="2024-02-23T00:00:00"/>
    <x v="11"/>
    <s v="Out-of-Scope Services"/>
    <n v="1.42"/>
    <x v="110"/>
    <s v="Yes"/>
    <s v="bank recon"/>
    <x v="3"/>
    <s v="Friday"/>
  </r>
  <r>
    <d v="2024-02-23T00:00:00"/>
    <x v="12"/>
    <s v="CFO Advisory"/>
    <n v="1.25"/>
    <x v="34"/>
    <s v="No"/>
    <s v="Meeting with Mel + Jo to discuss cessation of bookkeeping services Prepare email documenting the discussion + outcomes for the client Update internal team on way forward "/>
    <x v="3"/>
    <s v="Friday"/>
  </r>
  <r>
    <d v="2024-02-23T00:00:00"/>
    <x v="14"/>
    <s v="Learning &amp; Development"/>
    <n v="8"/>
    <x v="12"/>
    <s v="No"/>
    <s v="Arriva training: Empowering New Managers"/>
    <x v="3"/>
    <s v="Friday"/>
  </r>
  <r>
    <d v="2024-02-23T00:00:00"/>
    <x v="15"/>
    <s v="Bookkeeping"/>
    <n v="0.17"/>
    <x v="16"/>
    <s v="Yes"/>
    <s v="Received raw invoices."/>
    <x v="3"/>
    <s v="Friday"/>
  </r>
  <r>
    <d v="2024-02-23T00:00:00"/>
    <x v="15"/>
    <s v="General"/>
    <n v="1.3"/>
    <x v="12"/>
    <s v="No"/>
    <e v="#NAME?"/>
    <x v="3"/>
    <s v="Friday"/>
  </r>
  <r>
    <d v="2024-02-23T00:00:00"/>
    <x v="15"/>
    <s v="General"/>
    <n v="8.33"/>
    <x v="12"/>
    <s v="No"/>
    <e v="#NAME?"/>
    <x v="3"/>
    <s v="Friday"/>
  </r>
  <r>
    <d v="2024-02-23T00:00:00"/>
    <x v="16"/>
    <s v="Bookkeeping"/>
    <n v="0.28000000000000003"/>
    <x v="29"/>
    <s v="Yes"/>
    <s v="leave loading"/>
    <x v="3"/>
    <s v="Friday"/>
  </r>
  <r>
    <d v="2024-02-23T00:00:00"/>
    <x v="16"/>
    <s v="Bookkeeping"/>
    <n v="1.53"/>
    <x v="30"/>
    <s v="Yes"/>
    <s v="process ap invoices bank recon"/>
    <x v="3"/>
    <s v="Friday"/>
  </r>
  <r>
    <d v="2024-02-23T00:00:00"/>
    <x v="16"/>
    <s v="Bookkeeping"/>
    <n v="1.8"/>
    <x v="32"/>
    <s v="Yes"/>
    <s v="bank recon. Ap invoices from inbox. emails"/>
    <x v="3"/>
    <s v="Friday"/>
  </r>
  <r>
    <d v="2024-02-23T00:00:00"/>
    <x v="16"/>
    <s v="Bookkeeping - AP"/>
    <n v="0.2"/>
    <x v="33"/>
    <s v="Yes"/>
    <s v="Process ap invoices from inbox"/>
    <x v="3"/>
    <s v="Friday"/>
  </r>
  <r>
    <d v="2024-02-23T00:00:00"/>
    <x v="16"/>
    <s v="Bookkeeping - AP"/>
    <n v="2.2000000000000002"/>
    <x v="33"/>
    <s v="Yes"/>
    <s v="AP batch payment"/>
    <x v="3"/>
    <s v="Friday"/>
  </r>
  <r>
    <d v="2024-02-23T00:00:00"/>
    <x v="16"/>
    <s v="General"/>
    <n v="0.43"/>
    <x v="12"/>
    <s v="No"/>
    <s v="emails"/>
    <x v="3"/>
    <s v="Friday"/>
  </r>
  <r>
    <d v="2024-02-23T00:00:00"/>
    <x v="16"/>
    <s v="General"/>
    <n v="0.5"/>
    <x v="12"/>
    <s v="No"/>
    <s v="break"/>
    <x v="3"/>
    <s v="Friday"/>
  </r>
  <r>
    <d v="2024-02-23T00:00:00"/>
    <x v="16"/>
    <s v="General"/>
    <n v="0.5"/>
    <x v="12"/>
    <s v="No"/>
    <s v="call with Ms.Ef"/>
    <x v="3"/>
    <s v="Friday"/>
  </r>
  <r>
    <d v="2024-02-23T00:00:00"/>
    <x v="16"/>
    <s v="Meetings"/>
    <n v="0.55000000000000004"/>
    <x v="12"/>
    <s v="No"/>
    <s v="team huddle"/>
    <x v="3"/>
    <s v="Friday"/>
  </r>
  <r>
    <d v="2024-02-23T00:00:00"/>
    <x v="17"/>
    <s v="Bookkeeping"/>
    <n v="0.3"/>
    <x v="35"/>
    <s v="Yes"/>
    <s v="AR invoice"/>
    <x v="3"/>
    <s v="Friday"/>
  </r>
  <r>
    <d v="2024-02-23T00:00:00"/>
    <x v="17"/>
    <s v="Bookkeeping"/>
    <n v="0.45"/>
    <x v="34"/>
    <s v="Yes"/>
    <s v="Checking accounts, sending follow-ups"/>
    <x v="3"/>
    <s v="Friday"/>
  </r>
  <r>
    <d v="2024-02-23T00:00:00"/>
    <x v="17"/>
    <s v="Bookkeeping"/>
    <n v="0.48"/>
    <x v="87"/>
    <s v="No"/>
    <s v="Tax queries"/>
    <x v="3"/>
    <s v="Friday"/>
  </r>
  <r>
    <d v="2024-02-23T00:00:00"/>
    <x v="17"/>
    <s v="Learning &amp; Development"/>
    <n v="7.65"/>
    <x v="12"/>
    <s v="No"/>
    <s v="Empowering new managers Seminar"/>
    <x v="3"/>
    <s v="Friday"/>
  </r>
  <r>
    <d v="2024-02-23T00:00:00"/>
    <x v="18"/>
    <s v="Bookkeeping"/>
    <n v="0.12"/>
    <x v="51"/>
    <s v="Yes"/>
    <s v="assist Maann with A2x"/>
    <x v="3"/>
    <s v="Friday"/>
  </r>
  <r>
    <d v="2024-02-23T00:00:00"/>
    <x v="18"/>
    <s v="Client Manager"/>
    <n v="2.7"/>
    <x v="114"/>
    <s v="No"/>
    <s v="review scope of work, go through transactions in MYOB, estimate of fee"/>
    <x v="3"/>
    <s v="Friday"/>
  </r>
  <r>
    <d v="2024-02-23T00:00:00"/>
    <x v="18"/>
    <s v="Client Meeting"/>
    <n v="0.48"/>
    <x v="114"/>
    <s v="No"/>
    <s v="internal meeting with Shalini - intro to Chemika"/>
    <x v="3"/>
    <s v="Friday"/>
  </r>
  <r>
    <d v="2024-02-23T00:00:00"/>
    <x v="18"/>
    <s v="General"/>
    <n v="0.48"/>
    <x v="12"/>
    <s v="No"/>
    <s v="clean up emails, files, XPM timesheets"/>
    <x v="3"/>
    <s v="Friday"/>
  </r>
  <r>
    <d v="2024-02-23T00:00:00"/>
    <x v="18"/>
    <s v="General"/>
    <n v="0.5"/>
    <x v="12"/>
    <s v="No"/>
    <s v="paid break"/>
    <x v="3"/>
    <s v="Friday"/>
  </r>
  <r>
    <d v="2024-02-23T00:00:00"/>
    <x v="18"/>
    <s v="General"/>
    <n v="0.68"/>
    <x v="12"/>
    <s v="No"/>
    <s v="emails, asana, XPM"/>
    <x v="3"/>
    <s v="Friday"/>
  </r>
  <r>
    <d v="2024-02-23T00:00:00"/>
    <x v="18"/>
    <s v="General"/>
    <n v="0.93"/>
    <x v="12"/>
    <s v="No"/>
    <s v="review linkedin trainings- provide updates to Nick"/>
    <x v="3"/>
    <s v="Friday"/>
  </r>
  <r>
    <d v="2024-02-23T00:00:00"/>
    <x v="18"/>
    <s v="General"/>
    <n v="1.42"/>
    <x v="12"/>
    <s v="No"/>
    <s v="prepare for the training video, idle time"/>
    <x v="3"/>
    <s v="Friday"/>
  </r>
  <r>
    <d v="2024-02-23T00:00:00"/>
    <x v="18"/>
    <s v="Payroll Processing"/>
    <n v="0.32"/>
    <x v="29"/>
    <s v="Yes"/>
    <s v="assist Ge on payroll query"/>
    <x v="3"/>
    <s v="Friday"/>
  </r>
  <r>
    <d v="2024-02-23T00:00:00"/>
    <x v="18"/>
    <s v="Payroll Processing"/>
    <n v="0.62"/>
    <x v="29"/>
    <s v="Yes"/>
    <s v="payroll queries"/>
    <x v="3"/>
    <s v="Friday"/>
  </r>
  <r>
    <d v="2024-02-23T00:00:00"/>
    <x v="19"/>
    <s v="Bookkeeping"/>
    <n v="8.0500000000000007"/>
    <x v="36"/>
    <s v="Yes"/>
    <m/>
    <x v="3"/>
    <s v="Friday"/>
  </r>
  <r>
    <d v="2024-02-23T00:00:00"/>
    <x v="20"/>
    <s v="P&amp;C Advisory"/>
    <n v="0.5"/>
    <x v="37"/>
    <s v="Yes"/>
    <s v="Employment Relations matter - Rob Morris"/>
    <x v="3"/>
    <s v="Friday"/>
  </r>
  <r>
    <d v="2024-02-23T00:00:00"/>
    <x v="21"/>
    <s v="Bookkeeping"/>
    <n v="0.25"/>
    <x v="66"/>
    <s v="Yes"/>
    <m/>
    <x v="3"/>
    <s v="Friday"/>
  </r>
  <r>
    <d v="2024-02-23T00:00:00"/>
    <x v="21"/>
    <s v="Bookkeeping"/>
    <n v="0.28000000000000003"/>
    <x v="57"/>
    <s v="Yes"/>
    <s v="Client query, adjustment computation for employee tagged as working holiday maker"/>
    <x v="3"/>
    <s v="Friday"/>
  </r>
  <r>
    <d v="2024-02-23T00:00:00"/>
    <x v="21"/>
    <s v="Bookkeeping"/>
    <n v="0.5"/>
    <x v="72"/>
    <s v="Yes"/>
    <s v="Bank recon items, AP Bills"/>
    <x v="3"/>
    <s v="Friday"/>
  </r>
  <r>
    <d v="2024-02-23T00:00:00"/>
    <x v="21"/>
    <s v="Bookkeeping"/>
    <n v="0.5"/>
    <x v="28"/>
    <s v="Yes"/>
    <s v="Updating P&amp;L Reports for Fintech &amp; Livewire as per client pref"/>
    <x v="3"/>
    <s v="Friday"/>
  </r>
  <r>
    <d v="2024-02-23T00:00:00"/>
    <x v="21"/>
    <s v="Bookkeeping"/>
    <n v="0.62"/>
    <x v="28"/>
    <s v="Yes"/>
    <s v="Updating payroll profile"/>
    <x v="3"/>
    <s v="Friday"/>
  </r>
  <r>
    <d v="2024-02-23T00:00:00"/>
    <x v="21"/>
    <s v="Bookkeeping"/>
    <n v="0.78"/>
    <x v="72"/>
    <s v="Yes"/>
    <m/>
    <x v="3"/>
    <s v="Friday"/>
  </r>
  <r>
    <d v="2024-02-23T00:00:00"/>
    <x v="21"/>
    <s v="Bookkeeping"/>
    <n v="1"/>
    <x v="41"/>
    <s v="Yes"/>
    <s v="hubdoc, ap emails sort and book, invoices from procore"/>
    <x v="3"/>
    <s v="Friday"/>
  </r>
  <r>
    <d v="2024-02-23T00:00:00"/>
    <x v="21"/>
    <s v="Bookkeeping"/>
    <n v="1.2"/>
    <x v="28"/>
    <s v="Yes"/>
    <m/>
    <x v="3"/>
    <s v="Friday"/>
  </r>
  <r>
    <d v="2024-02-23T00:00:00"/>
    <x v="21"/>
    <s v="Bookkeeping"/>
    <n v="1.23"/>
    <x v="28"/>
    <s v="Yes"/>
    <s v="Dext Prepare, bills, add employee"/>
    <x v="3"/>
    <s v="Friday"/>
  </r>
  <r>
    <d v="2024-02-23T00:00:00"/>
    <x v="21"/>
    <s v="Bookkeeping"/>
    <n v="1.63"/>
    <x v="41"/>
    <s v="Yes"/>
    <m/>
    <x v="3"/>
    <s v="Friday"/>
  </r>
  <r>
    <d v="2024-02-23T00:00:00"/>
    <x v="22"/>
    <s v="Automations - Surefire"/>
    <n v="8"/>
    <x v="12"/>
    <s v="No"/>
    <s v="SureFire Services Automation"/>
    <x v="3"/>
    <s v="Friday"/>
  </r>
  <r>
    <d v="2024-02-23T00:00:00"/>
    <x v="23"/>
    <s v="Automations"/>
    <n v="8"/>
    <x v="12"/>
    <s v="No"/>
    <m/>
    <x v="3"/>
    <s v="Friday"/>
  </r>
  <r>
    <d v="2024-02-23T00:00:00"/>
    <x v="24"/>
    <s v="Automations"/>
    <n v="8"/>
    <x v="12"/>
    <s v="No"/>
    <s v="Run: LOC Run: Holdsworth Automation Part 2 Dev: PrimeBuild Payroll Processing Report Automation"/>
    <x v="3"/>
    <s v="Friday"/>
  </r>
  <r>
    <d v="2024-02-23T00:00:00"/>
    <x v="25"/>
    <s v="Bookkeeping"/>
    <n v="0.08"/>
    <x v="16"/>
    <s v="Yes"/>
    <s v="Assist Rose with query on novated lease"/>
    <x v="3"/>
    <s v="Friday"/>
  </r>
  <r>
    <d v="2024-02-23T00:00:00"/>
    <x v="25"/>
    <s v="Bookkeeping"/>
    <n v="0.08"/>
    <x v="52"/>
    <s v="Yes"/>
    <s v="Review bank queries / files"/>
    <x v="3"/>
    <s v="Friday"/>
  </r>
  <r>
    <d v="2024-02-23T00:00:00"/>
    <x v="25"/>
    <s v="Bookkeeping"/>
    <n v="0.43"/>
    <x v="42"/>
    <s v="Yes"/>
    <s v="AP to Lucia and bank rec queries"/>
    <x v="3"/>
    <s v="Friday"/>
  </r>
  <r>
    <d v="2024-02-23T00:00:00"/>
    <x v="25"/>
    <s v="Bookkeeping"/>
    <n v="0.47"/>
    <x v="44"/>
    <s v="Yes"/>
    <s v="Enter bills to ANZ and emails for approvals."/>
    <x v="3"/>
    <s v="Friday"/>
  </r>
  <r>
    <d v="2024-02-23T00:00:00"/>
    <x v="25"/>
    <s v="Bookkeeping"/>
    <n v="0.53"/>
    <x v="121"/>
    <s v="Yes"/>
    <s v="Work through Asana project to update tasks required and repeating frequencies. Create client queries sheet."/>
    <x v="3"/>
    <s v="Friday"/>
  </r>
  <r>
    <d v="2024-02-23T00:00:00"/>
    <x v="25"/>
    <s v="Bookkeeping"/>
    <n v="2.65"/>
    <x v="42"/>
    <s v="Yes"/>
    <s v="Review and adjustments for tax return"/>
    <x v="3"/>
    <s v="Friday"/>
  </r>
  <r>
    <d v="2024-02-23T00:00:00"/>
    <x v="25"/>
    <s v="Client Manager"/>
    <n v="0.05"/>
    <x v="24"/>
    <s v="Yes"/>
    <s v="Review all Asana projects and tasks / dates required"/>
    <x v="3"/>
    <s v="Friday"/>
  </r>
  <r>
    <d v="2024-02-23T00:00:00"/>
    <x v="25"/>
    <s v="Client Manager"/>
    <n v="0.12"/>
    <x v="42"/>
    <s v="Yes"/>
    <s v="Check ATO portal for GST group cancellation update.  Email to Emily to check"/>
    <x v="3"/>
    <s v="Friday"/>
  </r>
  <r>
    <d v="2024-02-23T00:00:00"/>
    <x v="25"/>
    <s v="Client Manager"/>
    <n v="0.15"/>
    <x v="44"/>
    <s v="Yes"/>
    <s v="Review Asana project and dates / tasks required"/>
    <x v="3"/>
    <s v="Friday"/>
  </r>
  <r>
    <d v="2024-02-23T00:00:00"/>
    <x v="25"/>
    <s v="Client Manager"/>
    <n v="0.98"/>
    <x v="42"/>
    <s v="Yes"/>
    <s v="Call with Emily re tax"/>
    <x v="3"/>
    <s v="Friday"/>
  </r>
  <r>
    <d v="2024-02-23T00:00:00"/>
    <x v="25"/>
    <s v="General"/>
    <n v="0.18"/>
    <x v="12"/>
    <s v="No"/>
    <s v="Sort out Asana tasks"/>
    <x v="3"/>
    <s v="Friday"/>
  </r>
  <r>
    <d v="2024-02-23T00:00:00"/>
    <x v="25"/>
    <s v="General"/>
    <n v="0.2"/>
    <x v="12"/>
    <s v="No"/>
    <s v="Emails - BAS query for Myall St Richbox review bank rec queries"/>
    <x v="3"/>
    <s v="Friday"/>
  </r>
  <r>
    <d v="2024-02-23T00:00:00"/>
    <x v="25"/>
    <s v="General"/>
    <n v="0.2"/>
    <x v="12"/>
    <s v="No"/>
    <s v="Review Asana and emails"/>
    <x v="3"/>
    <s v="Friday"/>
  </r>
  <r>
    <d v="2024-02-23T00:00:00"/>
    <x v="25"/>
    <s v="General"/>
    <n v="0.62"/>
    <x v="12"/>
    <s v="No"/>
    <s v="Emails including follow up to Angie, checking new Xero file"/>
    <x v="3"/>
    <s v="Friday"/>
  </r>
  <r>
    <d v="2024-02-23T00:00:00"/>
    <x v="25"/>
    <s v="General"/>
    <n v="0.78"/>
    <x v="12"/>
    <s v="No"/>
    <s v="Messages with Shalini Jordan - update priority on Oporto task Mary - queires with BX AWX amounts Email to Steve at onefocus re handover "/>
    <x v="3"/>
    <s v="Friday"/>
  </r>
  <r>
    <d v="2024-02-23T00:00:00"/>
    <x v="25"/>
    <s v="General"/>
    <n v="0.8"/>
    <x v="12"/>
    <s v="No"/>
    <s v="IT issues - resolve with Mark"/>
    <x v="3"/>
    <s v="Friday"/>
  </r>
  <r>
    <d v="2024-02-23T00:00:00"/>
    <x v="25"/>
    <s v="Meetings"/>
    <n v="0.52"/>
    <x v="12"/>
    <s v="No"/>
    <s v="Meeting with Bern / Shalini re engagement team handover to processing team process"/>
    <x v="3"/>
    <s v="Friday"/>
  </r>
  <r>
    <d v="2024-02-23T00:00:00"/>
    <x v="26"/>
    <s v="Client Meeting"/>
    <n v="0.08"/>
    <x v="32"/>
    <s v="Yes"/>
    <s v="Attending to queries"/>
    <x v="3"/>
    <s v="Friday"/>
  </r>
  <r>
    <d v="2024-02-23T00:00:00"/>
    <x v="26"/>
    <s v="Client Meeting"/>
    <n v="0.15"/>
    <x v="80"/>
    <s v="Yes"/>
    <s v="Responding to Irish Queries"/>
    <x v="3"/>
    <s v="Friday"/>
  </r>
  <r>
    <d v="2024-02-23T00:00:00"/>
    <x v="26"/>
    <s v="Client Meeting"/>
    <n v="0.15"/>
    <x v="6"/>
    <s v="No"/>
    <s v="Attending to queries"/>
    <x v="3"/>
    <s v="Friday"/>
  </r>
  <r>
    <d v="2024-02-23T00:00:00"/>
    <x v="26"/>
    <s v="Client Meeting"/>
    <n v="0.17"/>
    <x v="135"/>
    <s v="No"/>
    <s v="Client email and updating Asana"/>
    <x v="3"/>
    <s v="Friday"/>
  </r>
  <r>
    <d v="2024-02-23T00:00:00"/>
    <x v="26"/>
    <s v="Client Meeting"/>
    <n v="0.22"/>
    <x v="80"/>
    <s v="Yes"/>
    <s v="Assisting Irish regarding client queries"/>
    <x v="3"/>
    <s v="Friday"/>
  </r>
  <r>
    <d v="2024-02-23T00:00:00"/>
    <x v="26"/>
    <s v="Client Meeting"/>
    <n v="0.23"/>
    <x v="90"/>
    <s v="Yes"/>
    <s v="Attending queries : Process of PAYGI draft"/>
    <x v="3"/>
    <s v="Friday"/>
  </r>
  <r>
    <d v="2024-02-23T00:00:00"/>
    <x v="26"/>
    <s v="General"/>
    <n v="0.25"/>
    <x v="12"/>
    <s v="No"/>
    <s v="15 mins coffee breaks as paid per Labor Code of the Philippines, Article 85. ( Afternoon Break )  "/>
    <x v="3"/>
    <s v="Friday"/>
  </r>
  <r>
    <d v="2024-02-23T00:00:00"/>
    <x v="26"/>
    <s v="General"/>
    <n v="0.25"/>
    <x v="12"/>
    <s v="No"/>
    <s v="15 mins coffee breaks as paid per Labor Code of the Philippines, Article 85. ( Morning Break ) "/>
    <x v="3"/>
    <s v="Friday"/>
  </r>
  <r>
    <d v="2024-02-23T00:00:00"/>
    <x v="26"/>
    <s v="General"/>
    <n v="0.7"/>
    <x v="12"/>
    <s v="No"/>
    <s v="Email, XPM, ASANA, &amp; Xero"/>
    <x v="3"/>
    <s v="Friday"/>
  </r>
  <r>
    <d v="2024-02-23T00:00:00"/>
    <x v="26"/>
    <s v="IAS/BAS Preparation &amp; Lodgement - Oct-Dec"/>
    <n v="0.22"/>
    <x v="122"/>
    <s v="Yes"/>
    <s v="Further digging of variances"/>
    <x v="3"/>
    <s v="Friday"/>
  </r>
  <r>
    <d v="2024-02-23T00:00:00"/>
    <x v="26"/>
    <s v="IAS/BAS Preparation &amp; Lodgement - Oct-Dec"/>
    <n v="0.27"/>
    <x v="122"/>
    <s v="Yes"/>
    <s v="Redoing and updating wps, ATO fix"/>
    <x v="3"/>
    <s v="Friday"/>
  </r>
  <r>
    <d v="2024-02-23T00:00:00"/>
    <x v="26"/>
    <s v="IAS/BAS Preparation &amp; Lodgement - Oct-Dec"/>
    <n v="0.4"/>
    <x v="122"/>
    <s v="Yes"/>
    <s v="Email and BAS resolution "/>
    <x v="3"/>
    <s v="Friday"/>
  </r>
  <r>
    <d v="2024-02-23T00:00:00"/>
    <x v="26"/>
    <s v="IAS/BAS Preparation &amp; Lodgement - Oct-Dec"/>
    <n v="0.47"/>
    <x v="32"/>
    <s v="Yes"/>
    <s v="BAS"/>
    <x v="3"/>
    <s v="Friday"/>
  </r>
  <r>
    <d v="2024-02-23T00:00:00"/>
    <x v="26"/>
    <s v="IAS/BAS Preparation &amp; Lodgement - Oct-Dec"/>
    <n v="0.48"/>
    <x v="133"/>
    <s v="Yes"/>
    <s v="BAS"/>
    <x v="3"/>
    <s v="Friday"/>
  </r>
  <r>
    <d v="2024-02-23T00:00:00"/>
    <x v="26"/>
    <s v="IAS/BAS Preparation &amp; Lodgement - Oct-Dec"/>
    <n v="0.56999999999999995"/>
    <x v="122"/>
    <s v="Yes"/>
    <s v="Fixing Xero &amp; XPM errors"/>
    <x v="3"/>
    <s v="Friday"/>
  </r>
  <r>
    <d v="2024-02-23T00:00:00"/>
    <x v="26"/>
    <s v="IAS/BAS Preparation &amp; Lodgement - Oct-Dec"/>
    <n v="0.6"/>
    <x v="122"/>
    <s v="Yes"/>
    <s v="Further digging of 157K variance"/>
    <x v="3"/>
    <s v="Friday"/>
  </r>
  <r>
    <d v="2024-02-23T00:00:00"/>
    <x v="26"/>
    <s v="IAS/BAS Preparation &amp; Lodgement - Oct-Dec"/>
    <n v="0.85"/>
    <x v="32"/>
    <s v="Yes"/>
    <s v="Dec. BAS"/>
    <x v="3"/>
    <s v="Friday"/>
  </r>
  <r>
    <d v="2024-02-23T00:00:00"/>
    <x v="26"/>
    <s v="IAS/BAS Preparation &amp; Lodgement - Oct-Dec"/>
    <n v="1.43"/>
    <x v="68"/>
    <s v="Yes"/>
    <s v="REdoing work and further digging of variance"/>
    <x v="3"/>
    <s v="Friday"/>
  </r>
  <r>
    <d v="2024-02-23T00:00:00"/>
    <x v="26"/>
    <s v="Learning &amp; Development"/>
    <n v="0.48"/>
    <x v="12"/>
    <s v="No"/>
    <s v="Refreshing and reading of PAYGI draft process"/>
    <x v="3"/>
    <s v="Friday"/>
  </r>
  <r>
    <d v="2024-02-23T00:00:00"/>
    <x v="26"/>
    <s v="Meetings"/>
    <n v="0.27"/>
    <x v="12"/>
    <s v="No"/>
    <s v="Meeting with Lindsay BAS concern and queries"/>
    <x v="3"/>
    <s v="Friday"/>
  </r>
  <r>
    <d v="2024-02-23T00:00:00"/>
    <x v="28"/>
    <s v="Bookkeeping"/>
    <n v="8.0299999999999994"/>
    <x v="16"/>
    <s v="Yes"/>
    <m/>
    <x v="3"/>
    <s v="Friday"/>
  </r>
  <r>
    <d v="2024-02-23T00:00:00"/>
    <x v="28"/>
    <s v="Payroll Processing"/>
    <n v="0.38"/>
    <x v="32"/>
    <s v="Yes"/>
    <s v="answered queries from employees "/>
    <x v="3"/>
    <s v="Friday"/>
  </r>
  <r>
    <d v="2024-02-23T00:00:00"/>
    <x v="29"/>
    <s v="Bookkeeping"/>
    <n v="0.5"/>
    <x v="49"/>
    <s v="Yes"/>
    <s v="Check ATO account balance email Daniel Balance sheet   Load Daniel personal information into Tax team One Drive"/>
    <x v="3"/>
    <s v="Friday"/>
  </r>
  <r>
    <d v="2024-02-23T00:00:00"/>
    <x v="30"/>
    <s v="Client Meeting"/>
    <n v="1.25"/>
    <x v="16"/>
    <s v="No"/>
    <m/>
    <x v="3"/>
    <s v="Friday"/>
  </r>
  <r>
    <d v="2024-02-23T00:00:00"/>
    <x v="30"/>
    <s v="Debt Collection"/>
    <n v="1"/>
    <x v="12"/>
    <s v="No"/>
    <m/>
    <x v="3"/>
    <s v="Friday"/>
  </r>
  <r>
    <d v="2024-02-23T00:00:00"/>
    <x v="30"/>
    <s v="Debt Collection"/>
    <n v="4.8"/>
    <x v="16"/>
    <s v="Yes"/>
    <m/>
    <x v="3"/>
    <s v="Friday"/>
  </r>
  <r>
    <d v="2024-02-23T00:00:00"/>
    <x v="30"/>
    <s v="General"/>
    <n v="0.5"/>
    <x v="12"/>
    <s v="No"/>
    <s v="break"/>
    <x v="3"/>
    <s v="Friday"/>
  </r>
  <r>
    <d v="2024-02-23T00:00:00"/>
    <x v="30"/>
    <s v="Meetings"/>
    <n v="0.45"/>
    <x v="12"/>
    <s v="No"/>
    <m/>
    <x v="3"/>
    <s v="Friday"/>
  </r>
  <r>
    <d v="2024-02-23T00:00:00"/>
    <x v="31"/>
    <s v="Bookkeeping"/>
    <n v="0.35"/>
    <x v="16"/>
    <s v="Yes"/>
    <s v="Review"/>
    <x v="3"/>
    <s v="Friday"/>
  </r>
  <r>
    <d v="2024-02-23T00:00:00"/>
    <x v="31"/>
    <s v="Bookkeeping"/>
    <n v="2.1"/>
    <x v="16"/>
    <s v="Yes"/>
    <s v="weekly AP meeting / GP Analysis / create new Xero layout / hand over "/>
    <x v="3"/>
    <s v="Friday"/>
  </r>
  <r>
    <d v="2024-02-23T00:00:00"/>
    <x v="31"/>
    <s v="Client Meeting"/>
    <n v="1.08"/>
    <x v="16"/>
    <s v="Yes"/>
    <s v="catch up Lindz / catch up Charm"/>
    <x v="3"/>
    <s v="Friday"/>
  </r>
  <r>
    <d v="2024-02-23T00:00:00"/>
    <x v="31"/>
    <s v="Client Meeting"/>
    <n v="1.42"/>
    <x v="16"/>
    <s v="Yes"/>
    <s v="company update / emails"/>
    <x v="3"/>
    <s v="Friday"/>
  </r>
  <r>
    <d v="2024-02-23T00:00:00"/>
    <x v="31"/>
    <s v="General"/>
    <n v="1.58"/>
    <x v="12"/>
    <s v="No"/>
    <s v="Payroll tax registration VIC and QLD / Payroll monitoring / hand over file"/>
    <x v="3"/>
    <s v="Friday"/>
  </r>
  <r>
    <d v="2024-02-23T00:00:00"/>
    <x v="31"/>
    <s v="General"/>
    <n v="1.68"/>
    <x v="12"/>
    <s v="No"/>
    <s v="emails / call with Eunice / Payroll / QLD Payroll tax Verification"/>
    <x v="3"/>
    <s v="Friday"/>
  </r>
  <r>
    <d v="2024-02-23T00:00:00"/>
    <x v="32"/>
    <s v="Bookkeeping"/>
    <n v="0.08"/>
    <x v="108"/>
    <s v="Yes"/>
    <s v="Bank Reconciliation"/>
    <x v="3"/>
    <s v="Friday"/>
  </r>
  <r>
    <d v="2024-02-23T00:00:00"/>
    <x v="32"/>
    <s v="Bookkeeping"/>
    <n v="1.27"/>
    <x v="51"/>
    <s v="Yes"/>
    <s v="Continuation of Clearing Paypal International Bills raise to Xero postscript transactions  Approving sales to a2x of postscript sales Bank reconciliation for postscript transactions "/>
    <x v="3"/>
    <s v="Friday"/>
  </r>
  <r>
    <d v="2024-02-23T00:00:00"/>
    <x v="32"/>
    <s v="Bookkeeping"/>
    <n v="1.6"/>
    <x v="51"/>
    <s v="Yes"/>
    <s v="Import Paypal currencies Clearing Paypal Domestic Clearing Paypal International  Clearing Shopify Installment "/>
    <x v="3"/>
    <s v="Friday"/>
  </r>
  <r>
    <d v="2024-02-23T00:00:00"/>
    <x v="32"/>
    <s v="Bookkeeping"/>
    <n v="4.1500000000000004"/>
    <x v="51"/>
    <s v="Yes"/>
    <s v="Email Management Bills raise to xero Bank Reconciliation BM and LOC Inc Checking of a2x error and approved sales Checking the statement of account for the corporate traveler to ensure that all the invoices have been processed in Xero. Import CBA 7334 and reconciled  "/>
    <x v="3"/>
    <s v="Friday"/>
  </r>
  <r>
    <d v="2024-02-23T00:00:00"/>
    <x v="32"/>
    <s v="General"/>
    <n v="0.5"/>
    <x v="12"/>
    <s v="No"/>
    <s v="Break"/>
    <x v="3"/>
    <s v="Friday"/>
  </r>
  <r>
    <d v="2024-02-23T00:00:00"/>
    <x v="32"/>
    <s v="Meetings"/>
    <n v="0.42"/>
    <x v="12"/>
    <s v="No"/>
    <s v="Grow Coaching with TL Ralph"/>
    <x v="3"/>
    <s v="Friday"/>
  </r>
  <r>
    <d v="2024-02-23T00:00:00"/>
    <x v="33"/>
    <s v="IT"/>
    <n v="9"/>
    <x v="12"/>
    <s v="No"/>
    <s v="IT Support"/>
    <x v="3"/>
    <s v="Friday"/>
  </r>
  <r>
    <d v="2024-02-23T00:00:00"/>
    <x v="34"/>
    <s v="Bookkeeping"/>
    <n v="1.1299999999999999"/>
    <x v="43"/>
    <s v="Yes"/>
    <s v="Email Management Bills Reconciliation"/>
    <x v="3"/>
    <s v="Friday"/>
  </r>
  <r>
    <d v="2024-02-23T00:00:00"/>
    <x v="34"/>
    <s v="Bookkeeping"/>
    <n v="1.88"/>
    <x v="52"/>
    <s v="Yes"/>
    <s v="Updating Bank Recon   Email Management  Bills Processing"/>
    <x v="3"/>
    <s v="Friday"/>
  </r>
  <r>
    <d v="2024-02-23T00:00:00"/>
    <x v="34"/>
    <s v="Bookkeeping"/>
    <n v="1.9"/>
    <x v="6"/>
    <s v="Yes"/>
    <s v="Balance Sheet Recon On going"/>
    <x v="3"/>
    <s v="Friday"/>
  </r>
  <r>
    <d v="2024-02-23T00:00:00"/>
    <x v="34"/>
    <s v="Bookkeeping"/>
    <n v="2.15"/>
    <x v="15"/>
    <s v="Yes"/>
    <s v="Email Management Bills Processing Bank Credit Card Recon Sending of Unreconciled credit card recon to Michelle "/>
    <x v="3"/>
    <s v="Friday"/>
  </r>
  <r>
    <d v="2024-02-23T00:00:00"/>
    <x v="34"/>
    <s v="General"/>
    <n v="0.53"/>
    <x v="12"/>
    <s v="No"/>
    <s v="Email Management"/>
    <x v="3"/>
    <s v="Friday"/>
  </r>
  <r>
    <d v="2024-02-23T00:00:00"/>
    <x v="34"/>
    <s v="Meetings"/>
    <n v="0.55000000000000004"/>
    <x v="12"/>
    <s v="No"/>
    <s v="Team Ann Weekly Huddle"/>
    <x v="3"/>
    <s v="Friday"/>
  </r>
  <r>
    <d v="2024-02-23T00:00:00"/>
    <x v="35"/>
    <s v="Accounts"/>
    <n v="4.47"/>
    <x v="12"/>
    <s v="No"/>
    <s v="Catch up on emails, respond to, and report unnecessary emails. Process other bank recs remaining. Update compliance invoicing report.Coordination with payroll status and checking of funds."/>
    <x v="3"/>
    <s v="Friday"/>
  </r>
  <r>
    <d v="2024-02-23T00:00:00"/>
    <x v="35"/>
    <s v="General"/>
    <n v="4.37"/>
    <x v="53"/>
    <s v="No"/>
    <s v="APE in Balanga - with travel and internal monitoring with Ms Con regarding Payroll status"/>
    <x v="3"/>
    <s v="Friday"/>
  </r>
  <r>
    <d v="2024-02-23T00:00:00"/>
    <x v="35"/>
    <s v="Payroll Processing"/>
    <n v="0.28000000000000003"/>
    <x v="53"/>
    <s v="No"/>
    <s v="Checking of BDO accounts. BDO payroll file uploading."/>
    <x v="3"/>
    <s v="Friday"/>
  </r>
  <r>
    <d v="2024-02-23T00:00:00"/>
    <x v="36"/>
    <s v="Web"/>
    <n v="10"/>
    <x v="12"/>
    <s v="No"/>
    <s v="✅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x v="3"/>
    <s v="Friday"/>
  </r>
  <r>
    <d v="2024-02-23T00:00:00"/>
    <x v="37"/>
    <s v="Bookkeeping"/>
    <n v="0.25"/>
    <x v="83"/>
    <s v="Yes"/>
    <m/>
    <x v="3"/>
    <s v="Friday"/>
  </r>
  <r>
    <d v="2024-02-23T00:00:00"/>
    <x v="37"/>
    <s v="Bookkeeping"/>
    <n v="0.5"/>
    <x v="84"/>
    <s v="Yes"/>
    <s v="bank reco"/>
    <x v="3"/>
    <s v="Friday"/>
  </r>
  <r>
    <d v="2024-02-23T00:00:00"/>
    <x v="37"/>
    <s v="Bookkeeping"/>
    <n v="0.5"/>
    <x v="59"/>
    <s v="Yes"/>
    <m/>
    <x v="3"/>
    <s v="Friday"/>
  </r>
  <r>
    <d v="2024-02-23T00:00:00"/>
    <x v="37"/>
    <s v="Bookkeeping"/>
    <n v="0.75"/>
    <x v="85"/>
    <s v="Yes"/>
    <m/>
    <x v="3"/>
    <s v="Friday"/>
  </r>
  <r>
    <d v="2024-02-23T00:00:00"/>
    <x v="37"/>
    <s v="Bookkeeping"/>
    <n v="2.5"/>
    <x v="19"/>
    <s v="Yes"/>
    <m/>
    <x v="3"/>
    <s v="Friday"/>
  </r>
  <r>
    <d v="2024-02-23T00:00:00"/>
    <x v="37"/>
    <s v="General"/>
    <n v="0.25"/>
    <x v="12"/>
    <s v="No"/>
    <s v="internal emails / chats/logins"/>
    <x v="3"/>
    <s v="Friday"/>
  </r>
  <r>
    <d v="2024-02-23T00:00:00"/>
    <x v="37"/>
    <s v="Payroll Processing"/>
    <n v="0.25"/>
    <x v="86"/>
    <s v="Yes"/>
    <m/>
    <x v="3"/>
    <s v="Friday"/>
  </r>
  <r>
    <d v="2024-02-23T00:00:00"/>
    <x v="38"/>
    <s v="Client Manager"/>
    <n v="2.87"/>
    <x v="87"/>
    <s v="Yes"/>
    <s v="Fathom report "/>
    <x v="3"/>
    <s v="Friday"/>
  </r>
  <r>
    <d v="2024-02-23T00:00:00"/>
    <x v="38"/>
    <s v="General"/>
    <n v="3.15"/>
    <x v="12"/>
    <s v="No"/>
    <s v="emails, teams, Asana"/>
    <x v="3"/>
    <s v="Friday"/>
  </r>
  <r>
    <d v="2024-02-23T00:00:00"/>
    <x v="39"/>
    <s v="Bookkeeping"/>
    <n v="0.25"/>
    <x v="14"/>
    <s v="Yes"/>
    <s v="email"/>
    <x v="3"/>
    <s v="Friday"/>
  </r>
  <r>
    <d v="2024-02-23T00:00:00"/>
    <x v="39"/>
    <s v="Bookkeeping"/>
    <n v="0.37"/>
    <x v="55"/>
    <s v="Yes"/>
    <s v="email, BR"/>
    <x v="3"/>
    <s v="Friday"/>
  </r>
  <r>
    <d v="2024-02-23T00:00:00"/>
    <x v="39"/>
    <s v="Bookkeeping"/>
    <n v="0.82"/>
    <x v="55"/>
    <s v="Yes"/>
    <m/>
    <x v="3"/>
    <s v="Friday"/>
  </r>
  <r>
    <d v="2024-02-23T00:00:00"/>
    <x v="39"/>
    <s v="Bookkeeping"/>
    <n v="1.1299999999999999"/>
    <x v="55"/>
    <s v="No"/>
    <s v="Marsil - checking of reports for PO vs. Bills assigned, if applicable"/>
    <x v="3"/>
    <s v="Friday"/>
  </r>
  <r>
    <d v="2024-02-23T00:00:00"/>
    <x v="39"/>
    <s v="Bookkeeping"/>
    <n v="1.53"/>
    <x v="14"/>
    <s v="Yes"/>
    <s v="SRAC team meeting &amp; Books"/>
    <x v="3"/>
    <s v="Friday"/>
  </r>
  <r>
    <d v="2024-02-23T00:00:00"/>
    <x v="39"/>
    <s v="Bookkeeping"/>
    <n v="2.08"/>
    <x v="14"/>
    <s v="Yes"/>
    <m/>
    <x v="3"/>
    <s v="Friday"/>
  </r>
  <r>
    <d v="2024-02-23T00:00:00"/>
    <x v="39"/>
    <s v="General"/>
    <n v="0.1"/>
    <x v="12"/>
    <s v="No"/>
    <s v="BAS queries update"/>
    <x v="3"/>
    <s v="Friday"/>
  </r>
  <r>
    <d v="2024-02-23T00:00:00"/>
    <x v="39"/>
    <s v="General"/>
    <n v="0.33"/>
    <x v="12"/>
    <s v="No"/>
    <s v="Nica email query"/>
    <x v="3"/>
    <s v="Friday"/>
  </r>
  <r>
    <d v="2024-02-23T00:00:00"/>
    <x v="39"/>
    <s v="Meetings"/>
    <n v="0.56999999999999995"/>
    <x v="12"/>
    <s v="No"/>
    <s v="Team Ann huddle"/>
    <x v="3"/>
    <s v="Friday"/>
  </r>
  <r>
    <d v="2024-02-23T00:00:00"/>
    <x v="39"/>
    <s v="Meetings"/>
    <n v="0.82"/>
    <x v="12"/>
    <s v="No"/>
    <s v="SRAC dext Team meeting"/>
    <x v="3"/>
    <s v="Friday"/>
  </r>
  <r>
    <d v="2024-02-23T00:00:00"/>
    <x v="40"/>
    <s v="Bookkeeping"/>
    <n v="0.92"/>
    <x v="36"/>
    <s v="Yes"/>
    <m/>
    <x v="3"/>
    <s v="Friday"/>
  </r>
  <r>
    <d v="2024-02-23T00:00:00"/>
    <x v="40"/>
    <s v="General"/>
    <n v="0.13"/>
    <x v="12"/>
    <s v="No"/>
    <s v="Dex emails"/>
    <x v="3"/>
    <s v="Friday"/>
  </r>
  <r>
    <d v="2024-02-23T00:00:00"/>
    <x v="40"/>
    <s v="Learning &amp; Development"/>
    <n v="7.47"/>
    <x v="12"/>
    <s v="No"/>
    <s v="Empowering New Managers: Essential Skills for Success in Leadership"/>
    <x v="3"/>
    <s v="Friday"/>
  </r>
  <r>
    <d v="2024-02-23T00:00:00"/>
    <x v="40"/>
    <s v="Tax Advice"/>
    <n v="0.33"/>
    <x v="87"/>
    <s v="No"/>
    <s v="Called Guia -- to finalized adjustment entries of clearing accounts in sole and company"/>
    <x v="3"/>
    <s v="Friday"/>
  </r>
  <r>
    <d v="2024-02-23T00:00:00"/>
    <x v="41"/>
    <s v="General"/>
    <n v="0.62"/>
    <x v="12"/>
    <s v="No"/>
    <s v="Finalize billable new working file"/>
    <x v="3"/>
    <s v="Friday"/>
  </r>
  <r>
    <d v="2024-02-23T00:00:00"/>
    <x v="41"/>
    <s v="General"/>
    <n v="1.83"/>
    <x v="12"/>
    <s v="No"/>
    <s v="1:1 with Ali - discussing people issues, billable reporting and CPR reporting  Staff admin-APE tracking  Sprout timesheet review-payroll disputes if any"/>
    <x v="3"/>
    <s v="Friday"/>
  </r>
  <r>
    <d v="2024-02-23T00:00:00"/>
    <x v="41"/>
    <s v="General"/>
    <n v="5.35"/>
    <x v="12"/>
    <s v="No"/>
    <s v="Revising billable report as per Nick  Asana tasks Revamp back-up plan"/>
    <x v="3"/>
    <s v="Friday"/>
  </r>
  <r>
    <d v="2024-02-23T00:00:00"/>
    <x v="41"/>
    <s v="Meetings"/>
    <n v="0.47"/>
    <x v="12"/>
    <s v="No"/>
    <s v="1:1 with Maan coaching"/>
    <x v="3"/>
    <s v="Friday"/>
  </r>
  <r>
    <d v="2024-02-23T00:00:00"/>
    <x v="42"/>
    <s v="Bookkeeping"/>
    <n v="1.02"/>
    <x v="16"/>
    <s v="Yes"/>
    <s v="AP walkthrough with Sherly"/>
    <x v="3"/>
    <s v="Friday"/>
  </r>
  <r>
    <d v="2024-02-23T00:00:00"/>
    <x v="42"/>
    <s v="Bookkeeping"/>
    <n v="1.55"/>
    <x v="16"/>
    <s v="Yes"/>
    <s v="Alliance SI Weel bank account analysis"/>
    <x v="3"/>
    <s v="Friday"/>
  </r>
  <r>
    <d v="2024-02-23T00:00:00"/>
    <x v="42"/>
    <s v="Bookkeeping"/>
    <n v="2.6"/>
    <x v="16"/>
    <s v="Yes"/>
    <m/>
    <x v="3"/>
    <s v="Friday"/>
  </r>
  <r>
    <d v="2024-02-23T00:00:00"/>
    <x v="42"/>
    <s v="Client Meeting"/>
    <n v="0.5"/>
    <x v="16"/>
    <s v="Yes"/>
    <s v="AP walkthrough with Sherly"/>
    <x v="3"/>
    <s v="Friday"/>
  </r>
  <r>
    <d v="2024-02-23T00:00:00"/>
    <x v="42"/>
    <s v="Client Meeting"/>
    <n v="0.75"/>
    <x v="16"/>
    <s v="Yes"/>
    <s v="Weekly Huddle"/>
    <x v="3"/>
    <s v="Friday"/>
  </r>
  <r>
    <d v="2024-02-23T00:00:00"/>
    <x v="42"/>
    <s v="Client Meeting"/>
    <n v="1"/>
    <x v="16"/>
    <s v="Yes"/>
    <s v="Company update - Brisbane"/>
    <x v="3"/>
    <s v="Friday"/>
  </r>
  <r>
    <d v="2024-02-23T00:00:00"/>
    <x v="42"/>
    <s v="Meetings"/>
    <n v="0.57999999999999996"/>
    <x v="12"/>
    <s v="No"/>
    <s v="Monthly meeting with Con"/>
    <x v="3"/>
    <s v="Friday"/>
  </r>
  <r>
    <d v="2024-02-23T00:00:00"/>
    <x v="43"/>
    <s v="Learning &amp; Development"/>
    <n v="8"/>
    <x v="12"/>
    <s v="No"/>
    <s v="Empowering New Managers: Essential Skills for Success in Leadership "/>
    <x v="3"/>
    <s v="Friday"/>
  </r>
  <r>
    <d v="2024-02-23T00:00:00"/>
    <x v="43"/>
    <s v="Payroll Processing"/>
    <n v="0.08"/>
    <x v="86"/>
    <s v="Yes"/>
    <s v="Load ABA for JC"/>
    <x v="3"/>
    <s v="Friday"/>
  </r>
  <r>
    <d v="2024-02-23T00:00:00"/>
    <x v="43"/>
    <s v="Payroll Processing"/>
    <n v="0.48"/>
    <x v="16"/>
    <s v="Yes"/>
    <s v="Novated Lease Clearing account variance"/>
    <x v="3"/>
    <s v="Friday"/>
  </r>
  <r>
    <d v="2024-02-23T00:00:00"/>
    <x v="45"/>
    <s v="Learning &amp; Development"/>
    <n v="8"/>
    <x v="12"/>
    <s v="No"/>
    <s v="Seminar"/>
    <x v="3"/>
    <s v="Friday"/>
  </r>
  <r>
    <d v="2024-02-23T00:00:00"/>
    <x v="46"/>
    <s v="Client Manager"/>
    <n v="0.25"/>
    <x v="59"/>
    <s v="Yes"/>
    <s v="Run monthly P&amp;L report for YTD and send to Zoe"/>
    <x v="3"/>
    <s v="Friday"/>
  </r>
  <r>
    <d v="2024-02-23T00:00:00"/>
    <x v="46"/>
    <s v="Client Manager"/>
    <n v="0.5"/>
    <x v="114"/>
    <s v="No"/>
    <s v="Catchup with Nica re MYOB analysis"/>
    <x v="3"/>
    <s v="Friday"/>
  </r>
  <r>
    <d v="2024-02-23T00:00:00"/>
    <x v="46"/>
    <s v="Client Manager"/>
    <n v="0.5"/>
    <x v="40"/>
    <s v="Yes"/>
    <s v="Review updated P&amp;L for Jan 2024. Provide feedback to Jimwelle and to send to Tom. Check on ATO portal re tax refund cheque for FY 2023, liaise with Gen re call to ATO"/>
    <x v="3"/>
    <s v="Friday"/>
  </r>
  <r>
    <d v="2024-02-23T00:00:00"/>
    <x v="46"/>
    <s v="Client Manager"/>
    <n v="0.5"/>
    <x v="29"/>
    <s v="Yes"/>
    <s v="Attend to emails from Kerry. Email re budget in Xero"/>
    <x v="3"/>
    <s v="Friday"/>
  </r>
  <r>
    <d v="2024-02-23T00:00:00"/>
    <x v="46"/>
    <s v="Client Manager"/>
    <n v="0.75"/>
    <x v="14"/>
    <s v="Yes"/>
    <s v="Weekly meeting to discuss issues, workflow etc. Review emails "/>
    <x v="3"/>
    <s v="Friday"/>
  </r>
  <r>
    <d v="2024-02-23T00:00:00"/>
    <x v="46"/>
    <s v="General"/>
    <n v="0.5"/>
    <x v="12"/>
    <s v="No"/>
    <s v="Chase team for IAS signature, follow up for Dec BAS prep, liaise with LM re workflow"/>
    <x v="3"/>
    <s v="Friday"/>
  </r>
  <r>
    <d v="2024-02-23T00:00:00"/>
    <x v="46"/>
    <s v="General"/>
    <n v="1.5"/>
    <x v="12"/>
    <s v="No"/>
    <s v="Finalise scope change form for Shipley and send to client, James emails, debtors, Gen emails, "/>
    <x v="3"/>
    <s v="Friday"/>
  </r>
  <r>
    <d v="2024-02-23T00:00:00"/>
    <x v="46"/>
    <s v="IAS/BAS Preparation &amp; Lodgement - Oct-Dec"/>
    <n v="0.33"/>
    <x v="134"/>
    <s v="Yes"/>
    <s v="Dec 2023 quarter BAS review and lodgement"/>
    <x v="3"/>
    <s v="Friday"/>
  </r>
  <r>
    <d v="2024-02-23T00:00:00"/>
    <x v="46"/>
    <s v="IAS/BAS Preparation &amp; Lodgement - Oct-Dec"/>
    <n v="0.33"/>
    <x v="32"/>
    <s v="Yes"/>
    <s v="Dec 2023 quarter BAS review and lodgement"/>
    <x v="3"/>
    <s v="Friday"/>
  </r>
  <r>
    <d v="2024-02-23T00:00:00"/>
    <x v="46"/>
    <s v="IAS/BAS Preparation &amp; Lodgement - Oct-Dec"/>
    <n v="0.33"/>
    <x v="96"/>
    <s v="Yes"/>
    <s v="Dec 2023 quarter BAS review and lodgement"/>
    <x v="3"/>
    <s v="Friday"/>
  </r>
  <r>
    <d v="2024-02-23T00:00:00"/>
    <x v="46"/>
    <s v="IAS/BAS Preparation &amp; Lodgement - Oct-Dec"/>
    <n v="0.33"/>
    <x v="6"/>
    <s v="Yes"/>
    <s v="Dec 2023 quarter BAS review and lodgement"/>
    <x v="3"/>
    <s v="Friday"/>
  </r>
  <r>
    <d v="2024-02-23T00:00:00"/>
    <x v="46"/>
    <s v="IAS/BAS Preparation &amp; Lodgement - Oct-Dec"/>
    <n v="0.33"/>
    <x v="122"/>
    <s v="Yes"/>
    <s v="Dec 2023 quarter BAS review and lodgement"/>
    <x v="3"/>
    <s v="Friday"/>
  </r>
  <r>
    <d v="2024-02-23T00:00:00"/>
    <x v="46"/>
    <s v="IAS/BAS Preparation &amp; Lodgement - Oct-Dec"/>
    <n v="0.33"/>
    <x v="133"/>
    <s v="Yes"/>
    <s v="Dec 2023 quarter BAS review, queries, send to Rose/LM"/>
    <x v="3"/>
    <s v="Friday"/>
  </r>
  <r>
    <d v="2024-02-23T00:00:00"/>
    <x v="46"/>
    <s v="IAS/BAS Preparation &amp; Lodgement - Oct-Dec"/>
    <n v="0.33"/>
    <x v="68"/>
    <s v="Yes"/>
    <s v="Dec 2023 quarter BAS review and lodgement"/>
    <x v="3"/>
    <s v="Friday"/>
  </r>
  <r>
    <d v="2024-02-23T00:00:00"/>
    <x v="46"/>
    <s v="Meetings"/>
    <n v="1"/>
    <x v="12"/>
    <s v="No"/>
    <s v="Meeting with Bern/Kate re workflow"/>
    <x v="3"/>
    <s v="Friday"/>
  </r>
  <r>
    <d v="2024-02-23T00:00:00"/>
    <x v="53"/>
    <s v="General"/>
    <n v="8.2799999999999994"/>
    <x v="12"/>
    <s v="No"/>
    <s v="training"/>
    <x v="3"/>
    <s v="Friday"/>
  </r>
  <r>
    <d v="2024-02-23T00:00:00"/>
    <x v="47"/>
    <s v="Bookkeeping"/>
    <n v="1.5"/>
    <x v="50"/>
    <s v="Yes"/>
    <s v="Rec 3TOP, Travel exp recoding"/>
    <x v="3"/>
    <s v="Friday"/>
  </r>
  <r>
    <d v="2024-02-23T00:00:00"/>
    <x v="47"/>
    <s v="General"/>
    <n v="1"/>
    <x v="12"/>
    <s v="No"/>
    <s v="Timesheet, Asana, "/>
    <x v="3"/>
    <s v="Friday"/>
  </r>
  <r>
    <d v="2024-02-23T00:00:00"/>
    <x v="48"/>
    <s v="General"/>
    <n v="1"/>
    <x v="12"/>
    <s v="No"/>
    <e v="#NAME?"/>
    <x v="3"/>
    <s v="Friday"/>
  </r>
  <r>
    <d v="2024-02-23T00:00:00"/>
    <x v="48"/>
    <s v="General"/>
    <n v="4"/>
    <x v="12"/>
    <s v="No"/>
    <e v="#NAME?"/>
    <x v="3"/>
    <s v="Friday"/>
  </r>
  <r>
    <d v="2024-02-23T00:00:00"/>
    <x v="48"/>
    <s v="HR/Recuitment"/>
    <n v="3"/>
    <x v="12"/>
    <s v="No"/>
    <s v="- resume screening - sent interview invites to applicants - reach out to AP candidates' references"/>
    <x v="3"/>
    <s v="Friday"/>
  </r>
  <r>
    <d v="2024-02-25T00:00:00"/>
    <x v="25"/>
    <s v="Out-of-Scope Services"/>
    <n v="2.5"/>
    <x v="42"/>
    <s v="No"/>
    <s v="Assist Emily with tax / reconciliation for FY23 tax return - to discuss billable with Nick"/>
    <x v="4"/>
    <s v="Sunday"/>
  </r>
  <r>
    <d v="2024-02-26T00:00:00"/>
    <x v="0"/>
    <s v="Bookkeeping"/>
    <n v="0.05"/>
    <x v="4"/>
    <s v="Yes"/>
    <s v="Email/Inbox Management"/>
    <x v="4"/>
    <s v="Monday"/>
  </r>
  <r>
    <d v="2024-02-26T00:00:00"/>
    <x v="0"/>
    <s v="Bookkeeping"/>
    <n v="7.0000000000000007E-2"/>
    <x v="2"/>
    <s v="Yes"/>
    <s v="Email"/>
    <x v="4"/>
    <s v="Monday"/>
  </r>
  <r>
    <d v="2024-02-26T00:00:00"/>
    <x v="0"/>
    <s v="Bookkeeping"/>
    <n v="0.08"/>
    <x v="5"/>
    <s v="Yes"/>
    <s v="Email"/>
    <x v="4"/>
    <s v="Monday"/>
  </r>
  <r>
    <d v="2024-02-26T00:00:00"/>
    <x v="0"/>
    <s v="Bookkeeping"/>
    <n v="0.1"/>
    <x v="19"/>
    <s v="Yes"/>
    <s v="Accounts Payable"/>
    <x v="4"/>
    <s v="Monday"/>
  </r>
  <r>
    <d v="2024-02-26T00:00:00"/>
    <x v="0"/>
    <s v="Bookkeeping"/>
    <n v="0.1"/>
    <x v="4"/>
    <s v="Yes"/>
    <s v="Bank Reconciliation"/>
    <x v="4"/>
    <s v="Monday"/>
  </r>
  <r>
    <d v="2024-02-26T00:00:00"/>
    <x v="0"/>
    <s v="Bookkeeping"/>
    <n v="0.17"/>
    <x v="19"/>
    <s v="Yes"/>
    <s v="Email/Inbox Management"/>
    <x v="4"/>
    <s v="Monday"/>
  </r>
  <r>
    <d v="2024-02-26T00:00:00"/>
    <x v="0"/>
    <s v="Bookkeeping"/>
    <n v="0.32"/>
    <x v="1"/>
    <s v="Yes"/>
    <s v="Bank Reconciliation"/>
    <x v="4"/>
    <s v="Monday"/>
  </r>
  <r>
    <d v="2024-02-26T00:00:00"/>
    <x v="0"/>
    <s v="Bookkeeping"/>
    <n v="0.4"/>
    <x v="3"/>
    <s v="Yes"/>
    <s v="Clear AP inbox and Submit bills for approval in Xero"/>
    <x v="4"/>
    <s v="Monday"/>
  </r>
  <r>
    <d v="2024-02-26T00:00:00"/>
    <x v="0"/>
    <s v="Bookkeeping"/>
    <n v="0.63"/>
    <x v="19"/>
    <s v="Yes"/>
    <s v="Enter bills in Sage"/>
    <x v="4"/>
    <s v="Monday"/>
  </r>
  <r>
    <d v="2024-02-26T00:00:00"/>
    <x v="0"/>
    <s v="Bookkeeping"/>
    <n v="0.7"/>
    <x v="6"/>
    <s v="Yes"/>
    <s v="Bank Reconciliation"/>
    <x v="4"/>
    <s v="Monday"/>
  </r>
  <r>
    <d v="2024-02-26T00:00:00"/>
    <x v="0"/>
    <s v="Bookkeeping"/>
    <n v="0.77"/>
    <x v="62"/>
    <s v="Yes"/>
    <s v="AR and AP"/>
    <x v="4"/>
    <s v="Monday"/>
  </r>
  <r>
    <d v="2024-02-26T00:00:00"/>
    <x v="0"/>
    <s v="Bookkeeping"/>
    <n v="1.03"/>
    <x v="62"/>
    <s v="Yes"/>
    <s v="Accounts Payable"/>
    <x v="4"/>
    <s v="Monday"/>
  </r>
  <r>
    <d v="2024-02-26T00:00:00"/>
    <x v="0"/>
    <s v="Bookkeeping"/>
    <n v="1.22"/>
    <x v="6"/>
    <s v="Yes"/>
    <s v="AP and Email/Inbox Management"/>
    <x v="4"/>
    <s v="Monday"/>
  </r>
  <r>
    <d v="2024-02-26T00:00:00"/>
    <x v="0"/>
    <s v="General"/>
    <n v="0.25"/>
    <x v="12"/>
    <s v="No"/>
    <s v="Afternoon Break"/>
    <x v="4"/>
    <s v="Monday"/>
  </r>
  <r>
    <d v="2024-02-26T00:00:00"/>
    <x v="0"/>
    <s v="General"/>
    <n v="0.25"/>
    <x v="12"/>
    <s v="No"/>
    <s v="Morning Break"/>
    <x v="4"/>
    <s v="Monday"/>
  </r>
  <r>
    <d v="2024-02-26T00:00:00"/>
    <x v="0"/>
    <s v="Payroll Processing"/>
    <n v="0.53"/>
    <x v="13"/>
    <s v="Yes"/>
    <s v="Prepare pay run and Set up new employee in Xero"/>
    <x v="4"/>
    <s v="Monday"/>
  </r>
  <r>
    <d v="2024-02-26T00:00:00"/>
    <x v="0"/>
    <s v="Payroll Processing"/>
    <n v="0.55000000000000004"/>
    <x v="11"/>
    <s v="Yes"/>
    <m/>
    <x v="4"/>
    <s v="Monday"/>
  </r>
  <r>
    <d v="2024-02-26T00:00:00"/>
    <x v="0"/>
    <s v="Payroll Processing"/>
    <n v="0.78"/>
    <x v="13"/>
    <s v="Yes"/>
    <m/>
    <x v="4"/>
    <s v="Monday"/>
  </r>
  <r>
    <d v="2024-02-26T00:00:00"/>
    <x v="49"/>
    <s v="P&amp;C Advisory - Group"/>
    <n v="0.57999999999999996"/>
    <x v="63"/>
    <s v="Yes"/>
    <s v="Correspondence re. LinkedIn Correspondence re. Australian Management Committee and SLAs"/>
    <x v="4"/>
    <s v="Monday"/>
  </r>
  <r>
    <d v="2024-02-26T00:00:00"/>
    <x v="49"/>
    <s v="P&amp;C Advisory - Nederman Mikropul"/>
    <n v="1"/>
    <x v="63"/>
    <s v="Yes"/>
    <s v="Calls with Accounting manager and Managing Director Draft Project Engineer and Senior Project Engineer position descriptions"/>
    <x v="4"/>
    <s v="Monday"/>
  </r>
  <r>
    <d v="2024-02-26T00:00:00"/>
    <x v="49"/>
    <s v="P&amp;C Advisory - Nederman PT"/>
    <n v="0.5"/>
    <x v="63"/>
    <s v="Yes"/>
    <s v="Call re. Sydney restructure"/>
    <x v="4"/>
    <s v="Monday"/>
  </r>
  <r>
    <d v="2024-02-26T00:00:00"/>
    <x v="49"/>
    <s v="P&amp;C Advisory - Nordfab"/>
    <n v="0.42"/>
    <x v="63"/>
    <s v="Yes"/>
    <s v="Phone screens Coordinate interviews"/>
    <x v="4"/>
    <s v="Monday"/>
  </r>
  <r>
    <d v="2024-02-26T00:00:00"/>
    <x v="1"/>
    <s v="Bookkeeping"/>
    <n v="0.48"/>
    <x v="15"/>
    <s v="Yes"/>
    <m/>
    <x v="4"/>
    <s v="Monday"/>
  </r>
  <r>
    <d v="2024-02-26T00:00:00"/>
    <x v="1"/>
    <s v="Bookkeeping"/>
    <n v="0.77"/>
    <x v="14"/>
    <s v="Yes"/>
    <m/>
    <x v="4"/>
    <s v="Monday"/>
  </r>
  <r>
    <d v="2024-02-26T00:00:00"/>
    <x v="1"/>
    <s v="General"/>
    <n v="0.38"/>
    <x v="12"/>
    <s v="No"/>
    <s v="chats re queries/concerns, check March 4-7 sched and office attendance req't, etc"/>
    <x v="4"/>
    <s v="Monday"/>
  </r>
  <r>
    <d v="2024-02-26T00:00:00"/>
    <x v="1"/>
    <s v="General"/>
    <n v="0.38"/>
    <x v="12"/>
    <s v="No"/>
    <s v="chats, emails, check Asana of all team members and follow up"/>
    <x v="4"/>
    <s v="Monday"/>
  </r>
  <r>
    <d v="2024-02-26T00:00:00"/>
    <x v="1"/>
    <s v="General"/>
    <n v="0.43"/>
    <x v="12"/>
    <s v="No"/>
    <s v="emails, chats, respond to Burn re handover process, etc"/>
    <x v="4"/>
    <s v="Monday"/>
  </r>
  <r>
    <d v="2024-02-26T00:00:00"/>
    <x v="1"/>
    <s v="General"/>
    <n v="0.63"/>
    <x v="12"/>
    <s v="No"/>
    <s v="chats re concerns/queries, coordinate tasks, confirm aribnb requirements, etc"/>
    <x v="4"/>
    <s v="Monday"/>
  </r>
  <r>
    <d v="2024-02-26T00:00:00"/>
    <x v="1"/>
    <s v="General"/>
    <n v="0.68"/>
    <x v="12"/>
    <s v="No"/>
    <s v="check XPM timesheets and check queries with directs"/>
    <x v="4"/>
    <s v="Monday"/>
  </r>
  <r>
    <d v="2024-02-26T00:00:00"/>
    <x v="1"/>
    <s v="General"/>
    <n v="0.87"/>
    <x v="12"/>
    <s v="No"/>
    <s v="break, Asana, capacity, etc"/>
    <x v="4"/>
    <s v="Monday"/>
  </r>
  <r>
    <d v="2024-02-26T00:00:00"/>
    <x v="1"/>
    <s v="General"/>
    <n v="1.25"/>
    <x v="12"/>
    <s v="No"/>
    <s v="emails, chats, fill out contact details request from Gen"/>
    <x v="4"/>
    <s v="Monday"/>
  </r>
  <r>
    <d v="2024-02-26T00:00:00"/>
    <x v="3"/>
    <s v="Business Development"/>
    <n v="8"/>
    <x v="12"/>
    <s v="No"/>
    <s v="finalizing of flow continuation of manuals"/>
    <x v="4"/>
    <s v="Monday"/>
  </r>
  <r>
    <d v="2024-02-26T00:00:00"/>
    <x v="4"/>
    <s v="Business Development"/>
    <n v="7"/>
    <x v="12"/>
    <s v="No"/>
    <m/>
    <x v="4"/>
    <s v="Monday"/>
  </r>
  <r>
    <d v="2024-02-26T00:00:00"/>
    <x v="5"/>
    <s v="Bookkeeping"/>
    <n v="1.4"/>
    <x v="16"/>
    <s v="Yes"/>
    <s v="Processing of Reimbursements"/>
    <x v="4"/>
    <s v="Monday"/>
  </r>
  <r>
    <d v="2024-02-26T00:00:00"/>
    <x v="5"/>
    <s v="Bookkeeping"/>
    <n v="1.88"/>
    <x v="16"/>
    <s v="Yes"/>
    <s v="Email Management "/>
    <x v="4"/>
    <s v="Monday"/>
  </r>
  <r>
    <d v="2024-02-26T00:00:00"/>
    <x v="5"/>
    <s v="Bookkeeping"/>
    <n v="5.22"/>
    <x v="16"/>
    <s v="Yes"/>
    <s v="Creation and review of EFT lists for this week's invoice payment"/>
    <x v="4"/>
    <s v="Monday"/>
  </r>
  <r>
    <d v="2024-02-26T00:00:00"/>
    <x v="7"/>
    <s v="Automations"/>
    <n v="11.73"/>
    <x v="12"/>
    <s v="No"/>
    <m/>
    <x v="4"/>
    <s v="Monday"/>
  </r>
  <r>
    <d v="2024-02-26T00:00:00"/>
    <x v="8"/>
    <s v="Budget - Monthly"/>
    <n v="0.02"/>
    <x v="136"/>
    <s v="No"/>
    <m/>
    <x v="4"/>
    <s v="Monday"/>
  </r>
  <r>
    <d v="2024-02-26T00:00:00"/>
    <x v="9"/>
    <s v="Automations"/>
    <n v="3"/>
    <x v="12"/>
    <s v="No"/>
    <s v="Run Marsill Automation; Run four Alliance automations + AP automation"/>
    <x v="4"/>
    <s v="Monday"/>
  </r>
  <r>
    <d v="2024-02-26T00:00:00"/>
    <x v="10"/>
    <s v="Automations"/>
    <n v="9.27"/>
    <x v="12"/>
    <s v="No"/>
    <s v="Capspace Automation Report Generation Alliance Automation Part 1 Part 2 Development"/>
    <x v="4"/>
    <s v="Monday"/>
  </r>
  <r>
    <d v="2024-02-26T00:00:00"/>
    <x v="11"/>
    <s v="Unpaid Leave"/>
    <n v="8"/>
    <x v="12"/>
    <s v="No"/>
    <s v="My kid's birthday"/>
    <x v="4"/>
    <s v="Monday"/>
  </r>
  <r>
    <d v="2024-02-26T00:00:00"/>
    <x v="12"/>
    <s v="CFO Advisory"/>
    <n v="2.5"/>
    <x v="1"/>
    <s v="Yes"/>
    <s v="Meeting with Vishal to discuss Trust Deed accounting + projects/donations accounting Make ACNC submission + advise Eli Check re: Alceon "/>
    <x v="4"/>
    <s v="Monday"/>
  </r>
  <r>
    <d v="2024-02-26T00:00:00"/>
    <x v="12"/>
    <s v="CFO001 - CFO Services"/>
    <n v="0.25"/>
    <x v="6"/>
    <s v="Yes"/>
    <s v="Emails/current status/check on mtd performance"/>
    <x v="4"/>
    <s v="Monday"/>
  </r>
  <r>
    <d v="2024-02-26T00:00:00"/>
    <x v="14"/>
    <s v="Bookkeeping"/>
    <n v="0.38"/>
    <x v="28"/>
    <s v="Yes"/>
    <s v="emails/queries/inbox"/>
    <x v="4"/>
    <s v="Monday"/>
  </r>
  <r>
    <d v="2024-02-26T00:00:00"/>
    <x v="14"/>
    <s v="General"/>
    <n v="0.25"/>
    <x v="12"/>
    <s v="No"/>
    <s v="break"/>
    <x v="4"/>
    <s v="Monday"/>
  </r>
  <r>
    <d v="2024-02-26T00:00:00"/>
    <x v="14"/>
    <s v="General"/>
    <n v="0.55000000000000004"/>
    <x v="12"/>
    <s v="No"/>
    <s v="emails/teams/Sprout/Asana"/>
    <x v="4"/>
    <s v="Monday"/>
  </r>
  <r>
    <d v="2024-02-26T00:00:00"/>
    <x v="14"/>
    <s v="Management Reporting"/>
    <n v="1.8"/>
    <x v="34"/>
    <s v="Yes"/>
    <s v="conso reports"/>
    <x v="4"/>
    <s v="Monday"/>
  </r>
  <r>
    <d v="2024-02-26T00:00:00"/>
    <x v="14"/>
    <s v="Payroll Processing"/>
    <n v="1.02"/>
    <x v="33"/>
    <s v="Yes"/>
    <s v="review"/>
    <x v="4"/>
    <s v="Monday"/>
  </r>
  <r>
    <d v="2024-02-26T00:00:00"/>
    <x v="14"/>
    <s v="Sick Leave"/>
    <n v="4"/>
    <x v="12"/>
    <s v="No"/>
    <s v="stomach bug"/>
    <x v="4"/>
    <s v="Monday"/>
  </r>
  <r>
    <d v="2024-02-26T00:00:00"/>
    <x v="15"/>
    <s v="General"/>
    <n v="10.35"/>
    <x v="12"/>
    <s v="No"/>
    <e v="#NAME?"/>
    <x v="4"/>
    <s v="Monday"/>
  </r>
  <r>
    <d v="2024-02-26T00:00:00"/>
    <x v="16"/>
    <s v="Bookkeeping"/>
    <n v="0.6"/>
    <x v="74"/>
    <s v="No"/>
    <s v="checking of recorded hand over"/>
    <x v="4"/>
    <s v="Monday"/>
  </r>
  <r>
    <d v="2024-02-26T00:00:00"/>
    <x v="16"/>
    <s v="Bookkeeping"/>
    <n v="0.77"/>
    <x v="32"/>
    <s v="Yes"/>
    <s v="bank recon AP invoices from inbox"/>
    <x v="4"/>
    <s v="Monday"/>
  </r>
  <r>
    <d v="2024-02-26T00:00:00"/>
    <x v="16"/>
    <s v="Bookkeeping"/>
    <n v="0.85"/>
    <x v="30"/>
    <s v="Yes"/>
    <s v="bank recon Approve ap invoices"/>
    <x v="4"/>
    <s v="Monday"/>
  </r>
  <r>
    <d v="2024-02-26T00:00:00"/>
    <x v="16"/>
    <s v="Bookkeeping"/>
    <n v="2.13"/>
    <x v="31"/>
    <s v="Yes"/>
    <s v="eofy"/>
    <x v="4"/>
    <s v="Monday"/>
  </r>
  <r>
    <d v="2024-02-26T00:00:00"/>
    <x v="16"/>
    <s v="Bookkeeping"/>
    <n v="2.4700000000000002"/>
    <x v="73"/>
    <s v="Yes"/>
    <s v="ap invoices"/>
    <x v="4"/>
    <s v="Monday"/>
  </r>
  <r>
    <d v="2024-02-26T00:00:00"/>
    <x v="16"/>
    <s v="Bookkeeping - AP"/>
    <n v="0.68"/>
    <x v="33"/>
    <s v="Yes"/>
    <s v="ap invoices"/>
    <x v="4"/>
    <s v="Monday"/>
  </r>
  <r>
    <d v="2024-02-26T00:00:00"/>
    <x v="16"/>
    <s v="General"/>
    <n v="0.5"/>
    <x v="12"/>
    <s v="No"/>
    <s v="break"/>
    <x v="4"/>
    <s v="Monday"/>
  </r>
  <r>
    <d v="2024-02-26T00:00:00"/>
    <x v="17"/>
    <s v="Bookkeeping"/>
    <n v="0.73"/>
    <x v="80"/>
    <s v="Yes"/>
    <s v="Bank recs"/>
    <x v="4"/>
    <s v="Monday"/>
  </r>
  <r>
    <d v="2024-02-26T00:00:00"/>
    <x v="17"/>
    <s v="Bookkeeping"/>
    <n v="0.75"/>
    <x v="35"/>
    <s v="Yes"/>
    <s v="Recording of invoices, AP payments, responding to queries"/>
    <x v="4"/>
    <s v="Monday"/>
  </r>
  <r>
    <d v="2024-02-26T00:00:00"/>
    <x v="17"/>
    <s v="Bookkeeping"/>
    <n v="1.48"/>
    <x v="35"/>
    <s v="Yes"/>
    <s v="Recording of invoices, Bank recs"/>
    <x v="4"/>
    <s v="Monday"/>
  </r>
  <r>
    <d v="2024-02-26T00:00:00"/>
    <x v="17"/>
    <s v="Bookkeeping"/>
    <n v="3.38"/>
    <x v="80"/>
    <s v="Yes"/>
    <s v="Recording of invoices"/>
    <x v="4"/>
    <s v="Monday"/>
  </r>
  <r>
    <d v="2024-02-26T00:00:00"/>
    <x v="17"/>
    <s v="Client Meeting"/>
    <n v="0.27"/>
    <x v="37"/>
    <s v="No"/>
    <s v="Process improvement call with BIT"/>
    <x v="4"/>
    <s v="Monday"/>
  </r>
  <r>
    <d v="2024-02-26T00:00:00"/>
    <x v="17"/>
    <s v="General"/>
    <n v="0.1"/>
    <x v="12"/>
    <s v="No"/>
    <s v="Updating asana"/>
    <x v="4"/>
    <s v="Monday"/>
  </r>
  <r>
    <d v="2024-02-26T00:00:00"/>
    <x v="17"/>
    <s v="Management Reporting"/>
    <n v="1.52"/>
    <x v="34"/>
    <s v="Yes"/>
    <s v="Cashflow updates"/>
    <x v="4"/>
    <s v="Monday"/>
  </r>
  <r>
    <d v="2024-02-26T00:00:00"/>
    <x v="17"/>
    <s v="Payroll Processing"/>
    <n v="0.22"/>
    <x v="37"/>
    <s v="Yes"/>
    <s v="PAYG Rec, creating new folders"/>
    <x v="4"/>
    <s v="Monday"/>
  </r>
  <r>
    <d v="2024-02-26T00:00:00"/>
    <x v="18"/>
    <s v="Bookkeeping"/>
    <n v="6.45"/>
    <x v="26"/>
    <s v="Yes"/>
    <m/>
    <x v="4"/>
    <s v="Monday"/>
  </r>
  <r>
    <d v="2024-02-26T00:00:00"/>
    <x v="18"/>
    <s v="General"/>
    <n v="0.48"/>
    <x v="12"/>
    <s v="No"/>
    <s v="emails, asana, xpm "/>
    <x v="4"/>
    <s v="Monday"/>
  </r>
  <r>
    <d v="2024-02-26T00:00:00"/>
    <x v="18"/>
    <s v="General"/>
    <n v="1.1499999999999999"/>
    <x v="12"/>
    <s v="No"/>
    <s v="answer queries in teams, chat with Sylvie, emails, check xero hq reports for recording"/>
    <x v="4"/>
    <s v="Monday"/>
  </r>
  <r>
    <d v="2024-02-26T00:00:00"/>
    <x v="19"/>
    <s v="Bookkeeping"/>
    <n v="4.8499999999999996"/>
    <x v="36"/>
    <s v="Yes"/>
    <m/>
    <x v="4"/>
    <s v="Monday"/>
  </r>
  <r>
    <d v="2024-02-26T00:00:00"/>
    <x v="19"/>
    <s v="General"/>
    <n v="0.2"/>
    <x v="12"/>
    <s v="No"/>
    <s v="Emails"/>
    <x v="4"/>
    <s v="Monday"/>
  </r>
  <r>
    <d v="2024-02-26T00:00:00"/>
    <x v="19"/>
    <s v="Payroll Processing"/>
    <n v="2.95"/>
    <x v="54"/>
    <s v="Yes"/>
    <m/>
    <x v="4"/>
    <s v="Monday"/>
  </r>
  <r>
    <d v="2024-02-26T00:00:00"/>
    <x v="20"/>
    <s v="P&amp;C Advisory"/>
    <n v="0.5"/>
    <x v="37"/>
    <s v="Yes"/>
    <s v="Mtg with Head of HR on org change"/>
    <x v="4"/>
    <s v="Monday"/>
  </r>
  <r>
    <d v="2024-02-26T00:00:00"/>
    <x v="20"/>
    <s v="P&amp;C Advisory"/>
    <n v="8.83"/>
    <x v="37"/>
    <s v="Yes"/>
    <s v="Salary reviews - market research &amp; report prep Employment relations matter - Rob Morris - planning mtg with Directro &amp; formal mtg with employee + follow up  HR Daily team huddle Onboarding mtg w/ Ops Mgr &amp; Chairman for new MD"/>
    <x v="4"/>
    <s v="Monday"/>
  </r>
  <r>
    <d v="2024-02-26T00:00:00"/>
    <x v="21"/>
    <s v="Bookkeeping"/>
    <n v="0.33"/>
    <x v="39"/>
    <s v="Yes"/>
    <s v="AP items"/>
    <x v="4"/>
    <s v="Monday"/>
  </r>
  <r>
    <d v="2024-02-26T00:00:00"/>
    <x v="21"/>
    <s v="Bookkeeping"/>
    <n v="0.4"/>
    <x v="57"/>
    <s v="Yes"/>
    <s v="ap bills, email"/>
    <x v="4"/>
    <s v="Monday"/>
  </r>
  <r>
    <d v="2024-02-26T00:00:00"/>
    <x v="21"/>
    <s v="Bookkeeping"/>
    <n v="0.42"/>
    <x v="41"/>
    <s v="Yes"/>
    <s v="ap emails sort to folders, sent queries for correct projects"/>
    <x v="4"/>
    <s v="Monday"/>
  </r>
  <r>
    <d v="2024-02-26T00:00:00"/>
    <x v="21"/>
    <s v="Bookkeeping"/>
    <n v="0.52"/>
    <x v="72"/>
    <s v="Yes"/>
    <s v="AP payments, set up new payee, bills received enterd in xero."/>
    <x v="4"/>
    <s v="Monday"/>
  </r>
  <r>
    <d v="2024-02-26T00:00:00"/>
    <x v="21"/>
    <s v="Bookkeeping"/>
    <n v="0.56999999999999995"/>
    <x v="40"/>
    <s v="Yes"/>
    <s v="ap items, bank recon"/>
    <x v="4"/>
    <s v="Monday"/>
  </r>
  <r>
    <d v="2024-02-26T00:00:00"/>
    <x v="21"/>
    <s v="Bookkeeping"/>
    <n v="0.6"/>
    <x v="72"/>
    <s v="Yes"/>
    <s v="bank recon, ap items, payroll"/>
    <x v="4"/>
    <s v="Monday"/>
  </r>
  <r>
    <d v="2024-02-26T00:00:00"/>
    <x v="21"/>
    <s v="Bookkeeping"/>
    <n v="0.77"/>
    <x v="28"/>
    <s v="Yes"/>
    <m/>
    <x v="4"/>
    <s v="Monday"/>
  </r>
  <r>
    <d v="2024-02-26T00:00:00"/>
    <x v="21"/>
    <s v="Bookkeeping"/>
    <n v="0.87"/>
    <x v="28"/>
    <s v="Yes"/>
    <s v="Dext Prep, AP Items, bank recon"/>
    <x v="4"/>
    <s v="Monday"/>
  </r>
  <r>
    <d v="2024-02-26T00:00:00"/>
    <x v="21"/>
    <s v="Bookkeeping"/>
    <n v="0.92"/>
    <x v="39"/>
    <s v="Yes"/>
    <s v="bank recon, sent items to client for AP"/>
    <x v="4"/>
    <s v="Monday"/>
  </r>
  <r>
    <d v="2024-02-26T00:00:00"/>
    <x v="21"/>
    <s v="Bookkeeping"/>
    <n v="1.03"/>
    <x v="41"/>
    <s v="Yes"/>
    <s v="hubdoc, client queries"/>
    <x v="4"/>
    <s v="Monday"/>
  </r>
  <r>
    <d v="2024-02-26T00:00:00"/>
    <x v="21"/>
    <s v="Bookkeeping"/>
    <n v="1.58"/>
    <x v="41"/>
    <s v="Yes"/>
    <s v="Invoices from procore"/>
    <x v="4"/>
    <s v="Monday"/>
  </r>
  <r>
    <d v="2024-02-26T00:00:00"/>
    <x v="22"/>
    <s v="Automations - Surefire"/>
    <n v="8"/>
    <x v="12"/>
    <s v="No"/>
    <s v="Sure Fire Automation"/>
    <x v="4"/>
    <s v="Monday"/>
  </r>
  <r>
    <d v="2024-02-26T00:00:00"/>
    <x v="23"/>
    <s v="Automations"/>
    <n v="8"/>
    <x v="12"/>
    <s v="No"/>
    <m/>
    <x v="4"/>
    <s v="Monday"/>
  </r>
  <r>
    <d v="2024-02-26T00:00:00"/>
    <x v="24"/>
    <s v="Automations"/>
    <n v="8"/>
    <x v="12"/>
    <s v="No"/>
    <s v="Run: LOC Automation Dev: PrimeBuild Payroll Processing Report"/>
    <x v="4"/>
    <s v="Monday"/>
  </r>
  <r>
    <d v="2024-02-26T00:00:00"/>
    <x v="25"/>
    <s v="Bookkeeping"/>
    <n v="0.1"/>
    <x v="25"/>
    <s v="Yes"/>
    <s v="Email to Anna re travel expenses."/>
    <x v="4"/>
    <s v="Monday"/>
  </r>
  <r>
    <d v="2024-02-26T00:00:00"/>
    <x v="25"/>
    <s v="Bookkeeping"/>
    <n v="0.13"/>
    <x v="42"/>
    <s v="Yes"/>
    <s v="Follow up on 3H dereistration with Sam"/>
    <x v="4"/>
    <s v="Monday"/>
  </r>
  <r>
    <d v="2024-02-26T00:00:00"/>
    <x v="25"/>
    <s v="Bookkeeping"/>
    <n v="0.15"/>
    <x v="22"/>
    <s v="Yes"/>
    <s v="Reporting - Oporto template queries back to Ash"/>
    <x v="4"/>
    <s v="Monday"/>
  </r>
  <r>
    <d v="2024-02-26T00:00:00"/>
    <x v="25"/>
    <s v="Bookkeeping"/>
    <n v="0.15"/>
    <x v="42"/>
    <s v="Yes"/>
    <s v="Queries with Emily , emails"/>
    <x v="4"/>
    <s v="Monday"/>
  </r>
  <r>
    <d v="2024-02-26T00:00:00"/>
    <x v="25"/>
    <s v="Bookkeeping"/>
    <n v="0.25"/>
    <x v="43"/>
    <s v="Yes"/>
    <s v="REview hubdoc and push bills, "/>
    <x v="4"/>
    <s v="Monday"/>
  </r>
  <r>
    <d v="2024-02-26T00:00:00"/>
    <x v="25"/>
    <s v="Bookkeeping"/>
    <n v="0.25"/>
    <x v="21"/>
    <s v="Yes"/>
    <s v="Oporto report update"/>
    <x v="4"/>
    <s v="Monday"/>
  </r>
  <r>
    <d v="2024-02-26T00:00:00"/>
    <x v="25"/>
    <s v="Bookkeeping"/>
    <n v="0.53"/>
    <x v="42"/>
    <s v="Yes"/>
    <s v="AP - review and load bills for payment incl icare, AGL on Bpay Amex AU load payment Review emails and respond to Lucia"/>
    <x v="4"/>
    <s v="Monday"/>
  </r>
  <r>
    <d v="2024-02-26T00:00:00"/>
    <x v="25"/>
    <s v="Bookkeeping"/>
    <n v="0.55000000000000004"/>
    <x v="25"/>
    <s v="Yes"/>
    <s v="Follow up tax queries for Emily, email Anna re contractor / employee"/>
    <x v="4"/>
    <s v="Monday"/>
  </r>
  <r>
    <d v="2024-02-26T00:00:00"/>
    <x v="25"/>
    <s v="Client Manager"/>
    <n v="7.0000000000000007E-2"/>
    <x v="44"/>
    <s v="Yes"/>
    <s v="REach out to Josh Bus re Koala Wash Group"/>
    <x v="4"/>
    <s v="Monday"/>
  </r>
  <r>
    <d v="2024-02-26T00:00:00"/>
    <x v="25"/>
    <s v="Client Manager"/>
    <n v="0.55000000000000004"/>
    <x v="122"/>
    <s v="Yes"/>
    <s v="Setup hubdoc, email bills to hubdoc Review Aurora payments Email Marianne on this."/>
    <x v="4"/>
    <s v="Monday"/>
  </r>
  <r>
    <d v="2024-02-26T00:00:00"/>
    <x v="25"/>
    <s v="Client Manager"/>
    <n v="0.57999999999999996"/>
    <x v="115"/>
    <s v="Yes"/>
    <s v="Meeting with previous bookkeeper"/>
    <x v="4"/>
    <s v="Monday"/>
  </r>
  <r>
    <d v="2024-02-26T00:00:00"/>
    <x v="25"/>
    <s v="Client Meeting"/>
    <n v="0.25"/>
    <x v="43"/>
    <s v="Yes"/>
    <s v="Meeting with Matt"/>
    <x v="4"/>
    <s v="Monday"/>
  </r>
  <r>
    <d v="2024-02-26T00:00:00"/>
    <x v="25"/>
    <s v="General"/>
    <n v="0.15"/>
    <x v="12"/>
    <s v="No"/>
    <s v="Emails, check Junk, review Asana"/>
    <x v="4"/>
    <s v="Monday"/>
  </r>
  <r>
    <d v="2024-02-26T00:00:00"/>
    <x v="25"/>
    <s v="General"/>
    <n v="0.48"/>
    <x v="12"/>
    <s v="No"/>
    <s v="Emails"/>
    <x v="4"/>
    <s v="Monday"/>
  </r>
  <r>
    <d v="2024-02-26T00:00:00"/>
    <x v="25"/>
    <s v="Meetings"/>
    <n v="1.33"/>
    <x v="12"/>
    <s v="No"/>
    <s v="Team meeting and emails, Travel from city meeting"/>
    <x v="4"/>
    <s v="Monday"/>
  </r>
  <r>
    <d v="2024-02-26T00:00:00"/>
    <x v="25"/>
    <s v="Payroll Processing"/>
    <n v="0.05"/>
    <x v="37"/>
    <s v="Yes"/>
    <s v="Emal to Andrew re pay rate audit"/>
    <x v="4"/>
    <s v="Monday"/>
  </r>
  <r>
    <d v="2024-02-26T00:00:00"/>
    <x v="25"/>
    <s v="Payroll Processing"/>
    <n v="0.13"/>
    <x v="37"/>
    <s v="Yes"/>
    <s v="Emails re Eddie Aydin claim"/>
    <x v="4"/>
    <s v="Monday"/>
  </r>
  <r>
    <d v="2024-02-26T00:00:00"/>
    <x v="25"/>
    <s v="Payroll Processing"/>
    <n v="0.17"/>
    <x v="52"/>
    <s v="Yes"/>
    <s v="Check annual rate on payslips for employee."/>
    <x v="4"/>
    <s v="Monday"/>
  </r>
  <r>
    <d v="2024-02-26T00:00:00"/>
    <x v="25"/>
    <s v="Payroll Processing"/>
    <n v="0.25"/>
    <x v="37"/>
    <s v="Yes"/>
    <s v="first 15 mins of finance team meeting, not on timesheet"/>
    <x v="4"/>
    <s v="Monday"/>
  </r>
  <r>
    <d v="2024-02-26T00:00:00"/>
    <x v="25"/>
    <s v="Payroll Processing"/>
    <n v="0.25"/>
    <x v="37"/>
    <s v="Yes"/>
    <s v="Review emails - Ronnie re Opex costs, Allison re journals"/>
    <x v="4"/>
    <s v="Monday"/>
  </r>
  <r>
    <d v="2024-02-26T00:00:00"/>
    <x v="25"/>
    <s v="Payroll Processing"/>
    <n v="0.8"/>
    <x v="37"/>
    <s v="Yes"/>
    <s v="Email to Jess re Dana Roso pay Finance team meeting "/>
    <x v="4"/>
    <s v="Monday"/>
  </r>
  <r>
    <d v="2024-02-26T00:00:00"/>
    <x v="51"/>
    <s v="Meetings"/>
    <n v="0.5"/>
    <x v="12"/>
    <s v="No"/>
    <s v="Sydney Weekly Team Catch Up - Dexterous"/>
    <x v="4"/>
    <s v="Monday"/>
  </r>
  <r>
    <d v="2024-02-26T00:00:00"/>
    <x v="51"/>
    <s v="P&amp;C Advisory - Nordfab"/>
    <n v="0.08"/>
    <x v="63"/>
    <s v="Yes"/>
    <s v="Candidate Enquiry (Harsh) - Technical Customer Service Coordinator - NSW - Nordfab - Alison"/>
    <x v="4"/>
    <s v="Monday"/>
  </r>
  <r>
    <d v="2024-02-26T00:00:00"/>
    <x v="26"/>
    <s v="Client Meeting"/>
    <n v="0.05"/>
    <x v="134"/>
    <s v="No"/>
    <s v="Checking of ATO portal"/>
    <x v="4"/>
    <s v="Monday"/>
  </r>
  <r>
    <d v="2024-02-26T00:00:00"/>
    <x v="26"/>
    <s v="Client Meeting"/>
    <n v="0.05"/>
    <x v="24"/>
    <s v="No"/>
    <s v="Attending to Queries and updating ASANA"/>
    <x v="4"/>
    <s v="Monday"/>
  </r>
  <r>
    <d v="2024-02-26T00:00:00"/>
    <x v="26"/>
    <s v="Client Meeting"/>
    <n v="0.05"/>
    <x v="21"/>
    <s v="No"/>
    <s v="Attending to Queries and updating ASANA"/>
    <x v="4"/>
    <s v="Monday"/>
  </r>
  <r>
    <d v="2024-02-26T00:00:00"/>
    <x v="26"/>
    <s v="Client Meeting"/>
    <n v="0.05"/>
    <x v="22"/>
    <s v="No"/>
    <s v="Attending to Queries and updating ASANA"/>
    <x v="4"/>
    <s v="Monday"/>
  </r>
  <r>
    <d v="2024-02-26T00:00:00"/>
    <x v="26"/>
    <s v="Client Meeting"/>
    <n v="0.05"/>
    <x v="60"/>
    <s v="No"/>
    <s v="Attending to Queries and updating ASANA"/>
    <x v="4"/>
    <s v="Monday"/>
  </r>
  <r>
    <d v="2024-02-26T00:00:00"/>
    <x v="26"/>
    <s v="Client Meeting"/>
    <n v="0.08"/>
    <x v="134"/>
    <s v="No"/>
    <s v="Attending to queries"/>
    <x v="4"/>
    <s v="Monday"/>
  </r>
  <r>
    <d v="2024-02-26T00:00:00"/>
    <x v="26"/>
    <s v="Client Meeting"/>
    <n v="0.08"/>
    <x v="133"/>
    <s v="No"/>
    <s v="Attending to queries and updating the ASANA"/>
    <x v="4"/>
    <s v="Monday"/>
  </r>
  <r>
    <d v="2024-02-26T00:00:00"/>
    <x v="26"/>
    <s v="Client Meeting"/>
    <n v="0.1"/>
    <x v="23"/>
    <s v="No"/>
    <s v="Attending to Queries and updating ASANA"/>
    <x v="4"/>
    <s v="Monday"/>
  </r>
  <r>
    <d v="2024-02-26T00:00:00"/>
    <x v="26"/>
    <s v="Client Meeting"/>
    <n v="0.12"/>
    <x v="133"/>
    <s v="No"/>
    <s v="Attending to queries"/>
    <x v="4"/>
    <s v="Monday"/>
  </r>
  <r>
    <d v="2024-02-26T00:00:00"/>
    <x v="26"/>
    <s v="Client Meeting"/>
    <n v="0.27"/>
    <x v="80"/>
    <s v="No"/>
    <s v="Responding to queries and email. "/>
    <x v="4"/>
    <s v="Monday"/>
  </r>
  <r>
    <d v="2024-02-26T00:00:00"/>
    <x v="26"/>
    <s v="Client Meeting"/>
    <n v="0.32"/>
    <x v="133"/>
    <s v="Yes"/>
    <s v="Responding to Rose email regarding client queries. "/>
    <x v="4"/>
    <s v="Monday"/>
  </r>
  <r>
    <d v="2024-02-26T00:00:00"/>
    <x v="26"/>
    <s v="General"/>
    <n v="7.0000000000000007E-2"/>
    <x v="12"/>
    <s v="No"/>
    <s v="Xpm"/>
    <x v="4"/>
    <s v="Monday"/>
  </r>
  <r>
    <d v="2024-02-26T00:00:00"/>
    <x v="26"/>
    <s v="General"/>
    <n v="0.08"/>
    <x v="12"/>
    <s v="No"/>
    <s v="Reading messages from Anne Team outing and made a payment to Aileen. "/>
    <x v="4"/>
    <s v="Monday"/>
  </r>
  <r>
    <d v="2024-02-26T00:00:00"/>
    <x v="26"/>
    <s v="General"/>
    <n v="0.08"/>
    <x v="12"/>
    <s v="No"/>
    <s v="Responding to Gen : RE: Zoho"/>
    <x v="4"/>
    <s v="Monday"/>
  </r>
  <r>
    <d v="2024-02-26T00:00:00"/>
    <x v="26"/>
    <s v="General"/>
    <n v="0.17"/>
    <x v="12"/>
    <s v="No"/>
    <s v="Attending to Gen's email"/>
    <x v="4"/>
    <s v="Monday"/>
  </r>
  <r>
    <d v="2024-02-26T00:00:00"/>
    <x v="26"/>
    <s v="General"/>
    <n v="0.25"/>
    <x v="12"/>
    <s v="No"/>
    <s v="AFTERNOON Break: 15 mins coffee breaks as paid per Labor Code of the Philippines, Article 85 "/>
    <x v="4"/>
    <s v="Monday"/>
  </r>
  <r>
    <d v="2024-02-26T00:00:00"/>
    <x v="26"/>
    <s v="General"/>
    <n v="0.25"/>
    <x v="12"/>
    <s v="No"/>
    <s v="MORNING Break: 15 mins coffee breaks as paid per Labor Code of the Philippines, Article 85.  "/>
    <x v="4"/>
    <s v="Monday"/>
  </r>
  <r>
    <d v="2024-02-26T00:00:00"/>
    <x v="26"/>
    <s v="IAS/BAS Preparation &amp; Lodgement - Nov"/>
    <n v="0.05"/>
    <x v="134"/>
    <s v="No"/>
    <s v="Updating WPS as per shalini advised"/>
    <x v="4"/>
    <s v="Monday"/>
  </r>
  <r>
    <d v="2024-02-26T00:00:00"/>
    <x v="26"/>
    <s v="IAS/BAS Preparation &amp; Lodgement - Oct"/>
    <n v="7.0000000000000007E-2"/>
    <x v="134"/>
    <s v="No"/>
    <s v="Updating WPS as per shalini advised"/>
    <x v="4"/>
    <s v="Monday"/>
  </r>
  <r>
    <d v="2024-02-26T00:00:00"/>
    <x v="26"/>
    <s v="IAS/BAS Preparation &amp; Lodgement - Oct-Dec"/>
    <n v="0.1"/>
    <x v="135"/>
    <s v="No"/>
    <m/>
    <x v="4"/>
    <s v="Monday"/>
  </r>
  <r>
    <d v="2024-02-26T00:00:00"/>
    <x v="26"/>
    <s v="IAS/BAS Preparation &amp; Lodgement - Oct-Dec"/>
    <n v="0.13"/>
    <x v="133"/>
    <s v="No"/>
    <s v="Asana, XPM and Xero updates"/>
    <x v="4"/>
    <s v="Monday"/>
  </r>
  <r>
    <d v="2024-02-26T00:00:00"/>
    <x v="26"/>
    <s v="IAS/BAS Preparation &amp; Lodgement - Oct-Dec"/>
    <n v="0.18"/>
    <x v="134"/>
    <s v="No"/>
    <s v="Nov. and Oct. 2023 WPS "/>
    <x v="4"/>
    <s v="Monday"/>
  </r>
  <r>
    <d v="2024-02-26T00:00:00"/>
    <x v="26"/>
    <s v="IAS/BAS Preparation &amp; Lodgement - Oct-Dec"/>
    <n v="0.3"/>
    <x v="133"/>
    <s v="No"/>
    <s v="Attending to queries and updating checking the WPS"/>
    <x v="4"/>
    <s v="Monday"/>
  </r>
  <r>
    <d v="2024-02-26T00:00:00"/>
    <x v="26"/>
    <s v="IAS/BAS Preparation &amp; Lodgement - Oct-Dec"/>
    <n v="0.32"/>
    <x v="133"/>
    <s v="Yes"/>
    <s v="Re Updating wps due to adjustment"/>
    <x v="4"/>
    <s v="Monday"/>
  </r>
  <r>
    <d v="2024-02-26T00:00:00"/>
    <x v="26"/>
    <s v="IAS/BAS Preparation &amp; Lodgement - Oct-Dec"/>
    <n v="0.67"/>
    <x v="25"/>
    <s v="Yes"/>
    <m/>
    <x v="4"/>
    <s v="Monday"/>
  </r>
  <r>
    <d v="2024-02-26T00:00:00"/>
    <x v="26"/>
    <s v="IAS/BAS Preparation &amp; Lodgement - Oct-Dec"/>
    <n v="0.75"/>
    <x v="47"/>
    <s v="No"/>
    <s v="Attending to Queries, Chat with Lindsay, compost email and give a resolution. Searching email if they have previous instruction. Updating Asana, Checking ATO portal from previous. Checking if they already have CTR, Retretreving history and other adhoc"/>
    <x v="4"/>
    <s v="Monday"/>
  </r>
  <r>
    <d v="2024-02-26T00:00:00"/>
    <x v="26"/>
    <s v="IAS/BAS Preparation &amp; Lodgement - Oct-Dec"/>
    <n v="1.6"/>
    <x v="135"/>
    <s v="Yes"/>
    <s v="BAS"/>
    <x v="4"/>
    <s v="Monday"/>
  </r>
  <r>
    <d v="2024-02-26T00:00:00"/>
    <x v="26"/>
    <s v="Learning &amp; Development"/>
    <n v="0.57999999999999996"/>
    <x v="12"/>
    <s v="No"/>
    <s v="Refreshing knowledge, Searching ATO rules regarding Trading entities and what is the GST impact. "/>
    <x v="4"/>
    <s v="Monday"/>
  </r>
  <r>
    <d v="2024-02-26T00:00:00"/>
    <x v="26"/>
    <s v="Meetings"/>
    <n v="0.13"/>
    <x v="12"/>
    <s v="No"/>
    <s v="Meeting with Gen ( Zoho )"/>
    <x v="4"/>
    <s v="Monday"/>
  </r>
  <r>
    <d v="2024-02-26T00:00:00"/>
    <x v="26"/>
    <s v="Meetings"/>
    <n v="0.17"/>
    <x v="12"/>
    <s v="No"/>
    <s v="Meeting with Aileen RE; Anne's team outing"/>
    <x v="4"/>
    <s v="Monday"/>
  </r>
  <r>
    <d v="2024-02-26T00:00:00"/>
    <x v="26"/>
    <s v="Meetings"/>
    <n v="0.22"/>
    <x v="12"/>
    <s v="No"/>
    <s v="Mariecon's farewell party plan"/>
    <x v="4"/>
    <s v="Monday"/>
  </r>
  <r>
    <d v="2024-02-26T00:00:00"/>
    <x v="26"/>
    <s v="Meetings"/>
    <n v="0.32"/>
    <x v="12"/>
    <s v="No"/>
    <s v="BAS/IAS concern and meeting"/>
    <x v="4"/>
    <s v="Monday"/>
  </r>
  <r>
    <d v="2024-02-26T00:00:00"/>
    <x v="26"/>
    <s v="Tax Admin"/>
    <n v="0.38"/>
    <x v="12"/>
    <s v="No"/>
    <s v="Out to sign reports and updating ASANA &amp; XPM. checking CM and BK."/>
    <x v="4"/>
    <s v="Monday"/>
  </r>
  <r>
    <d v="2024-02-26T00:00:00"/>
    <x v="27"/>
    <s v="HR/Recuitment"/>
    <n v="0.75"/>
    <x v="12"/>
    <s v="No"/>
    <s v="Recruitment for HR Advisory.  Reviewing resumes on Seek and shortlisting candidates."/>
    <x v="4"/>
    <s v="Monday"/>
  </r>
  <r>
    <d v="2024-02-26T00:00:00"/>
    <x v="27"/>
    <s v="Meetings"/>
    <n v="0.25"/>
    <x v="12"/>
    <s v="No"/>
    <s v="Team meeting"/>
    <x v="4"/>
    <s v="Monday"/>
  </r>
  <r>
    <d v="2024-02-26T00:00:00"/>
    <x v="27"/>
    <s v="P&amp;C Advisory"/>
    <n v="7"/>
    <x v="19"/>
    <s v="Yes"/>
    <s v="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
    <x v="4"/>
    <s v="Monday"/>
  </r>
  <r>
    <d v="2024-02-26T00:00:00"/>
    <x v="28"/>
    <s v="Bookkeeping"/>
    <n v="0.68"/>
    <x v="17"/>
    <s v="Yes"/>
    <m/>
    <x v="4"/>
    <s v="Monday"/>
  </r>
  <r>
    <d v="2024-02-26T00:00:00"/>
    <x v="28"/>
    <s v="Bookkeeping"/>
    <n v="7.32"/>
    <x v="16"/>
    <s v="Yes"/>
    <m/>
    <x v="4"/>
    <s v="Monday"/>
  </r>
  <r>
    <d v="2024-02-26T00:00:00"/>
    <x v="28"/>
    <s v="Payroll Processing"/>
    <n v="0.2"/>
    <x v="17"/>
    <s v="Yes"/>
    <m/>
    <x v="4"/>
    <s v="Monday"/>
  </r>
  <r>
    <d v="2024-02-26T00:00:00"/>
    <x v="29"/>
    <s v="Bookkeeping"/>
    <n v="0.5"/>
    <x v="49"/>
    <s v="Yes"/>
    <s v="Review GIC letter Emails to Daniel on Balance Sheet  Emails to LM on BAS update for sole trader"/>
    <x v="4"/>
    <s v="Monday"/>
  </r>
  <r>
    <d v="2024-02-26T00:00:00"/>
    <x v="30"/>
    <s v="Adhoc Support &amp; Advice"/>
    <n v="1.5"/>
    <x v="16"/>
    <s v="No"/>
    <s v="Recon and email clean up"/>
    <x v="4"/>
    <s v="Monday"/>
  </r>
  <r>
    <d v="2024-02-26T00:00:00"/>
    <x v="30"/>
    <s v="Debt Collection"/>
    <n v="2"/>
    <x v="12"/>
    <s v="No"/>
    <m/>
    <x v="4"/>
    <s v="Monday"/>
  </r>
  <r>
    <d v="2024-02-26T00:00:00"/>
    <x v="30"/>
    <s v="Debt Collection"/>
    <n v="4"/>
    <x v="16"/>
    <s v="Yes"/>
    <m/>
    <x v="4"/>
    <s v="Monday"/>
  </r>
  <r>
    <d v="2024-02-26T00:00:00"/>
    <x v="30"/>
    <s v="General"/>
    <n v="0.5"/>
    <x v="12"/>
    <s v="No"/>
    <s v="break"/>
    <x v="4"/>
    <s v="Monday"/>
  </r>
  <r>
    <d v="2024-02-26T00:00:00"/>
    <x v="31"/>
    <s v="Bookkeeping"/>
    <n v="0.28000000000000003"/>
    <x v="16"/>
    <s v="Yes"/>
    <s v="AP"/>
    <x v="4"/>
    <s v="Monday"/>
  </r>
  <r>
    <d v="2024-02-26T00:00:00"/>
    <x v="31"/>
    <s v="Bookkeeping"/>
    <n v="2.93"/>
    <x v="16"/>
    <s v="Yes"/>
    <s v="AP Review"/>
    <x v="4"/>
    <s v="Monday"/>
  </r>
  <r>
    <d v="2024-02-26T00:00:00"/>
    <x v="31"/>
    <s v="Client Meeting"/>
    <n v="0.37"/>
    <x v="16"/>
    <s v="Yes"/>
    <s v="emails"/>
    <x v="4"/>
    <s v="Monday"/>
  </r>
  <r>
    <d v="2024-02-26T00:00:00"/>
    <x v="31"/>
    <s v="General"/>
    <n v="0.87"/>
    <x v="12"/>
    <s v="No"/>
    <s v="handover file"/>
    <x v="4"/>
    <s v="Monday"/>
  </r>
  <r>
    <d v="2024-02-26T00:00:00"/>
    <x v="31"/>
    <s v="General"/>
    <n v="1.02"/>
    <x v="12"/>
    <s v="No"/>
    <s v="call with Angel / Aranas refund"/>
    <x v="4"/>
    <s v="Monday"/>
  </r>
  <r>
    <d v="2024-02-26T00:00:00"/>
    <x v="31"/>
    <s v="Management Reporting"/>
    <n v="2.5299999999999998"/>
    <x v="16"/>
    <s v="Yes"/>
    <s v="CF / emails / weekly call with James / hand over Sherly"/>
    <x v="4"/>
    <s v="Monday"/>
  </r>
  <r>
    <d v="2024-02-26T00:00:00"/>
    <x v="32"/>
    <s v="Bookkeeping"/>
    <n v="1.88"/>
    <x v="51"/>
    <s v="Yes"/>
    <s v="Bills raise to xero Approving sales to a2x Bank reconciliation LOC INC and BM Payroll uploading to CBA"/>
    <x v="4"/>
    <s v="Monday"/>
  </r>
  <r>
    <d v="2024-02-26T00:00:00"/>
    <x v="32"/>
    <s v="Bookkeeping"/>
    <n v="2.73"/>
    <x v="51"/>
    <s v="Yes"/>
    <s v="Email management  Bills raise to Xero Bank Reconciliation BM"/>
    <x v="4"/>
    <s v="Monday"/>
  </r>
  <r>
    <d v="2024-02-26T00:00:00"/>
    <x v="32"/>
    <s v="General"/>
    <n v="0.5"/>
    <x v="12"/>
    <s v="No"/>
    <s v="Break"/>
    <x v="4"/>
    <s v="Monday"/>
  </r>
  <r>
    <d v="2024-02-26T00:00:00"/>
    <x v="32"/>
    <s v="Learning &amp; Development"/>
    <n v="1.2"/>
    <x v="12"/>
    <s v="No"/>
    <s v="Topic 7.5 - Aged Payables Report Topic 7.6 - Aged Receivables Report Topic 7.7 -Preparing Cash Flow Forecast"/>
    <x v="4"/>
    <s v="Monday"/>
  </r>
  <r>
    <d v="2024-02-26T00:00:00"/>
    <x v="32"/>
    <s v="Meetings"/>
    <n v="0.12"/>
    <x v="12"/>
    <s v="No"/>
    <s v="5th Month evaluation. finalization catch up with TL Ralph"/>
    <x v="4"/>
    <s v="Monday"/>
  </r>
  <r>
    <d v="2024-02-26T00:00:00"/>
    <x v="32"/>
    <s v="Payroll Processing"/>
    <n v="1.57"/>
    <x v="51"/>
    <s v="Yes"/>
    <s v="Checking Employee list vs. Payrun (XERO) Process Payroll and prepared employee report summary for approval. "/>
    <x v="4"/>
    <s v="Monday"/>
  </r>
  <r>
    <d v="2024-02-26T00:00:00"/>
    <x v="33"/>
    <s v="IT"/>
    <n v="9"/>
    <x v="12"/>
    <s v="No"/>
    <s v="Security and Support with the team"/>
    <x v="4"/>
    <s v="Monday"/>
  </r>
  <r>
    <d v="2024-02-26T00:00:00"/>
    <x v="34"/>
    <s v="Bookkeeping"/>
    <n v="0.56999999999999995"/>
    <x v="52"/>
    <s v="Yes"/>
    <s v="Email Management Bills Processing"/>
    <x v="4"/>
    <s v="Monday"/>
  </r>
  <r>
    <d v="2024-02-26T00:00:00"/>
    <x v="34"/>
    <s v="Bookkeeping"/>
    <n v="1.32"/>
    <x v="6"/>
    <s v="Yes"/>
    <m/>
    <x v="4"/>
    <s v="Monday"/>
  </r>
  <r>
    <d v="2024-02-26T00:00:00"/>
    <x v="34"/>
    <s v="Bookkeeping"/>
    <n v="2.48"/>
    <x v="15"/>
    <s v="Yes"/>
    <s v="Email Management Bills Processing Bank and Credit Card Recon Invoice Processing"/>
    <x v="4"/>
    <s v="Monday"/>
  </r>
  <r>
    <d v="2024-02-26T00:00:00"/>
    <x v="34"/>
    <s v="Bookkeeping"/>
    <n v="2.5299999999999998"/>
    <x v="6"/>
    <s v="Yes"/>
    <s v="Balance Sheet Recon   Prepayment Schedule recon "/>
    <x v="4"/>
    <s v="Monday"/>
  </r>
  <r>
    <d v="2024-02-26T00:00:00"/>
    <x v="34"/>
    <s v="General"/>
    <n v="1.1499999999999999"/>
    <x v="12"/>
    <s v="No"/>
    <s v="Email Management Asana Task Clean Up"/>
    <x v="4"/>
    <s v="Monday"/>
  </r>
  <r>
    <d v="2024-02-26T00:00:00"/>
    <x v="35"/>
    <s v="Accounts"/>
    <n v="1.82"/>
    <x v="12"/>
    <s v="No"/>
    <s v="Process  bills, update banks. Coordinate invoices for approval. Catch up emails and respond. Ezidebit checking and updates."/>
    <x v="4"/>
    <s v="Monday"/>
  </r>
  <r>
    <d v="2024-02-26T00:00:00"/>
    <x v="35"/>
    <s v="Accounts"/>
    <n v="1.88"/>
    <x v="12"/>
    <s v="No"/>
    <s v="Additional invoicing based on Asana tasks and other repeating templates setup. Catch up again all remaining emails and respond."/>
    <x v="4"/>
    <s v="Monday"/>
  </r>
  <r>
    <d v="2024-02-26T00:00:00"/>
    <x v="35"/>
    <s v="Accounts"/>
    <n v="4.68"/>
    <x v="12"/>
    <s v="No"/>
    <s v="Invoicing, preparation of TS and full coordination on details of invoicing."/>
    <x v="4"/>
    <s v="Monday"/>
  </r>
  <r>
    <d v="2024-02-26T00:00:00"/>
    <x v="35"/>
    <s v="Compliance"/>
    <n v="1.77"/>
    <x v="53"/>
    <s v="No"/>
    <s v="Alphalist checking and esubmission of Alphalist for BIR 1604E both for RO and Branch"/>
    <x v="4"/>
    <s v="Monday"/>
  </r>
  <r>
    <d v="2024-02-26T00:00:00"/>
    <x v="36"/>
    <s v="Web"/>
    <n v="10"/>
    <x v="12"/>
    <s v="No"/>
    <s v="🐌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x v="4"/>
    <s v="Monday"/>
  </r>
  <r>
    <d v="2024-02-26T00:00:00"/>
    <x v="37"/>
    <s v="Bookkeeping"/>
    <n v="0.25"/>
    <x v="83"/>
    <s v="Yes"/>
    <m/>
    <x v="4"/>
    <s v="Monday"/>
  </r>
  <r>
    <d v="2024-02-26T00:00:00"/>
    <x v="37"/>
    <s v="Bookkeeping"/>
    <n v="0.5"/>
    <x v="59"/>
    <s v="Yes"/>
    <m/>
    <x v="4"/>
    <s v="Monday"/>
  </r>
  <r>
    <d v="2024-02-26T00:00:00"/>
    <x v="37"/>
    <s v="Bookkeeping"/>
    <n v="1.5"/>
    <x v="85"/>
    <s v="Yes"/>
    <m/>
    <x v="4"/>
    <s v="Monday"/>
  </r>
  <r>
    <d v="2024-02-26T00:00:00"/>
    <x v="37"/>
    <s v="Bookkeeping"/>
    <n v="2.5"/>
    <x v="19"/>
    <s v="Yes"/>
    <m/>
    <x v="4"/>
    <s v="Monday"/>
  </r>
  <r>
    <d v="2024-02-26T00:00:00"/>
    <x v="37"/>
    <s v="General"/>
    <n v="0.25"/>
    <x v="12"/>
    <s v="No"/>
    <s v="logins/teams chat/asana/internal emails"/>
    <x v="4"/>
    <s v="Monday"/>
  </r>
  <r>
    <d v="2024-02-26T00:00:00"/>
    <x v="37"/>
    <s v="Payroll Processing"/>
    <n v="0.5"/>
    <x v="86"/>
    <s v="Yes"/>
    <m/>
    <x v="4"/>
    <s v="Monday"/>
  </r>
  <r>
    <d v="2024-02-26T00:00:00"/>
    <x v="38"/>
    <s v="Client Manager"/>
    <n v="0.05"/>
    <x v="46"/>
    <s v="Yes"/>
    <s v="emails"/>
    <x v="4"/>
    <s v="Monday"/>
  </r>
  <r>
    <d v="2024-02-26T00:00:00"/>
    <x v="38"/>
    <s v="Client Manager"/>
    <n v="0.05"/>
    <x v="2"/>
    <s v="Yes"/>
    <s v="emails"/>
    <x v="4"/>
    <s v="Monday"/>
  </r>
  <r>
    <d v="2024-02-26T00:00:00"/>
    <x v="38"/>
    <s v="Client Manager"/>
    <n v="0.1"/>
    <x v="113"/>
    <s v="Yes"/>
    <s v="emails"/>
    <x v="4"/>
    <s v="Monday"/>
  </r>
  <r>
    <d v="2024-02-26T00:00:00"/>
    <x v="38"/>
    <s v="Client Manager"/>
    <n v="0.3"/>
    <x v="2"/>
    <s v="No"/>
    <s v="Meeting with Carly on sales advisor"/>
    <x v="4"/>
    <s v="Monday"/>
  </r>
  <r>
    <d v="2024-02-26T00:00:00"/>
    <x v="38"/>
    <s v="Client Manager"/>
    <n v="0.33"/>
    <x v="54"/>
    <s v="Yes"/>
    <s v="Call with Rodrigo regarding sales advisor"/>
    <x v="4"/>
    <s v="Monday"/>
  </r>
  <r>
    <d v="2024-02-26T00:00:00"/>
    <x v="38"/>
    <s v="Client Manager"/>
    <n v="0.37"/>
    <x v="46"/>
    <s v="No"/>
    <s v="access to email, review of process, Asana"/>
    <x v="4"/>
    <s v="Monday"/>
  </r>
  <r>
    <d v="2024-02-26T00:00:00"/>
    <x v="38"/>
    <s v="Client Manager"/>
    <n v="0.5"/>
    <x v="54"/>
    <s v="Yes"/>
    <s v="emails"/>
    <x v="4"/>
    <s v="Monday"/>
  </r>
  <r>
    <d v="2024-02-26T00:00:00"/>
    <x v="38"/>
    <s v="Client Manager"/>
    <n v="0.85"/>
    <x v="2"/>
    <s v="No"/>
    <s v="Asana follow ups Levies procedure review of invoice"/>
    <x v="4"/>
    <s v="Monday"/>
  </r>
  <r>
    <d v="2024-02-26T00:00:00"/>
    <x v="38"/>
    <s v="General"/>
    <n v="3.08"/>
    <x v="12"/>
    <s v="No"/>
    <s v="emails, teams, Asana"/>
    <x v="4"/>
    <s v="Monday"/>
  </r>
  <r>
    <d v="2024-02-26T00:00:00"/>
    <x v="38"/>
    <s v="Meetings"/>
    <n v="0.17"/>
    <x v="12"/>
    <s v="No"/>
    <s v="Sydney weekly meeting"/>
    <x v="4"/>
    <s v="Monday"/>
  </r>
  <r>
    <d v="2024-02-26T00:00:00"/>
    <x v="39"/>
    <s v="Bookkeeping"/>
    <n v="0.08"/>
    <x v="14"/>
    <s v="Yes"/>
    <s v="email"/>
    <x v="4"/>
    <s v="Monday"/>
  </r>
  <r>
    <d v="2024-02-26T00:00:00"/>
    <x v="39"/>
    <s v="Bookkeeping"/>
    <n v="0.1"/>
    <x v="30"/>
    <s v="Yes"/>
    <m/>
    <x v="4"/>
    <s v="Monday"/>
  </r>
  <r>
    <d v="2024-02-26T00:00:00"/>
    <x v="39"/>
    <s v="Bookkeeping"/>
    <n v="0.65"/>
    <x v="55"/>
    <s v="Yes"/>
    <s v="FIles, email"/>
    <x v="4"/>
    <s v="Monday"/>
  </r>
  <r>
    <d v="2024-02-26T00:00:00"/>
    <x v="39"/>
    <s v="Bookkeeping"/>
    <n v="0.77"/>
    <x v="14"/>
    <s v="Yes"/>
    <s v="email, AR"/>
    <x v="4"/>
    <s v="Monday"/>
  </r>
  <r>
    <d v="2024-02-26T00:00:00"/>
    <x v="39"/>
    <s v="Bookkeeping"/>
    <n v="1.97"/>
    <x v="55"/>
    <s v="Yes"/>
    <s v="email, Files"/>
    <x v="4"/>
    <s v="Monday"/>
  </r>
  <r>
    <d v="2024-02-26T00:00:00"/>
    <x v="39"/>
    <s v="Client Meeting"/>
    <n v="0.95"/>
    <x v="55"/>
    <s v="Yes"/>
    <s v="call with Silvana re iCare update payments queries"/>
    <x v="4"/>
    <s v="Monday"/>
  </r>
  <r>
    <d v="2024-02-26T00:00:00"/>
    <x v="39"/>
    <s v="General"/>
    <n v="0.2"/>
    <x v="12"/>
    <s v="No"/>
    <s v="email, teams"/>
    <x v="4"/>
    <s v="Monday"/>
  </r>
  <r>
    <d v="2024-02-26T00:00:00"/>
    <x v="39"/>
    <s v="Payroll Processing"/>
    <n v="3.28"/>
    <x v="33"/>
    <s v="Yes"/>
    <m/>
    <x v="4"/>
    <s v="Monday"/>
  </r>
  <r>
    <d v="2024-02-26T00:00:00"/>
    <x v="40"/>
    <s v="Bookkeeping"/>
    <n v="2.4"/>
    <x v="50"/>
    <s v="Yes"/>
    <s v="Bank reconciliation "/>
    <x v="4"/>
    <s v="Monday"/>
  </r>
  <r>
    <d v="2024-02-26T00:00:00"/>
    <x v="40"/>
    <s v="Bookkeeping"/>
    <n v="2.85"/>
    <x v="36"/>
    <s v="Yes"/>
    <m/>
    <x v="4"/>
    <s v="Monday"/>
  </r>
  <r>
    <d v="2024-02-26T00:00:00"/>
    <x v="40"/>
    <s v="Sick Leave"/>
    <n v="4"/>
    <x v="12"/>
    <s v="No"/>
    <m/>
    <x v="4"/>
    <s v="Monday"/>
  </r>
  <r>
    <d v="2024-02-26T00:00:00"/>
    <x v="41"/>
    <s v="General"/>
    <n v="0.37"/>
    <x v="12"/>
    <s v="No"/>
    <s v="5th month eval discussion with Maan"/>
    <x v="4"/>
    <s v="Monday"/>
  </r>
  <r>
    <d v="2024-02-26T00:00:00"/>
    <x v="41"/>
    <s v="General"/>
    <n v="0.62"/>
    <x v="12"/>
    <s v="No"/>
    <s v="Weekly billable reporting including review and follow up"/>
    <x v="4"/>
    <s v="Monday"/>
  </r>
  <r>
    <d v="2024-02-26T00:00:00"/>
    <x v="41"/>
    <s v="General"/>
    <n v="2.1800000000000002"/>
    <x v="12"/>
    <s v="No"/>
    <s v="Update consolidate group analysis update weekly billable per Nick Arrange team logistics for AU team visit next week"/>
    <x v="4"/>
    <s v="Monday"/>
  </r>
  <r>
    <d v="2024-02-26T00:00:00"/>
    <x v="41"/>
    <s v="General"/>
    <n v="4.88"/>
    <x v="12"/>
    <s v="No"/>
    <s v="Admin - emails, Asana, quickbooks cert, team logistics for visit, handover plan for Rose resigning, discussion with Admin on schedules, provide Admin request of accountants data"/>
    <x v="4"/>
    <s v="Monday"/>
  </r>
  <r>
    <d v="2024-02-26T00:00:00"/>
    <x v="41"/>
    <s v="Meetings"/>
    <n v="0.32"/>
    <x v="12"/>
    <s v="No"/>
    <s v="Call with Rose"/>
    <x v="4"/>
    <s v="Monday"/>
  </r>
  <r>
    <d v="2024-02-26T00:00:00"/>
    <x v="42"/>
    <s v="Sick Leave"/>
    <n v="8"/>
    <x v="12"/>
    <s v="No"/>
    <m/>
    <x v="4"/>
    <s v="Monday"/>
  </r>
  <r>
    <d v="2024-02-26T00:00:00"/>
    <x v="43"/>
    <s v="Bookkeeping"/>
    <n v="0.22"/>
    <x v="32"/>
    <s v="Yes"/>
    <s v="Message with Gerardo re IAS payment and payment plan, asked Ms Gen to check if payment plan defaulted"/>
    <x v="4"/>
    <s v="Monday"/>
  </r>
  <r>
    <d v="2024-02-26T00:00:00"/>
    <x v="43"/>
    <s v="Bookkeeping"/>
    <n v="0.38"/>
    <x v="74"/>
    <s v="Yes"/>
    <s v="Entering bills and checking statements"/>
    <x v="4"/>
    <s v="Monday"/>
  </r>
  <r>
    <d v="2024-02-26T00:00:00"/>
    <x v="43"/>
    <s v="Bookkeeping"/>
    <n v="0.56999999999999995"/>
    <x v="75"/>
    <s v="Yes"/>
    <s v="Entering bills and checking statements"/>
    <x v="4"/>
    <s v="Monday"/>
  </r>
  <r>
    <d v="2024-02-26T00:00:00"/>
    <x v="43"/>
    <s v="Bookkeeping"/>
    <n v="0.57999999999999996"/>
    <x v="73"/>
    <s v="Yes"/>
    <s v="Entering bills and checking statements"/>
    <x v="4"/>
    <s v="Monday"/>
  </r>
  <r>
    <d v="2024-02-26T00:00:00"/>
    <x v="43"/>
    <s v="General"/>
    <n v="0.48"/>
    <x v="12"/>
    <s v="No"/>
    <s v="Morning emails and teams messages, update Asana"/>
    <x v="4"/>
    <s v="Monday"/>
  </r>
  <r>
    <d v="2024-02-26T00:00:00"/>
    <x v="43"/>
    <s v="General"/>
    <n v="0.5"/>
    <x v="12"/>
    <s v="No"/>
    <s v="Break"/>
    <x v="4"/>
    <s v="Monday"/>
  </r>
  <r>
    <d v="2024-02-26T00:00:00"/>
    <x v="43"/>
    <s v="IAS/BAS Preparation &amp; Lodgement - Oct-Dec"/>
    <n v="0.28000000000000003"/>
    <x v="89"/>
    <s v="Yes"/>
    <s v="Query from client re GST on purchases for Port Stephens, discuss with LM"/>
    <x v="4"/>
    <s v="Monday"/>
  </r>
  <r>
    <d v="2024-02-26T00:00:00"/>
    <x v="43"/>
    <s v="IAS/BAS Preparation &amp; Lodgement - Oct-Dec"/>
    <n v="0.37"/>
    <x v="89"/>
    <s v="Yes"/>
    <s v="Email Kiara re land tax recoding to GST free, re-code transactions in Xero and re-assign to LM"/>
    <x v="4"/>
    <s v="Monday"/>
  </r>
  <r>
    <d v="2024-02-26T00:00:00"/>
    <x v="43"/>
    <s v="Meetings"/>
    <n v="1.7"/>
    <x v="12"/>
    <s v="No"/>
    <s v="Various catch ups"/>
    <x v="4"/>
    <s v="Monday"/>
  </r>
  <r>
    <d v="2024-02-26T00:00:00"/>
    <x v="43"/>
    <s v="Payroll Processing"/>
    <n v="7.0000000000000007E-2"/>
    <x v="72"/>
    <s v="Yes"/>
    <s v="Load payroll payments"/>
    <x v="4"/>
    <s v="Monday"/>
  </r>
  <r>
    <d v="2024-02-26T00:00:00"/>
    <x v="43"/>
    <s v="Payroll Processing"/>
    <n v="0.2"/>
    <x v="37"/>
    <s v="Yes"/>
    <s v="Re-upload payroll journals"/>
    <x v="4"/>
    <s v="Monday"/>
  </r>
  <r>
    <d v="2024-02-26T00:00:00"/>
    <x v="43"/>
    <s v="Payroll Processing"/>
    <n v="0.32"/>
    <x v="37"/>
    <s v="Yes"/>
    <s v="Action payroll emails"/>
    <x v="4"/>
    <s v="Monday"/>
  </r>
  <r>
    <d v="2024-02-26T00:00:00"/>
    <x v="43"/>
    <s v="Payroll Processing"/>
    <n v="0.45"/>
    <x v="54"/>
    <s v="Yes"/>
    <s v="Payroll review"/>
    <x v="4"/>
    <s v="Monday"/>
  </r>
  <r>
    <d v="2024-02-26T00:00:00"/>
    <x v="43"/>
    <s v="Payroll Processing"/>
    <n v="0.52"/>
    <x v="37"/>
    <s v="Yes"/>
    <s v="Eddie Aydin - Weekly Payment Reimbursement Request"/>
    <x v="4"/>
    <s v="Monday"/>
  </r>
  <r>
    <d v="2024-02-26T00:00:00"/>
    <x v="43"/>
    <s v="Payroll Processing"/>
    <n v="0.62"/>
    <x v="37"/>
    <s v="Yes"/>
    <s v="Check payroll journals issue Allison emailed, re-send the journals as attachment instead of sharepoint link"/>
    <x v="4"/>
    <s v="Monday"/>
  </r>
  <r>
    <d v="2024-02-26T00:00:00"/>
    <x v="43"/>
    <s v="Payroll Processing"/>
    <n v="0.75"/>
    <x v="51"/>
    <s v="Yes"/>
    <s v="Payroll review, call with Maan re payroll adjustments"/>
    <x v="4"/>
    <s v="Monday"/>
  </r>
  <r>
    <d v="2024-02-26T00:00:00"/>
    <x v="45"/>
    <s v="Bookkeeping"/>
    <n v="0.55000000000000004"/>
    <x v="57"/>
    <s v="Yes"/>
    <s v="Upload payments in Westpac"/>
    <x v="4"/>
    <s v="Monday"/>
  </r>
  <r>
    <d v="2024-02-26T00:00:00"/>
    <x v="45"/>
    <s v="Bookkeeping"/>
    <n v="0.83"/>
    <x v="57"/>
    <s v="Yes"/>
    <s v="Manage AP and cashflow"/>
    <x v="4"/>
    <s v="Monday"/>
  </r>
  <r>
    <d v="2024-02-26T00:00:00"/>
    <x v="45"/>
    <s v="Bookkeeping"/>
    <n v="1.58"/>
    <x v="57"/>
    <s v="Yes"/>
    <s v="Update cashflow AP and bank rec review Upload payments in the bank"/>
    <x v="4"/>
    <s v="Monday"/>
  </r>
  <r>
    <d v="2024-02-26T00:00:00"/>
    <x v="45"/>
    <s v="Bookkeeping"/>
    <n v="1.68"/>
    <x v="50"/>
    <s v="Yes"/>
    <s v="Inbox mgmt Post bills Recode transactions "/>
    <x v="4"/>
    <s v="Monday"/>
  </r>
  <r>
    <d v="2024-02-26T00:00:00"/>
    <x v="45"/>
    <s v="Bookkeeping"/>
    <n v="1.82"/>
    <x v="50"/>
    <s v="Yes"/>
    <s v="Inbox mgmt Import bank transactions to Xero"/>
    <x v="4"/>
    <s v="Monday"/>
  </r>
  <r>
    <d v="2024-02-26T00:00:00"/>
    <x v="45"/>
    <s v="Client Meeting"/>
    <n v="0.62"/>
    <x v="57"/>
    <s v="Yes"/>
    <s v="Catch up with Ish"/>
    <x v="4"/>
    <s v="Monday"/>
  </r>
  <r>
    <d v="2024-02-26T00:00:00"/>
    <x v="45"/>
    <s v="General"/>
    <n v="0.08"/>
    <x v="12"/>
    <s v="No"/>
    <s v="Spaceful timesheet and invoice review"/>
    <x v="4"/>
    <s v="Monday"/>
  </r>
  <r>
    <d v="2024-02-26T00:00:00"/>
    <x v="45"/>
    <s v="General"/>
    <n v="0.5"/>
    <x v="12"/>
    <s v="No"/>
    <s v="Paid break"/>
    <x v="4"/>
    <s v="Monday"/>
  </r>
  <r>
    <d v="2024-02-26T00:00:00"/>
    <x v="45"/>
    <s v="Payroll Processing"/>
    <n v="0.38"/>
    <x v="58"/>
    <s v="Yes"/>
    <m/>
    <x v="4"/>
    <s v="Monday"/>
  </r>
  <r>
    <d v="2024-02-26T00:00:00"/>
    <x v="46"/>
    <s v="Client Manager"/>
    <n v="0.5"/>
    <x v="50"/>
    <s v="No"/>
    <s v="Discussion with Nick/Sylvie re GST/ABN cancellation, action plan etc. Follow up with Sylvie re the plan"/>
    <x v="4"/>
    <s v="Monday"/>
  </r>
  <r>
    <d v="2024-02-26T00:00:00"/>
    <x v="46"/>
    <s v="Client Manager"/>
    <n v="0.75"/>
    <x v="72"/>
    <s v="Yes"/>
    <s v="Attend to email from Rose re payment to Trust account, ATO ICA balance. Login to portal to review same, send email to Rose to liaise further with client"/>
    <x v="4"/>
    <s v="Monday"/>
  </r>
  <r>
    <d v="2024-02-26T00:00:00"/>
    <x v="46"/>
    <s v="Client Manager"/>
    <n v="1"/>
    <x v="57"/>
    <s v="Yes"/>
    <s v="Teams meeting with Ish/Philippa and Sarah to discuss AMEX balance, CF etc. Need to follow up with BOQ re Overdraft facility"/>
    <x v="4"/>
    <s v="Monday"/>
  </r>
  <r>
    <d v="2024-02-26T00:00:00"/>
    <x v="46"/>
    <s v="General"/>
    <n v="1.5"/>
    <x v="12"/>
    <s v="No"/>
    <s v="Weekly invoices, email MDF re change in invoice for F/N, advise Mel re updating Ezidebit. Assist Angela with debtor chasing, James emails etc, Gen. BAS/IAS followup"/>
    <x v="4"/>
    <s v="Monday"/>
  </r>
  <r>
    <d v="2024-02-26T00:00:00"/>
    <x v="46"/>
    <s v="IAS/BAS Preparation &amp; Lodgement - Oct-Dec"/>
    <n v="0.33"/>
    <x v="133"/>
    <s v="Yes"/>
    <s v="Final review of Dec 2023 quarter BAS and lodgement"/>
    <x v="4"/>
    <s v="Monday"/>
  </r>
  <r>
    <d v="2024-02-26T00:00:00"/>
    <x v="46"/>
    <s v="IAS/BAS Preparation &amp; Lodgement - Oct-Dec"/>
    <n v="0.5"/>
    <x v="135"/>
    <s v="Yes"/>
    <s v="Dec 2023 quarter BAS review &amp; lodgement. Reallocate BAS payment for Sep 2023 BAS. Update BS and GST &amp; PAYG Rec"/>
    <x v="4"/>
    <s v="Monday"/>
  </r>
  <r>
    <d v="2024-02-26T00:00:00"/>
    <x v="46"/>
    <s v="Learning &amp; Development"/>
    <n v="2.5"/>
    <x v="12"/>
    <s v="No"/>
    <s v="Training"/>
    <x v="4"/>
    <s v="Monday"/>
  </r>
  <r>
    <d v="2024-02-26T00:00:00"/>
    <x v="46"/>
    <s v="Meetings"/>
    <n v="0.33"/>
    <x v="12"/>
    <s v="No"/>
    <s v="Weekly Sydney meeting"/>
    <x v="4"/>
    <s v="Monday"/>
  </r>
  <r>
    <d v="2024-02-26T00:00:00"/>
    <x v="46"/>
    <s v="Meetings"/>
    <n v="0.5"/>
    <x v="12"/>
    <s v="No"/>
    <s v="Weekly meeting with LM"/>
    <x v="4"/>
    <s v="Monday"/>
  </r>
  <r>
    <d v="2024-02-26T00:00:00"/>
    <x v="53"/>
    <s v="General"/>
    <n v="8.83"/>
    <x v="12"/>
    <s v="No"/>
    <s v="trainings and meeting"/>
    <x v="4"/>
    <s v="Monday"/>
  </r>
  <r>
    <d v="2024-02-26T00:00:00"/>
    <x v="47"/>
    <s v="Bookkeeping"/>
    <n v="0.8"/>
    <x v="50"/>
    <s v="Yes"/>
    <s v="3TOP"/>
    <x v="4"/>
    <s v="Monday"/>
  </r>
  <r>
    <d v="2024-02-26T00:00:00"/>
    <x v="47"/>
    <s v="Client Admin"/>
    <n v="0.2"/>
    <x v="12"/>
    <s v="No"/>
    <s v="Review Sam's inv and T/sheet"/>
    <x v="4"/>
    <s v="Monday"/>
  </r>
  <r>
    <d v="2024-02-26T00:00:00"/>
    <x v="47"/>
    <s v="Client Admin"/>
    <n v="0.65"/>
    <x v="12"/>
    <s v="No"/>
    <s v="Invoices Capspace and Bellinger"/>
    <x v="4"/>
    <s v="Monday"/>
  </r>
  <r>
    <d v="2024-02-26T00:00:00"/>
    <x v="47"/>
    <s v="Client Manager"/>
    <n v="1"/>
    <x v="50"/>
    <s v="Yes"/>
    <s v="misc emails, liaise with team"/>
    <x v="4"/>
    <s v="Monday"/>
  </r>
  <r>
    <d v="2024-02-26T00:00:00"/>
    <x v="47"/>
    <s v="Financial Statements"/>
    <n v="1"/>
    <x v="132"/>
    <s v="Yes"/>
    <s v="Finalise financials, issues to access server, look for info in server re the payments to Josh in Jul22, liaise with Nica"/>
    <x v="4"/>
    <s v="Monday"/>
  </r>
  <r>
    <d v="2024-02-26T00:00:00"/>
    <x v="47"/>
    <s v="General"/>
    <n v="0.7"/>
    <x v="12"/>
    <s v="No"/>
    <s v="emails, Teams, Asana"/>
    <x v="4"/>
    <s v="Monday"/>
  </r>
  <r>
    <d v="2024-02-26T00:00:00"/>
    <x v="47"/>
    <s v="Management Reporting"/>
    <n v="2.5"/>
    <x v="50"/>
    <s v="Yes"/>
    <m/>
    <x v="4"/>
    <s v="Monday"/>
  </r>
  <r>
    <d v="2024-02-26T00:00:00"/>
    <x v="47"/>
    <s v="Meetings"/>
    <n v="0.4"/>
    <x v="12"/>
    <s v="No"/>
    <m/>
    <x v="4"/>
    <s v="Monday"/>
  </r>
  <r>
    <d v="2024-02-26T00:00:00"/>
    <x v="47"/>
    <s v="Meetings"/>
    <n v="0.5"/>
    <x v="12"/>
    <s v="No"/>
    <s v="Nick &amp; Shalini on RIL ABN cancellation"/>
    <x v="4"/>
    <s v="Monday"/>
  </r>
  <r>
    <d v="2024-02-26T00:00:00"/>
    <x v="47"/>
    <s v="Out-of-Scope Services"/>
    <n v="0.5"/>
    <x v="50"/>
    <s v="Yes"/>
    <s v="RIL - Details to Stephen - cancellation of ABN, situation ATO"/>
    <x v="4"/>
    <s v="Monday"/>
  </r>
  <r>
    <d v="2024-02-26T00:00:00"/>
    <x v="48"/>
    <s v="HR/Recuitment"/>
    <n v="8"/>
    <x v="12"/>
    <s v="No"/>
    <m/>
    <x v="4"/>
    <s v="Monday"/>
  </r>
  <r>
    <d v="2024-02-27T00:00:00"/>
    <x v="0"/>
    <s v="Annual Leave"/>
    <n v="8"/>
    <x v="12"/>
    <s v="No"/>
    <s v="Vacation Leave"/>
    <x v="4"/>
    <s v="Tuesday"/>
  </r>
  <r>
    <d v="2024-02-27T00:00:00"/>
    <x v="49"/>
    <s v="P&amp;C Advisory - Group"/>
    <n v="1"/>
    <x v="63"/>
    <s v="Yes"/>
    <s v="Weekly call with FD Correspondence re. performance reviews"/>
    <x v="4"/>
    <s v="Tuesday"/>
  </r>
  <r>
    <d v="2024-02-27T00:00:00"/>
    <x v="49"/>
    <s v="P&amp;C Advisory - Nederman Mikropul"/>
    <n v="1.17"/>
    <x v="63"/>
    <s v="Yes"/>
    <s v="Draft PM PD Correspondence re. performance review process"/>
    <x v="4"/>
    <s v="Tuesday"/>
  </r>
  <r>
    <d v="2024-02-27T00:00:00"/>
    <x v="49"/>
    <s v="P&amp;C Advisory - Nordfab"/>
    <n v="1.58"/>
    <x v="63"/>
    <s v="Yes"/>
    <s v="Weekly finance/HR meeting Review/Update of Aussie Pay onboarding  Draft script for discussion re. CSG role Correspondence re. staff education "/>
    <x v="4"/>
    <s v="Tuesday"/>
  </r>
  <r>
    <d v="2024-02-27T00:00:00"/>
    <x v="1"/>
    <s v="Bookkeeping"/>
    <n v="1.2"/>
    <x v="15"/>
    <s v="Yes"/>
    <m/>
    <x v="4"/>
    <s v="Tuesday"/>
  </r>
  <r>
    <d v="2024-02-27T00:00:00"/>
    <x v="1"/>
    <s v="Bookkeeping"/>
    <n v="1.35"/>
    <x v="14"/>
    <s v="Yes"/>
    <m/>
    <x v="4"/>
    <s v="Tuesday"/>
  </r>
  <r>
    <d v="2024-02-27T00:00:00"/>
    <x v="1"/>
    <s v="General"/>
    <n v="0.2"/>
    <x v="12"/>
    <s v="No"/>
    <s v="emails, chats, fill out client list file"/>
    <x v="4"/>
    <s v="Tuesday"/>
  </r>
  <r>
    <d v="2024-02-27T00:00:00"/>
    <x v="1"/>
    <s v="General"/>
    <n v="0.56999999999999995"/>
    <x v="12"/>
    <s v="No"/>
    <s v="chats, break"/>
    <x v="4"/>
    <s v="Tuesday"/>
  </r>
  <r>
    <d v="2024-02-27T00:00:00"/>
    <x v="1"/>
    <s v="General"/>
    <n v="0.75"/>
    <x v="12"/>
    <s v="No"/>
    <s v="beak, chats, emails, queries"/>
    <x v="4"/>
    <s v="Tuesday"/>
  </r>
  <r>
    <d v="2024-02-27T00:00:00"/>
    <x v="1"/>
    <s v="General"/>
    <n v="0.82"/>
    <x v="12"/>
    <s v="No"/>
    <m/>
    <x v="4"/>
    <s v="Tuesday"/>
  </r>
  <r>
    <d v="2024-02-27T00:00:00"/>
    <x v="1"/>
    <s v="Learning &amp; Development"/>
    <n v="0.48"/>
    <x v="12"/>
    <s v="No"/>
    <s v="read articles re paid parental leave, check files  received for paid parental leave, etc"/>
    <x v="4"/>
    <s v="Tuesday"/>
  </r>
  <r>
    <d v="2024-02-27T00:00:00"/>
    <x v="3"/>
    <s v="Business Development"/>
    <n v="8"/>
    <x v="12"/>
    <s v="No"/>
    <s v="finalizing of flow continuation of manuals"/>
    <x v="4"/>
    <s v="Tuesday"/>
  </r>
  <r>
    <d v="2024-02-27T00:00:00"/>
    <x v="4"/>
    <s v="Business Development"/>
    <n v="7"/>
    <x v="12"/>
    <s v="No"/>
    <m/>
    <x v="4"/>
    <s v="Tuesday"/>
  </r>
  <r>
    <d v="2024-02-27T00:00:00"/>
    <x v="5"/>
    <s v="Bookkeeping"/>
    <n v="1.53"/>
    <x v="16"/>
    <s v="Yes"/>
    <s v="Posting of Invoices"/>
    <x v="4"/>
    <s v="Tuesday"/>
  </r>
  <r>
    <d v="2024-02-27T00:00:00"/>
    <x v="5"/>
    <s v="Bookkeeping"/>
    <n v="1.82"/>
    <x v="16"/>
    <s v="Yes"/>
    <s v="Email Management"/>
    <x v="4"/>
    <s v="Tuesday"/>
  </r>
  <r>
    <d v="2024-02-27T00:00:00"/>
    <x v="5"/>
    <s v="Bookkeeping"/>
    <n v="2.3199999999999998"/>
    <x v="16"/>
    <s v="Yes"/>
    <s v="Review and action comments of James regarding the EFT lists for payment "/>
    <x v="4"/>
    <s v="Tuesday"/>
  </r>
  <r>
    <d v="2024-02-27T00:00:00"/>
    <x v="5"/>
    <s v="Bookkeeping"/>
    <n v="2.6"/>
    <x v="16"/>
    <s v="Yes"/>
    <s v="Checking of Statements"/>
    <x v="4"/>
    <s v="Tuesday"/>
  </r>
  <r>
    <d v="2024-02-27T00:00:00"/>
    <x v="7"/>
    <s v="Automations"/>
    <n v="11.97"/>
    <x v="12"/>
    <s v="No"/>
    <m/>
    <x v="4"/>
    <s v="Tuesday"/>
  </r>
  <r>
    <d v="2024-02-27T00:00:00"/>
    <x v="9"/>
    <s v="Automations"/>
    <n v="3.5"/>
    <x v="12"/>
    <s v="No"/>
    <s v="Run four Alliance automations + AP automation; Added 5 supplier to Alliance Automation Tax Invoice"/>
    <x v="4"/>
    <s v="Tuesday"/>
  </r>
  <r>
    <d v="2024-02-27T00:00:00"/>
    <x v="10"/>
    <s v="Automations"/>
    <n v="9.08"/>
    <x v="12"/>
    <s v="No"/>
    <s v="Capspace Automation Report Generation Alliance Automation Part 1 Part 2 Development"/>
    <x v="4"/>
    <s v="Tuesday"/>
  </r>
  <r>
    <d v="2024-02-27T00:00:00"/>
    <x v="11"/>
    <s v="Bookkeeping"/>
    <n v="0.08"/>
    <x v="25"/>
    <s v="No"/>
    <s v="Checking"/>
    <x v="4"/>
    <s v="Tuesday"/>
  </r>
  <r>
    <d v="2024-02-27T00:00:00"/>
    <x v="11"/>
    <s v="Bookkeeping"/>
    <n v="0.08"/>
    <x v="31"/>
    <s v="No"/>
    <s v="Checking the account"/>
    <x v="4"/>
    <s v="Tuesday"/>
  </r>
  <r>
    <d v="2024-02-27T00:00:00"/>
    <x v="11"/>
    <s v="Bookkeeping"/>
    <n v="0.17"/>
    <x v="42"/>
    <s v="No"/>
    <s v="Checking"/>
    <x v="4"/>
    <s v="Tuesday"/>
  </r>
  <r>
    <d v="2024-02-27T00:00:00"/>
    <x v="11"/>
    <s v="Bookkeeping"/>
    <n v="0.33"/>
    <x v="60"/>
    <s v="Yes"/>
    <s v="Pushing bills from HubDoc, bank recon"/>
    <x v="4"/>
    <s v="Tuesday"/>
  </r>
  <r>
    <d v="2024-02-27T00:00:00"/>
    <x v="11"/>
    <s v="Bookkeeping"/>
    <n v="0.33"/>
    <x v="25"/>
    <s v="Yes"/>
    <s v="Checking emails, loading bills, AP payment"/>
    <x v="4"/>
    <s v="Tuesday"/>
  </r>
  <r>
    <d v="2024-02-27T00:00:00"/>
    <x v="11"/>
    <s v="Bookkeeping"/>
    <n v="0.67"/>
    <x v="24"/>
    <s v="No"/>
    <s v="Checking all entities"/>
    <x v="4"/>
    <s v="Tuesday"/>
  </r>
  <r>
    <d v="2024-02-27T00:00:00"/>
    <x v="11"/>
    <s v="Bookkeeping"/>
    <n v="0.67"/>
    <x v="22"/>
    <s v="Yes"/>
    <s v="Pushing bills from HubDoc, bank recon"/>
    <x v="4"/>
    <s v="Tuesday"/>
  </r>
  <r>
    <d v="2024-02-27T00:00:00"/>
    <x v="11"/>
    <s v="Bookkeeping"/>
    <n v="0.67"/>
    <x v="42"/>
    <s v="Yes"/>
    <s v="Email checking, loading bills, bank recon"/>
    <x v="4"/>
    <s v="Tuesday"/>
  </r>
  <r>
    <d v="2024-02-27T00:00:00"/>
    <x v="11"/>
    <s v="Bookkeeping"/>
    <n v="1.08"/>
    <x v="21"/>
    <s v="Yes"/>
    <s v="Pushing bills from HubDoc, bank recon"/>
    <x v="4"/>
    <s v="Tuesday"/>
  </r>
  <r>
    <d v="2024-02-27T00:00:00"/>
    <x v="11"/>
    <s v="Bookkeeping"/>
    <n v="2.58"/>
    <x v="24"/>
    <s v="Yes"/>
    <s v="Pushing bills from HubDoc, bank recon, BS recon for BAS"/>
    <x v="4"/>
    <s v="Tuesday"/>
  </r>
  <r>
    <d v="2024-02-27T00:00:00"/>
    <x v="11"/>
    <s v="General"/>
    <n v="0.5"/>
    <x v="12"/>
    <s v="No"/>
    <s v="break"/>
    <x v="4"/>
    <s v="Tuesday"/>
  </r>
  <r>
    <d v="2024-02-27T00:00:00"/>
    <x v="11"/>
    <s v="Out-of-Scope Services"/>
    <n v="0.25"/>
    <x v="110"/>
    <s v="Yes"/>
    <s v="bank recon"/>
    <x v="4"/>
    <s v="Tuesday"/>
  </r>
  <r>
    <d v="2024-02-27T00:00:00"/>
    <x v="11"/>
    <s v="Out-of-Scope Services"/>
    <n v="0.33"/>
    <x v="122"/>
    <s v="Yes"/>
    <s v="Pushing bills from HubDoc, bank recon"/>
    <x v="4"/>
    <s v="Tuesday"/>
  </r>
  <r>
    <d v="2024-02-27T00:00:00"/>
    <x v="11"/>
    <s v="Payroll Processing"/>
    <n v="0.08"/>
    <x v="44"/>
    <s v="Yes"/>
    <s v="FN payroll"/>
    <x v="4"/>
    <s v="Tuesday"/>
  </r>
  <r>
    <d v="2024-02-27T00:00:00"/>
    <x v="11"/>
    <s v="Payroll Processing"/>
    <n v="0.17"/>
    <x v="31"/>
    <s v="Yes"/>
    <s v="FN payroll"/>
    <x v="4"/>
    <s v="Tuesday"/>
  </r>
  <r>
    <d v="2024-02-27T00:00:00"/>
    <x v="14"/>
    <s v="Bookkeeping"/>
    <n v="0.08"/>
    <x v="119"/>
    <s v="Yes"/>
    <s v="David's payroll query"/>
    <x v="4"/>
    <s v="Tuesday"/>
  </r>
  <r>
    <d v="2024-02-27T00:00:00"/>
    <x v="14"/>
    <s v="Bookkeeping"/>
    <n v="0.1"/>
    <x v="84"/>
    <s v="No"/>
    <s v="review, approve, send bill"/>
    <x v="4"/>
    <s v="Tuesday"/>
  </r>
  <r>
    <d v="2024-02-27T00:00:00"/>
    <x v="14"/>
    <s v="Bookkeeping"/>
    <n v="0.12"/>
    <x v="28"/>
    <s v="Yes"/>
    <s v="Adrian's request for customised report"/>
    <x v="4"/>
    <s v="Tuesday"/>
  </r>
  <r>
    <d v="2024-02-27T00:00:00"/>
    <x v="14"/>
    <s v="Bookkeeping"/>
    <n v="0.28000000000000003"/>
    <x v="34"/>
    <s v="Yes"/>
    <s v="queries/emails"/>
    <x v="4"/>
    <s v="Tuesday"/>
  </r>
  <r>
    <d v="2024-02-27T00:00:00"/>
    <x v="14"/>
    <s v="Bookkeeping"/>
    <n v="0.4"/>
    <x v="28"/>
    <s v="Yes"/>
    <s v="emails/queries"/>
    <x v="4"/>
    <s v="Tuesday"/>
  </r>
  <r>
    <d v="2024-02-27T00:00:00"/>
    <x v="14"/>
    <s v="Bookkeeping - Emails"/>
    <n v="0.47"/>
    <x v="33"/>
    <s v="Yes"/>
    <m/>
    <x v="4"/>
    <s v="Tuesday"/>
  </r>
  <r>
    <d v="2024-02-27T00:00:00"/>
    <x v="14"/>
    <s v="General"/>
    <n v="0.25"/>
    <x v="12"/>
    <s v="No"/>
    <s v="emails/ Sprout/ calendar"/>
    <x v="4"/>
    <s v="Tuesday"/>
  </r>
  <r>
    <d v="2024-02-27T00:00:00"/>
    <x v="14"/>
    <s v="General"/>
    <n v="0.47"/>
    <x v="12"/>
    <s v="No"/>
    <s v="emails/teams/reminders/Sprout"/>
    <x v="4"/>
    <s v="Tuesday"/>
  </r>
  <r>
    <d v="2024-02-27T00:00:00"/>
    <x v="14"/>
    <s v="General"/>
    <n v="0.5"/>
    <x v="12"/>
    <s v="No"/>
    <s v="break"/>
    <x v="4"/>
    <s v="Tuesday"/>
  </r>
  <r>
    <d v="2024-02-27T00:00:00"/>
    <x v="14"/>
    <s v="Management Reporting"/>
    <n v="0.8"/>
    <x v="34"/>
    <s v="Yes"/>
    <s v="conso reports"/>
    <x v="4"/>
    <s v="Tuesday"/>
  </r>
  <r>
    <d v="2024-02-27T00:00:00"/>
    <x v="14"/>
    <s v="Meetings"/>
    <n v="0.48"/>
    <x v="12"/>
    <s v="No"/>
    <s v="call w/Ge re; Emma"/>
    <x v="4"/>
    <s v="Tuesday"/>
  </r>
  <r>
    <d v="2024-02-27T00:00:00"/>
    <x v="14"/>
    <s v="Meetings"/>
    <n v="0.82"/>
    <x v="12"/>
    <s v="No"/>
    <s v="monthly catch up w/ Ge"/>
    <x v="4"/>
    <s v="Tuesday"/>
  </r>
  <r>
    <d v="2024-02-27T00:00:00"/>
    <x v="14"/>
    <s v="Payroll Processing"/>
    <n v="0.37"/>
    <x v="16"/>
    <s v="Yes"/>
    <s v="check inbox"/>
    <x v="4"/>
    <s v="Tuesday"/>
  </r>
  <r>
    <d v="2024-02-27T00:00:00"/>
    <x v="14"/>
    <s v="Payroll Processing"/>
    <n v="0.62"/>
    <x v="28"/>
    <s v="Yes"/>
    <s v="review"/>
    <x v="4"/>
    <s v="Tuesday"/>
  </r>
  <r>
    <d v="2024-02-27T00:00:00"/>
    <x v="14"/>
    <s v="Payroll Processing"/>
    <n v="0.65"/>
    <x v="28"/>
    <s v="Yes"/>
    <s v="call w/ Jim and checking Pearson's should-be final pay"/>
    <x v="4"/>
    <s v="Tuesday"/>
  </r>
  <r>
    <d v="2024-02-27T00:00:00"/>
    <x v="14"/>
    <s v="Payroll Processing"/>
    <n v="0.75"/>
    <x v="13"/>
    <s v="Yes"/>
    <s v="review and check of set-up of new EE"/>
    <x v="4"/>
    <s v="Tuesday"/>
  </r>
  <r>
    <d v="2024-02-27T00:00:00"/>
    <x v="14"/>
    <s v="Payroll Processing"/>
    <n v="0.85"/>
    <x v="30"/>
    <s v="Yes"/>
    <s v="review"/>
    <x v="4"/>
    <s v="Tuesday"/>
  </r>
  <r>
    <d v="2024-02-27T00:00:00"/>
    <x v="15"/>
    <s v="General"/>
    <n v="9.5"/>
    <x v="12"/>
    <s v="No"/>
    <e v="#NAME?"/>
    <x v="4"/>
    <s v="Tuesday"/>
  </r>
  <r>
    <d v="2024-02-27T00:00:00"/>
    <x v="16"/>
    <s v="Bookkeeping"/>
    <n v="0.5"/>
    <x v="29"/>
    <s v="Yes"/>
    <s v="email"/>
    <x v="4"/>
    <s v="Tuesday"/>
  </r>
  <r>
    <d v="2024-02-27T00:00:00"/>
    <x v="16"/>
    <s v="Bookkeeping"/>
    <n v="0.6"/>
    <x v="74"/>
    <s v="Yes"/>
    <s v="ap invoices"/>
    <x v="4"/>
    <s v="Tuesday"/>
  </r>
  <r>
    <d v="2024-02-27T00:00:00"/>
    <x v="16"/>
    <s v="Bookkeeping"/>
    <n v="0.63"/>
    <x v="74"/>
    <s v="Yes"/>
    <s v="added ap invoices"/>
    <x v="4"/>
    <s v="Tuesday"/>
  </r>
  <r>
    <d v="2024-02-27T00:00:00"/>
    <x v="16"/>
    <s v="Bookkeeping"/>
    <n v="0.83"/>
    <x v="30"/>
    <s v="Yes"/>
    <s v="ap invoices from inbox"/>
    <x v="4"/>
    <s v="Tuesday"/>
  </r>
  <r>
    <d v="2024-02-27T00:00:00"/>
    <x v="16"/>
    <s v="Bookkeeping"/>
    <n v="1"/>
    <x v="32"/>
    <s v="Yes"/>
    <s v="AP report emails"/>
    <x v="4"/>
    <s v="Tuesday"/>
  </r>
  <r>
    <d v="2024-02-27T00:00:00"/>
    <x v="16"/>
    <s v="Bookkeeping"/>
    <n v="2.62"/>
    <x v="75"/>
    <s v="Yes"/>
    <s v="ap invoices"/>
    <x v="4"/>
    <s v="Tuesday"/>
  </r>
  <r>
    <d v="2024-02-27T00:00:00"/>
    <x v="16"/>
    <s v="Bookkeeping - AP"/>
    <n v="0.53"/>
    <x v="33"/>
    <s v="Yes"/>
    <s v="approve ap invoices"/>
    <x v="4"/>
    <s v="Tuesday"/>
  </r>
  <r>
    <d v="2024-02-27T00:00:00"/>
    <x v="16"/>
    <s v="General"/>
    <n v="0.5"/>
    <x v="12"/>
    <s v="No"/>
    <s v="break"/>
    <x v="4"/>
    <s v="Tuesday"/>
  </r>
  <r>
    <d v="2024-02-27T00:00:00"/>
    <x v="16"/>
    <s v="Meetings"/>
    <n v="0.78"/>
    <x v="12"/>
    <s v="No"/>
    <s v="meeting with Xavi"/>
    <x v="4"/>
    <s v="Tuesday"/>
  </r>
  <r>
    <d v="2024-02-27T00:00:00"/>
    <x v="17"/>
    <s v="Bookkeeping"/>
    <n v="0.12"/>
    <x v="80"/>
    <s v="Yes"/>
    <s v="Bank recs, additional queries for the client"/>
    <x v="4"/>
    <s v="Tuesday"/>
  </r>
  <r>
    <d v="2024-02-27T00:00:00"/>
    <x v="17"/>
    <s v="Bookkeeping"/>
    <n v="0.48"/>
    <x v="80"/>
    <s v="Yes"/>
    <s v="Bank recs- Reconciling NZ sales transactions"/>
    <x v="4"/>
    <s v="Tuesday"/>
  </r>
  <r>
    <d v="2024-02-27T00:00:00"/>
    <x v="17"/>
    <s v="Bookkeeping"/>
    <n v="1.22"/>
    <x v="80"/>
    <s v="Yes"/>
    <s v="Recording of invoices, bank recs"/>
    <x v="4"/>
    <s v="Tuesday"/>
  </r>
  <r>
    <d v="2024-02-27T00:00:00"/>
    <x v="17"/>
    <s v="Bookkeeping"/>
    <n v="1.32"/>
    <x v="80"/>
    <s v="Yes"/>
    <s v="Bank recs"/>
    <x v="4"/>
    <s v="Tuesday"/>
  </r>
  <r>
    <d v="2024-02-27T00:00:00"/>
    <x v="17"/>
    <s v="Bookkeeping"/>
    <n v="1.68"/>
    <x v="80"/>
    <s v="Yes"/>
    <s v="Bank recs, recording of invoices"/>
    <x v="4"/>
    <s v="Tuesday"/>
  </r>
  <r>
    <d v="2024-02-27T00:00:00"/>
    <x v="17"/>
    <s v="Bookkeeping"/>
    <n v="1.8"/>
    <x v="34"/>
    <s v="Yes"/>
    <s v="Reconciling payments"/>
    <x v="4"/>
    <s v="Tuesday"/>
  </r>
  <r>
    <d v="2024-02-27T00:00:00"/>
    <x v="17"/>
    <s v="General"/>
    <n v="0.1"/>
    <x v="12"/>
    <s v="No"/>
    <s v="Updating asana, checking emails"/>
    <x v="4"/>
    <s v="Tuesday"/>
  </r>
  <r>
    <d v="2024-02-27T00:00:00"/>
    <x v="17"/>
    <s v="Payroll Processing"/>
    <n v="0.33"/>
    <x v="107"/>
    <s v="Yes"/>
    <s v="Entering payroll in Xero, accounts rec"/>
    <x v="4"/>
    <s v="Tuesday"/>
  </r>
  <r>
    <d v="2024-02-27T00:00:00"/>
    <x v="17"/>
    <s v="Payroll Processing"/>
    <n v="0.62"/>
    <x v="14"/>
    <s v="Yes"/>
    <s v="Checking query from client"/>
    <x v="4"/>
    <s v="Tuesday"/>
  </r>
  <r>
    <d v="2024-02-27T00:00:00"/>
    <x v="17"/>
    <s v="Payroll Processing"/>
    <n v="0.67"/>
    <x v="37"/>
    <s v="Yes"/>
    <s v="Payroll"/>
    <x v="4"/>
    <s v="Tuesday"/>
  </r>
  <r>
    <d v="2024-02-27T00:00:00"/>
    <x v="18"/>
    <s v="Bookkeeping"/>
    <n v="1.27"/>
    <x v="21"/>
    <s v="No"/>
    <s v="discuss automation/ work on alternative excel file required by Jordan"/>
    <x v="4"/>
    <s v="Tuesday"/>
  </r>
  <r>
    <d v="2024-02-27T00:00:00"/>
    <x v="18"/>
    <s v="General"/>
    <n v="0.5"/>
    <x v="12"/>
    <s v="No"/>
    <s v="paid break"/>
    <x v="4"/>
    <s v="Tuesday"/>
  </r>
  <r>
    <d v="2024-02-27T00:00:00"/>
    <x v="18"/>
    <s v="General"/>
    <n v="0.6"/>
    <x v="12"/>
    <s v="No"/>
    <s v="chat with Jordan - oporto format emails, idle"/>
    <x v="4"/>
    <s v="Tuesday"/>
  </r>
  <r>
    <d v="2024-02-27T00:00:00"/>
    <x v="18"/>
    <s v="General"/>
    <n v="1.1299999999999999"/>
    <x v="12"/>
    <s v="No"/>
    <s v="meeting JOrdan - automation for Oporto stores and update Xero HQ report"/>
    <x v="4"/>
    <s v="Tuesday"/>
  </r>
  <r>
    <d v="2024-02-27T00:00:00"/>
    <x v="18"/>
    <s v="General"/>
    <n v="1.98"/>
    <x v="12"/>
    <s v="No"/>
    <s v="emails, asana, xpm,chat with Kate about new client and hubdoc setup watch video meeting - Yacht life new client email client - introductions  "/>
    <x v="4"/>
    <s v="Tuesday"/>
  </r>
  <r>
    <d v="2024-02-27T00:00:00"/>
    <x v="18"/>
    <s v="Learning &amp; Development"/>
    <n v="1.1200000000000001"/>
    <x v="12"/>
    <s v="No"/>
    <s v="wyzed  trainings"/>
    <x v="4"/>
    <s v="Tuesday"/>
  </r>
  <r>
    <d v="2024-02-27T00:00:00"/>
    <x v="18"/>
    <s v="Learning &amp; Development"/>
    <n v="1.28"/>
    <x v="12"/>
    <s v="No"/>
    <s v="FBT training in Wyzed"/>
    <x v="4"/>
    <s v="Tuesday"/>
  </r>
  <r>
    <d v="2024-02-27T00:00:00"/>
    <x v="19"/>
    <s v="Bookkeeping"/>
    <n v="8.1199999999999992"/>
    <x v="36"/>
    <s v="Yes"/>
    <m/>
    <x v="4"/>
    <s v="Tuesday"/>
  </r>
  <r>
    <d v="2024-02-27T00:00:00"/>
    <x v="20"/>
    <s v="P&amp;C Advisory"/>
    <n v="4.17"/>
    <x v="38"/>
    <s v="Yes"/>
    <s v="4 x redundancies - document pack prep COO, Head of HR bi-weekly mtg Inbox enquiries  "/>
    <x v="4"/>
    <s v="Tuesday"/>
  </r>
  <r>
    <d v="2024-02-27T00:00:00"/>
    <x v="20"/>
    <s v="P&amp;C Advisory"/>
    <n v="4.83"/>
    <x v="37"/>
    <s v="Yes"/>
    <s v="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
    <x v="4"/>
    <s v="Tuesday"/>
  </r>
  <r>
    <d v="2024-02-27T00:00:00"/>
    <x v="21"/>
    <s v="Bookkeeping"/>
    <n v="0.65"/>
    <x v="39"/>
    <s v="Yes"/>
    <m/>
    <x v="4"/>
    <s v="Tuesday"/>
  </r>
  <r>
    <d v="2024-02-27T00:00:00"/>
    <x v="21"/>
    <s v="Bookkeeping"/>
    <n v="0.82"/>
    <x v="40"/>
    <s v="Yes"/>
    <s v="dext prep, ap items"/>
    <x v="4"/>
    <s v="Tuesday"/>
  </r>
  <r>
    <d v="2024-02-27T00:00:00"/>
    <x v="21"/>
    <s v="Bookkeeping"/>
    <n v="1.37"/>
    <x v="41"/>
    <s v="Yes"/>
    <s v="AP items, hubdoc, invoices from procore"/>
    <x v="4"/>
    <s v="Tuesday"/>
  </r>
  <r>
    <d v="2024-02-27T00:00:00"/>
    <x v="21"/>
    <s v="Bookkeeping"/>
    <n v="1.67"/>
    <x v="28"/>
    <s v="Yes"/>
    <s v="AP Items, dext Prepare, email queries for payroll"/>
    <x v="4"/>
    <s v="Tuesday"/>
  </r>
  <r>
    <d v="2024-02-27T00:00:00"/>
    <x v="21"/>
    <s v="Bookkeeping"/>
    <n v="1.73"/>
    <x v="28"/>
    <s v="Yes"/>
    <m/>
    <x v="4"/>
    <s v="Tuesday"/>
  </r>
  <r>
    <d v="2024-02-27T00:00:00"/>
    <x v="21"/>
    <s v="Bookkeeping"/>
    <n v="1.77"/>
    <x v="41"/>
    <s v="Yes"/>
    <m/>
    <x v="4"/>
    <s v="Tuesday"/>
  </r>
  <r>
    <d v="2024-02-27T00:00:00"/>
    <x v="22"/>
    <s v="Automations - Surefire"/>
    <n v="8"/>
    <x v="12"/>
    <s v="No"/>
    <s v="Sure Fire Automation"/>
    <x v="4"/>
    <s v="Tuesday"/>
  </r>
  <r>
    <d v="2024-02-27T00:00:00"/>
    <x v="23"/>
    <s v="Automations"/>
    <n v="8"/>
    <x v="12"/>
    <s v="No"/>
    <m/>
    <x v="4"/>
    <s v="Tuesday"/>
  </r>
  <r>
    <d v="2024-02-27T00:00:00"/>
    <x v="24"/>
    <s v="Automations"/>
    <n v="8"/>
    <x v="12"/>
    <s v="No"/>
    <s v="Run: LOC Automation Dev: PrimeBuild Payroll Processing Report"/>
    <x v="4"/>
    <s v="Tuesday"/>
  </r>
  <r>
    <d v="2024-02-27T00:00:00"/>
    <x v="25"/>
    <s v="Annual Leave"/>
    <n v="4"/>
    <x v="12"/>
    <s v="No"/>
    <m/>
    <x v="4"/>
    <s v="Tuesday"/>
  </r>
  <r>
    <d v="2024-02-27T00:00:00"/>
    <x v="25"/>
    <s v="Bookkeeping"/>
    <n v="0.13"/>
    <x v="44"/>
    <s v="Yes"/>
    <s v="Report request for billing"/>
    <x v="4"/>
    <s v="Tuesday"/>
  </r>
  <r>
    <d v="2024-02-27T00:00:00"/>
    <x v="25"/>
    <s v="Client Manager"/>
    <n v="0.23"/>
    <x v="26"/>
    <s v="Yes"/>
    <s v="Hubdoc GST setup"/>
    <x v="4"/>
    <s v="Tuesday"/>
  </r>
  <r>
    <d v="2024-02-27T00:00:00"/>
    <x v="25"/>
    <s v="Client Manager"/>
    <n v="1.05"/>
    <x v="115"/>
    <s v="Yes"/>
    <s v="Follow up emails, introduction to James for Zoe, follow up on invoices and R&amp;D grant.  Set up Asana projects"/>
    <x v="4"/>
    <s v="Tuesday"/>
  </r>
  <r>
    <d v="2024-02-27T00:00:00"/>
    <x v="25"/>
    <s v="General"/>
    <n v="0.17"/>
    <x v="12"/>
    <s v="No"/>
    <s v="Emails"/>
    <x v="4"/>
    <s v="Tuesday"/>
  </r>
  <r>
    <d v="2024-02-27T00:00:00"/>
    <x v="25"/>
    <s v="General"/>
    <n v="0.25"/>
    <x v="12"/>
    <s v="No"/>
    <s v="Emails,teams, ooo"/>
    <x v="4"/>
    <s v="Tuesday"/>
  </r>
  <r>
    <d v="2024-02-27T00:00:00"/>
    <x v="25"/>
    <s v="General"/>
    <n v="0.88"/>
    <x v="12"/>
    <s v="No"/>
    <s v="Invoicing review and send.  Follow up on IAS / BAS check Remove SRPty Ltd from XPM - liaise with Mark Teams message re Mayday - emails "/>
    <x v="4"/>
    <s v="Tuesday"/>
  </r>
  <r>
    <d v="2024-02-27T00:00:00"/>
    <x v="25"/>
    <s v="Payroll Processing"/>
    <n v="0.17"/>
    <x v="37"/>
    <s v="Yes"/>
    <s v="QLD WK review"/>
    <x v="4"/>
    <s v="Tuesday"/>
  </r>
  <r>
    <d v="2024-02-27T00:00:00"/>
    <x v="25"/>
    <s v="Payroll Processing"/>
    <n v="0.22"/>
    <x v="37"/>
    <s v="Yes"/>
    <s v="Workers comp review"/>
    <x v="4"/>
    <s v="Tuesday"/>
  </r>
  <r>
    <d v="2024-02-27T00:00:00"/>
    <x v="25"/>
    <s v="Payroll Processing"/>
    <n v="1.37"/>
    <x v="37"/>
    <s v="Yes"/>
    <s v="Payroll reviews and reimbursement claim / check for Eddie Aydin W/Comp"/>
    <x v="4"/>
    <s v="Tuesday"/>
  </r>
  <r>
    <d v="2024-02-27T00:00:00"/>
    <x v="51"/>
    <s v="P&amp;C Advisory - Nordfab"/>
    <n v="0.08"/>
    <x v="63"/>
    <s v="Yes"/>
    <s v="Onboarding Enquiry (Kyle) - Sheet Metal Worker - NSW - Nordfab - Alison"/>
    <x v="4"/>
    <s v="Tuesday"/>
  </r>
  <r>
    <d v="2024-02-27T00:00:00"/>
    <x v="26"/>
    <s v="Business Development"/>
    <n v="1.1499999999999999"/>
    <x v="12"/>
    <s v="No"/>
    <s v="&gt;BAS/IAS report &gt;Sent an email to Nick &gt;Propose a solution &gt;Check and validate the report for process improvement,"/>
    <x v="4"/>
    <s v="Tuesday"/>
  </r>
  <r>
    <d v="2024-02-27T00:00:00"/>
    <x v="26"/>
    <s v="Client Meeting"/>
    <n v="0.05"/>
    <x v="55"/>
    <s v="No"/>
    <s v="Reading Team chat channel and other BAS concerns"/>
    <x v="4"/>
    <s v="Tuesday"/>
  </r>
  <r>
    <d v="2024-02-27T00:00:00"/>
    <x v="26"/>
    <s v="Client Meeting"/>
    <n v="0.08"/>
    <x v="50"/>
    <s v="No"/>
    <s v="Reading Team chat channel and other BAS concerns"/>
    <x v="4"/>
    <s v="Tuesday"/>
  </r>
  <r>
    <d v="2024-02-27T00:00:00"/>
    <x v="26"/>
    <s v="Client Meeting"/>
    <n v="0.12"/>
    <x v="12"/>
    <s v="No"/>
    <s v="Catch up with Mel"/>
    <x v="4"/>
    <s v="Tuesday"/>
  </r>
  <r>
    <d v="2024-02-27T00:00:00"/>
    <x v="26"/>
    <s v="Client Meeting"/>
    <n v="0.13"/>
    <x v="34"/>
    <s v="No"/>
    <s v="Attending to Queries"/>
    <x v="4"/>
    <s v="Tuesday"/>
  </r>
  <r>
    <d v="2024-02-27T00:00:00"/>
    <x v="26"/>
    <s v="Client Meeting"/>
    <n v="0.18"/>
    <x v="12"/>
    <s v="No"/>
    <s v="Meeting with Gen RE: Con farewell meeting"/>
    <x v="4"/>
    <s v="Tuesday"/>
  </r>
  <r>
    <d v="2024-02-27T00:00:00"/>
    <x v="26"/>
    <s v="Client Meeting"/>
    <n v="0.18"/>
    <x v="68"/>
    <s v="No"/>
    <s v="Attending to queries, email and follow up the client"/>
    <x v="4"/>
    <s v="Tuesday"/>
  </r>
  <r>
    <d v="2024-02-27T00:00:00"/>
    <x v="26"/>
    <s v="Client Meeting"/>
    <n v="0.25"/>
    <x v="12"/>
    <s v="No"/>
    <s v="Call with Mariecon - other concerns"/>
    <x v="4"/>
    <s v="Tuesday"/>
  </r>
  <r>
    <d v="2024-02-27T00:00:00"/>
    <x v="26"/>
    <s v="Client Meeting"/>
    <n v="0.25"/>
    <x v="12"/>
    <s v="No"/>
    <s v="Meeting with Lindsay regarding Farewell party of Con. Program and hosting"/>
    <x v="4"/>
    <s v="Tuesday"/>
  </r>
  <r>
    <d v="2024-02-27T00:00:00"/>
    <x v="26"/>
    <s v="Client Meeting"/>
    <n v="0.32"/>
    <x v="12"/>
    <s v="No"/>
    <s v="Meeting with Ralf ( BAS concern )"/>
    <x v="4"/>
    <s v="Tuesday"/>
  </r>
  <r>
    <d v="2024-02-27T00:00:00"/>
    <x v="26"/>
    <s v="General"/>
    <n v="0.25"/>
    <x v="12"/>
    <s v="No"/>
    <s v="AFTERNOON Break: 15 mins coffee breaks as paid per Labor Code of the Philippines, Article 85"/>
    <x v="4"/>
    <s v="Tuesday"/>
  </r>
  <r>
    <d v="2024-02-27T00:00:00"/>
    <x v="26"/>
    <s v="General"/>
    <n v="0.25"/>
    <x v="12"/>
    <s v="No"/>
    <s v="MORNING Break: 15 mins coffee breaks as paid per Labor Code of the Philippines, Article 85."/>
    <x v="4"/>
    <s v="Tuesday"/>
  </r>
  <r>
    <d v="2024-02-27T00:00:00"/>
    <x v="26"/>
    <s v="HR/Recuitment"/>
    <n v="0.17"/>
    <x v="12"/>
    <s v="No"/>
    <s v="Assisting Zerra regarding regarding VIking ( booking and Van quotation. ) Called Driver to ask the Van rental prize."/>
    <x v="4"/>
    <s v="Tuesday"/>
  </r>
  <r>
    <d v="2024-02-27T00:00:00"/>
    <x v="26"/>
    <s v="HR/Recuitment"/>
    <n v="0.33"/>
    <x v="12"/>
    <s v="No"/>
    <s v="Helping Gen for Farewall Party. Looking of Restaurant and checking of price details"/>
    <x v="4"/>
    <s v="Tuesday"/>
  </r>
  <r>
    <d v="2024-02-27T00:00:00"/>
    <x v="26"/>
    <s v="HR/Recuitment"/>
    <n v="0.48"/>
    <x v="12"/>
    <s v="No"/>
    <s v="&gt;Reading Social clubs and responding. Propose Viking area. &gt;Reading BreakOut activity &gt;Reading Karaoke Activity"/>
    <x v="4"/>
    <s v="Tuesday"/>
  </r>
  <r>
    <d v="2024-02-27T00:00:00"/>
    <x v="26"/>
    <s v="HR/Recuitment"/>
    <n v="0.53"/>
    <x v="12"/>
    <s v="No"/>
    <s v="Farewell party planning and preparation.,"/>
    <x v="4"/>
    <s v="Tuesday"/>
  </r>
  <r>
    <d v="2024-02-27T00:00:00"/>
    <x v="26"/>
    <s v="IAS/BAS Preparation &amp; Lodgement - Oct-Dec"/>
    <n v="0.05"/>
    <x v="59"/>
    <s v="No"/>
    <s v="NonBillable: Reading Team chat channel, understanding the nature and other BAS concerns"/>
    <x v="4"/>
    <s v="Tuesday"/>
  </r>
  <r>
    <d v="2024-02-27T00:00:00"/>
    <x v="26"/>
    <s v="IAS/BAS Preparation &amp; Lodgement - Oct-Dec"/>
    <n v="0.05"/>
    <x v="34"/>
    <s v="No"/>
    <s v="NonBillable: Reading Team chat channel, understanding the nature and other BAS concerns"/>
    <x v="4"/>
    <s v="Tuesday"/>
  </r>
  <r>
    <d v="2024-02-27T00:00:00"/>
    <x v="26"/>
    <s v="IAS/BAS Preparation &amp; Lodgement - Oct-Dec"/>
    <n v="0.05"/>
    <x v="42"/>
    <s v="No"/>
    <s v="NonBillable: Reading Team chat channel, understanding the nature and other BAS concerns"/>
    <x v="4"/>
    <s v="Tuesday"/>
  </r>
  <r>
    <d v="2024-02-27T00:00:00"/>
    <x v="26"/>
    <s v="IAS/BAS Preparation &amp; Lodgement - Oct-Dec"/>
    <n v="0.05"/>
    <x v="44"/>
    <s v="No"/>
    <s v="NonBillable: Reading Team chat channel, understanding the nature and other BAS concerns"/>
    <x v="4"/>
    <s v="Tuesday"/>
  </r>
  <r>
    <d v="2024-02-27T00:00:00"/>
    <x v="26"/>
    <s v="IAS/BAS Preparation &amp; Lodgement - Oct-Dec"/>
    <n v="0.05"/>
    <x v="14"/>
    <s v="No"/>
    <s v="NonBillable: Reading Team chat channel, understanding the nature and other BAS concerns"/>
    <x v="4"/>
    <s v="Tuesday"/>
  </r>
  <r>
    <d v="2024-02-27T00:00:00"/>
    <x v="26"/>
    <s v="IAS/BAS Preparation &amp; Lodgement - Oct-Dec"/>
    <n v="0.48"/>
    <x v="25"/>
    <s v="Yes"/>
    <s v="BAS dec"/>
    <x v="4"/>
    <s v="Tuesday"/>
  </r>
  <r>
    <d v="2024-02-27T00:00:00"/>
    <x v="26"/>
    <s v="IAS/BAS Preparation &amp; Lodgement - Oct-Dec"/>
    <n v="0.97"/>
    <x v="55"/>
    <s v="Yes"/>
    <m/>
    <x v="4"/>
    <s v="Tuesday"/>
  </r>
  <r>
    <d v="2024-02-27T00:00:00"/>
    <x v="26"/>
    <s v="Learning &amp; Development"/>
    <n v="1.53"/>
    <x v="12"/>
    <s v="No"/>
    <s v="New feature and format for BAS activity. Learning and navigation ( Xero )"/>
    <x v="4"/>
    <s v="Tuesday"/>
  </r>
  <r>
    <d v="2024-02-27T00:00:00"/>
    <x v="26"/>
    <s v="Meetings"/>
    <n v="0.05"/>
    <x v="12"/>
    <s v="No"/>
    <s v="Reading Nick's email"/>
    <x v="4"/>
    <s v="Tuesday"/>
  </r>
  <r>
    <d v="2024-02-27T00:00:00"/>
    <x v="27"/>
    <s v="HR/Recuitment"/>
    <n v="1"/>
    <x v="12"/>
    <s v="No"/>
    <s v="Recruitment for HR advisory - review resumes from seek, shortlisting applicants, and phone interviews."/>
    <x v="4"/>
    <s v="Tuesday"/>
  </r>
  <r>
    <d v="2024-02-27T00:00:00"/>
    <x v="27"/>
    <s v="P&amp;C Advisory"/>
    <n v="7"/>
    <x v="19"/>
    <s v="Yes"/>
    <s v="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
    <x v="4"/>
    <s v="Tuesday"/>
  </r>
  <r>
    <d v="2024-02-27T00:00:00"/>
    <x v="28"/>
    <s v="Bookkeeping"/>
    <n v="0.82"/>
    <x v="49"/>
    <s v="Yes"/>
    <m/>
    <x v="4"/>
    <s v="Tuesday"/>
  </r>
  <r>
    <d v="2024-02-27T00:00:00"/>
    <x v="28"/>
    <s v="Bookkeeping"/>
    <n v="5.42"/>
    <x v="16"/>
    <s v="Yes"/>
    <m/>
    <x v="4"/>
    <s v="Tuesday"/>
  </r>
  <r>
    <d v="2024-02-27T00:00:00"/>
    <x v="28"/>
    <s v="General"/>
    <n v="0.56999999999999995"/>
    <x v="12"/>
    <s v="No"/>
    <s v="emails, asana"/>
    <x v="4"/>
    <s v="Tuesday"/>
  </r>
  <r>
    <d v="2024-02-27T00:00:00"/>
    <x v="28"/>
    <s v="Payroll Processing"/>
    <n v="1.22"/>
    <x v="32"/>
    <s v="Yes"/>
    <m/>
    <x v="4"/>
    <s v="Tuesday"/>
  </r>
  <r>
    <d v="2024-02-27T00:00:00"/>
    <x v="29"/>
    <s v="Bookkeeping"/>
    <n v="1"/>
    <x v="49"/>
    <s v="Yes"/>
    <s v="Email Response to Daniel Make changes to Xero file for share capital email tax team  Review income journals with Lindsay"/>
    <x v="4"/>
    <s v="Tuesday"/>
  </r>
  <r>
    <d v="2024-02-27T00:00:00"/>
    <x v="30"/>
    <s v="Debt Collection"/>
    <n v="2.5"/>
    <x v="12"/>
    <s v="No"/>
    <m/>
    <x v="4"/>
    <s v="Tuesday"/>
  </r>
  <r>
    <d v="2024-02-27T00:00:00"/>
    <x v="30"/>
    <s v="Debt Collection"/>
    <n v="5"/>
    <x v="16"/>
    <s v="Yes"/>
    <m/>
    <x v="4"/>
    <s v="Tuesday"/>
  </r>
  <r>
    <d v="2024-02-27T00:00:00"/>
    <x v="30"/>
    <s v="General"/>
    <n v="0.5"/>
    <x v="12"/>
    <s v="No"/>
    <s v="break"/>
    <x v="4"/>
    <s v="Tuesday"/>
  </r>
  <r>
    <d v="2024-02-27T00:00:00"/>
    <x v="31"/>
    <s v="Bookkeeping"/>
    <n v="0.13"/>
    <x v="16"/>
    <s v="Yes"/>
    <s v="Review"/>
    <x v="4"/>
    <s v="Tuesday"/>
  </r>
  <r>
    <d v="2024-02-27T00:00:00"/>
    <x v="31"/>
    <s v="Bookkeeping"/>
    <n v="0.93"/>
    <x v="16"/>
    <s v="Yes"/>
    <m/>
    <x v="4"/>
    <s v="Tuesday"/>
  </r>
  <r>
    <d v="2024-02-27T00:00:00"/>
    <x v="31"/>
    <s v="Client Meeting"/>
    <n v="0.6"/>
    <x v="16"/>
    <s v="Yes"/>
    <s v="AR weekly meeting"/>
    <x v="4"/>
    <s v="Tuesday"/>
  </r>
  <r>
    <d v="2024-02-27T00:00:00"/>
    <x v="31"/>
    <s v="Client Meeting"/>
    <n v="1.3"/>
    <x v="16"/>
    <s v="Yes"/>
    <s v="handover"/>
    <x v="4"/>
    <s v="Tuesday"/>
  </r>
  <r>
    <d v="2024-02-27T00:00:00"/>
    <x v="31"/>
    <s v="General"/>
    <n v="0.7"/>
    <x v="12"/>
    <s v="No"/>
    <s v="handover file / emails"/>
    <x v="4"/>
    <s v="Tuesday"/>
  </r>
  <r>
    <d v="2024-02-27T00:00:00"/>
    <x v="31"/>
    <s v="General"/>
    <n v="0.7"/>
    <x v="12"/>
    <s v="No"/>
    <s v="RJ's access"/>
    <x v="4"/>
    <s v="Tuesday"/>
  </r>
  <r>
    <d v="2024-02-27T00:00:00"/>
    <x v="31"/>
    <s v="General"/>
    <n v="0.73"/>
    <x v="12"/>
    <s v="No"/>
    <s v="handover"/>
    <x v="4"/>
    <s v="Tuesday"/>
  </r>
  <r>
    <d v="2024-02-27T00:00:00"/>
    <x v="31"/>
    <s v="General"/>
    <n v="0.83"/>
    <x v="12"/>
    <s v="No"/>
    <s v="Handover Dext - system access"/>
    <x v="4"/>
    <s v="Tuesday"/>
  </r>
  <r>
    <d v="2024-02-27T00:00:00"/>
    <x v="31"/>
    <s v="General"/>
    <n v="2.15"/>
    <x v="12"/>
    <s v="No"/>
    <s v="handover RJ"/>
    <x v="4"/>
    <s v="Tuesday"/>
  </r>
  <r>
    <d v="2024-02-27T00:00:00"/>
    <x v="32"/>
    <s v="Bookkeeping"/>
    <n v="0.47"/>
    <x v="51"/>
    <s v="Yes"/>
    <s v="Approving sales to a2x Bills raise to Xero Reconciled answered queries. "/>
    <x v="4"/>
    <s v="Tuesday"/>
  </r>
  <r>
    <d v="2024-02-27T00:00:00"/>
    <x v="32"/>
    <s v="Bookkeeping"/>
    <n v="4.75"/>
    <x v="51"/>
    <s v="Yes"/>
    <s v="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
    <x v="4"/>
    <s v="Tuesday"/>
  </r>
  <r>
    <d v="2024-02-27T00:00:00"/>
    <x v="32"/>
    <s v="General"/>
    <n v="0.5"/>
    <x v="12"/>
    <s v="No"/>
    <s v="Break"/>
    <x v="4"/>
    <s v="Tuesday"/>
  </r>
  <r>
    <d v="2024-02-27T00:00:00"/>
    <x v="32"/>
    <s v="Learning &amp; Development"/>
    <n v="0.68"/>
    <x v="12"/>
    <s v="No"/>
    <s v="Maintain your Xero advisor certification in 2024 - Watch Video Product updates Add Badges - Migrate your practice and clients to Xero  Discover the benefits of migrating to Xero"/>
    <x v="4"/>
    <s v="Tuesday"/>
  </r>
  <r>
    <d v="2024-02-27T00:00:00"/>
    <x v="32"/>
    <s v="Learning &amp; Development"/>
    <n v="1.67"/>
    <x v="12"/>
    <s v="No"/>
    <s v="Xero Migrate renewal certification Make a plan to migrate your practice and clients Build and manage a migration project team Get clients feeling confident with the right Xero plan"/>
    <x v="4"/>
    <s v="Tuesday"/>
  </r>
  <r>
    <d v="2024-02-27T00:00:00"/>
    <x v="33"/>
    <s v="IT"/>
    <n v="9"/>
    <x v="12"/>
    <s v="No"/>
    <s v="Support"/>
    <x v="4"/>
    <s v="Tuesday"/>
  </r>
  <r>
    <d v="2024-02-27T00:00:00"/>
    <x v="34"/>
    <s v="Annual Leave"/>
    <n v="4"/>
    <x v="12"/>
    <s v="No"/>
    <m/>
    <x v="4"/>
    <s v="Tuesday"/>
  </r>
  <r>
    <d v="2024-02-27T00:00:00"/>
    <x v="34"/>
    <s v="Bookkeeping"/>
    <n v="0.55000000000000004"/>
    <x v="45"/>
    <s v="Yes"/>
    <s v="Email Management Bills Processing"/>
    <x v="4"/>
    <s v="Tuesday"/>
  </r>
  <r>
    <d v="2024-02-27T00:00:00"/>
    <x v="34"/>
    <s v="Bookkeeping"/>
    <n v="3.53"/>
    <x v="15"/>
    <s v="Yes"/>
    <s v="Email Management Bills Processing Invoices Processing Bank/Credit Card Recon Preparation of Weekly Cash Flow"/>
    <x v="4"/>
    <s v="Tuesday"/>
  </r>
  <r>
    <d v="2024-02-27T00:00:00"/>
    <x v="35"/>
    <s v="Accounts"/>
    <n v="1.27"/>
    <x v="12"/>
    <s v="No"/>
    <s v="Catch up and respond to various emails. Process bank recs. Coordinate invoices remaining on the Awaiting Approval."/>
    <x v="4"/>
    <s v="Tuesday"/>
  </r>
  <r>
    <d v="2024-02-27T00:00:00"/>
    <x v="35"/>
    <s v="Compliance"/>
    <n v="4.28"/>
    <x v="53"/>
    <s v="No"/>
    <s v="BIR Alphalist for 1604C new version"/>
    <x v="4"/>
    <s v="Tuesday"/>
  </r>
  <r>
    <d v="2024-02-27T00:00:00"/>
    <x v="35"/>
    <s v="Compliance"/>
    <n v="4.47"/>
    <x v="53"/>
    <s v="No"/>
    <s v="Continue preparation of New BIR Alphalist version for 1604C and all the documents needed for compliance submission"/>
    <x v="4"/>
    <s v="Tuesday"/>
  </r>
  <r>
    <d v="2024-02-27T00:00:00"/>
    <x v="36"/>
    <s v="Web"/>
    <n v="10"/>
    <x v="12"/>
    <s v="No"/>
    <s v="🏆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
    <x v="4"/>
    <s v="Tuesday"/>
  </r>
  <r>
    <d v="2024-02-27T00:00:00"/>
    <x v="37"/>
    <s v="Bookkeeping"/>
    <n v="0.25"/>
    <x v="83"/>
    <s v="Yes"/>
    <m/>
    <x v="4"/>
    <s v="Tuesday"/>
  </r>
  <r>
    <d v="2024-02-27T00:00:00"/>
    <x v="37"/>
    <s v="Bookkeeping"/>
    <n v="0.5"/>
    <x v="84"/>
    <s v="Yes"/>
    <s v="supplier bills processing"/>
    <x v="4"/>
    <s v="Tuesday"/>
  </r>
  <r>
    <d v="2024-02-27T00:00:00"/>
    <x v="37"/>
    <s v="Bookkeeping"/>
    <n v="0.5"/>
    <x v="59"/>
    <s v="Yes"/>
    <m/>
    <x v="4"/>
    <s v="Tuesday"/>
  </r>
  <r>
    <d v="2024-02-27T00:00:00"/>
    <x v="37"/>
    <s v="Bookkeeping"/>
    <n v="0.5"/>
    <x v="85"/>
    <s v="Yes"/>
    <m/>
    <x v="4"/>
    <s v="Tuesday"/>
  </r>
  <r>
    <d v="2024-02-27T00:00:00"/>
    <x v="37"/>
    <s v="Bookkeeping"/>
    <n v="2.5"/>
    <x v="19"/>
    <s v="Yes"/>
    <m/>
    <x v="4"/>
    <s v="Tuesday"/>
  </r>
  <r>
    <d v="2024-02-27T00:00:00"/>
    <x v="37"/>
    <s v="Payroll Processing"/>
    <n v="0.25"/>
    <x v="112"/>
    <s v="Yes"/>
    <m/>
    <x v="4"/>
    <s v="Tuesday"/>
  </r>
  <r>
    <d v="2024-02-27T00:00:00"/>
    <x v="37"/>
    <s v="Payroll Processing"/>
    <n v="0.5"/>
    <x v="86"/>
    <s v="Yes"/>
    <m/>
    <x v="4"/>
    <s v="Tuesday"/>
  </r>
  <r>
    <d v="2024-02-27T00:00:00"/>
    <x v="38"/>
    <s v="Client Manager"/>
    <n v="7.0000000000000007E-2"/>
    <x v="2"/>
    <s v="No"/>
    <s v="approval of invoice"/>
    <x v="4"/>
    <s v="Tuesday"/>
  </r>
  <r>
    <d v="2024-02-27T00:00:00"/>
    <x v="38"/>
    <s v="Client Manager"/>
    <n v="0.85"/>
    <x v="54"/>
    <s v="Yes"/>
    <s v="Meeting with Jenny on commissions"/>
    <x v="4"/>
    <s v="Tuesday"/>
  </r>
  <r>
    <d v="2024-02-27T00:00:00"/>
    <x v="38"/>
    <s v="General"/>
    <n v="1.47"/>
    <x v="12"/>
    <s v="No"/>
    <s v="emails, teams, Asana"/>
    <x v="4"/>
    <s v="Tuesday"/>
  </r>
  <r>
    <d v="2024-02-27T00:00:00"/>
    <x v="38"/>
    <s v="Learning &amp; Development"/>
    <n v="4.83"/>
    <x v="12"/>
    <s v="No"/>
    <s v="Xero Summer summit"/>
    <x v="4"/>
    <s v="Tuesday"/>
  </r>
  <r>
    <d v="2024-02-27T00:00:00"/>
    <x v="39"/>
    <s v="Bookkeeping"/>
    <n v="0.17"/>
    <x v="14"/>
    <s v="Yes"/>
    <s v="email"/>
    <x v="4"/>
    <s v="Tuesday"/>
  </r>
  <r>
    <d v="2024-02-27T00:00:00"/>
    <x v="39"/>
    <s v="Bookkeeping"/>
    <n v="0.22"/>
    <x v="14"/>
    <s v="Yes"/>
    <s v="Adhoc - Fundraising money report"/>
    <x v="4"/>
    <s v="Tuesday"/>
  </r>
  <r>
    <d v="2024-02-27T00:00:00"/>
    <x v="39"/>
    <s v="Bookkeeping"/>
    <n v="0.28000000000000003"/>
    <x v="55"/>
    <s v="Yes"/>
    <s v="AP"/>
    <x v="4"/>
    <s v="Tuesday"/>
  </r>
  <r>
    <d v="2024-02-27T00:00:00"/>
    <x v="39"/>
    <s v="Bookkeeping"/>
    <n v="0.43"/>
    <x v="55"/>
    <s v="Yes"/>
    <s v="ZIP money allocate CN,update and recon, email"/>
    <x v="4"/>
    <s v="Tuesday"/>
  </r>
  <r>
    <d v="2024-02-27T00:00:00"/>
    <x v="39"/>
    <s v="Bookkeeping"/>
    <n v="0.68"/>
    <x v="55"/>
    <s v="Yes"/>
    <s v="BR, files"/>
    <x v="4"/>
    <s v="Tuesday"/>
  </r>
  <r>
    <d v="2024-02-27T00:00:00"/>
    <x v="39"/>
    <s v="Bookkeeping"/>
    <n v="0.77"/>
    <x v="14"/>
    <s v="Yes"/>
    <s v="AP"/>
    <x v="4"/>
    <s v="Tuesday"/>
  </r>
  <r>
    <d v="2024-02-27T00:00:00"/>
    <x v="39"/>
    <s v="Bookkeeping"/>
    <n v="1.25"/>
    <x v="55"/>
    <s v="Yes"/>
    <s v="Urgent Call request from Adriana re MEA accounts  "/>
    <x v="4"/>
    <s v="Tuesday"/>
  </r>
  <r>
    <d v="2024-02-27T00:00:00"/>
    <x v="39"/>
    <s v="Bookkeeping"/>
    <n v="1.28"/>
    <x v="55"/>
    <s v="Yes"/>
    <s v="BR"/>
    <x v="4"/>
    <s v="Tuesday"/>
  </r>
  <r>
    <d v="2024-02-27T00:00:00"/>
    <x v="39"/>
    <s v="Client Meeting"/>
    <n v="1.1000000000000001"/>
    <x v="55"/>
    <s v="Yes"/>
    <s v="Call with Silvana - iCare declaration of Actual wages for Multiple yrs"/>
    <x v="4"/>
    <s v="Tuesday"/>
  </r>
  <r>
    <d v="2024-02-27T00:00:00"/>
    <x v="39"/>
    <s v="General"/>
    <n v="0.15"/>
    <x v="12"/>
    <s v="No"/>
    <s v="asana "/>
    <x v="4"/>
    <s v="Tuesday"/>
  </r>
  <r>
    <d v="2024-02-27T00:00:00"/>
    <x v="39"/>
    <s v="Payroll Processing"/>
    <n v="0.45"/>
    <x v="33"/>
    <s v="Yes"/>
    <m/>
    <x v="4"/>
    <s v="Tuesday"/>
  </r>
  <r>
    <d v="2024-02-27T00:00:00"/>
    <x v="39"/>
    <s v="Payroll Processing"/>
    <n v="1.23"/>
    <x v="30"/>
    <s v="Yes"/>
    <m/>
    <x v="4"/>
    <s v="Tuesday"/>
  </r>
  <r>
    <d v="2024-02-27T00:00:00"/>
    <x v="40"/>
    <s v="Bookkeeping"/>
    <n v="0.67"/>
    <x v="50"/>
    <s v="Yes"/>
    <s v="Feb AL &amp; LSL Accruals - BAM and BELCR"/>
    <x v="4"/>
    <s v="Tuesday"/>
  </r>
  <r>
    <d v="2024-02-27T00:00:00"/>
    <x v="40"/>
    <s v="Bookkeeping"/>
    <n v="0.68"/>
    <x v="50"/>
    <s v="Yes"/>
    <s v="Cost recharge BAM and BASS to BELCR"/>
    <x v="4"/>
    <s v="Tuesday"/>
  </r>
  <r>
    <d v="2024-02-27T00:00:00"/>
    <x v="40"/>
    <s v="Bookkeeping"/>
    <n v="1"/>
    <x v="50"/>
    <s v="Yes"/>
    <s v="3top recs"/>
    <x v="4"/>
    <s v="Tuesday"/>
  </r>
  <r>
    <d v="2024-02-27T00:00:00"/>
    <x v="40"/>
    <s v="Bookkeeping"/>
    <n v="1.72"/>
    <x v="50"/>
    <s v="Yes"/>
    <s v="3top recon"/>
    <x v="4"/>
    <s v="Tuesday"/>
  </r>
  <r>
    <d v="2024-02-27T00:00:00"/>
    <x v="40"/>
    <s v="Bookkeeping"/>
    <n v="2.0299999999999998"/>
    <x v="36"/>
    <s v="Yes"/>
    <m/>
    <x v="4"/>
    <s v="Tuesday"/>
  </r>
  <r>
    <d v="2024-02-27T00:00:00"/>
    <x v="40"/>
    <s v="Bookkeeping"/>
    <n v="2.6"/>
    <x v="50"/>
    <s v="Yes"/>
    <s v="Bank recs"/>
    <x v="4"/>
    <s v="Tuesday"/>
  </r>
  <r>
    <d v="2024-02-27T00:00:00"/>
    <x v="40"/>
    <s v="General"/>
    <n v="0.28000000000000003"/>
    <x v="12"/>
    <s v="No"/>
    <s v="Dex emails"/>
    <x v="4"/>
    <s v="Tuesday"/>
  </r>
  <r>
    <d v="2024-02-27T00:00:00"/>
    <x v="41"/>
    <s v="General"/>
    <n v="2.2200000000000002"/>
    <x v="12"/>
    <s v="No"/>
    <s v="Cap planning-rose leaving Asana team tasks review Admin-emails QB cert"/>
    <x v="4"/>
    <s v="Tuesday"/>
  </r>
  <r>
    <d v="2024-02-27T00:00:00"/>
    <x v="41"/>
    <s v="General"/>
    <n v="3.03"/>
    <x v="12"/>
    <s v="No"/>
    <s v="Building compliance master tracker Handover notes Set-up accesses and links"/>
    <x v="4"/>
    <s v="Tuesday"/>
  </r>
  <r>
    <d v="2024-02-27T00:00:00"/>
    <x v="41"/>
    <s v="HR/Recuitment"/>
    <n v="0.56999999999999995"/>
    <x v="12"/>
    <s v="No"/>
    <s v="Interview - Jovelyn Taperla"/>
    <x v="4"/>
    <s v="Tuesday"/>
  </r>
  <r>
    <d v="2024-02-27T00:00:00"/>
    <x v="41"/>
    <s v="HR/Recuitment"/>
    <n v="0.73"/>
    <x v="12"/>
    <s v="No"/>
    <s v="Payroll specialist interview - John Philip San Pedro"/>
    <x v="4"/>
    <s v="Tuesday"/>
  </r>
  <r>
    <d v="2024-02-27T00:00:00"/>
    <x v="41"/>
    <s v="Meetings"/>
    <n v="1.95"/>
    <x v="12"/>
    <s v="No"/>
    <s v="Finance handover with con"/>
    <x v="4"/>
    <s v="Tuesday"/>
  </r>
  <r>
    <d v="2024-02-27T00:00:00"/>
    <x v="42"/>
    <s v="Bookkeeping"/>
    <n v="8.4700000000000006"/>
    <x v="16"/>
    <s v="Yes"/>
    <m/>
    <x v="4"/>
    <s v="Tuesday"/>
  </r>
  <r>
    <d v="2024-02-27T00:00:00"/>
    <x v="43"/>
    <s v="General"/>
    <n v="0.5"/>
    <x v="12"/>
    <s v="No"/>
    <s v="Break"/>
    <x v="4"/>
    <s v="Tuesday"/>
  </r>
  <r>
    <d v="2024-02-27T00:00:00"/>
    <x v="43"/>
    <s v="Payroll Processing"/>
    <n v="3.58"/>
    <x v="37"/>
    <s v="Yes"/>
    <s v="Payroll processing"/>
    <x v="4"/>
    <s v="Tuesday"/>
  </r>
  <r>
    <d v="2024-02-27T00:00:00"/>
    <x v="43"/>
    <s v="Sick Leave"/>
    <n v="4"/>
    <x v="12"/>
    <s v="No"/>
    <m/>
    <x v="4"/>
    <s v="Tuesday"/>
  </r>
  <r>
    <d v="2024-02-27T00:00:00"/>
    <x v="45"/>
    <s v="Bookkeeping"/>
    <n v="0.12"/>
    <x v="57"/>
    <s v="Yes"/>
    <s v="AP and bank rec review"/>
    <x v="4"/>
    <s v="Tuesday"/>
  </r>
  <r>
    <d v="2024-02-27T00:00:00"/>
    <x v="45"/>
    <s v="Bookkeeping"/>
    <n v="0.25"/>
    <x v="57"/>
    <s v="Yes"/>
    <s v="Bank rec Check payments"/>
    <x v="4"/>
    <s v="Tuesday"/>
  </r>
  <r>
    <d v="2024-02-27T00:00:00"/>
    <x v="45"/>
    <s v="Bookkeeping"/>
    <n v="0.88"/>
    <x v="50"/>
    <s v="Yes"/>
    <s v="Review BAS excluded expense accounts"/>
    <x v="4"/>
    <s v="Tuesday"/>
  </r>
  <r>
    <d v="2024-02-27T00:00:00"/>
    <x v="45"/>
    <s v="Bookkeeping"/>
    <n v="1.75"/>
    <x v="50"/>
    <s v="Yes"/>
    <s v="AP run"/>
    <x v="4"/>
    <s v="Tuesday"/>
  </r>
  <r>
    <d v="2024-02-27T00:00:00"/>
    <x v="45"/>
    <s v="Bookkeeping"/>
    <n v="3.5"/>
    <x v="50"/>
    <s v="Yes"/>
    <s v="AR - raise invoices for new MSN AP - post bills, prepare reports for pay run Bank rec Inbox mgmt Review and recode transactions"/>
    <x v="4"/>
    <s v="Tuesday"/>
  </r>
  <r>
    <d v="2024-02-27T00:00:00"/>
    <x v="45"/>
    <s v="General"/>
    <n v="0.5"/>
    <x v="12"/>
    <s v="No"/>
    <s v="Paid break"/>
    <x v="4"/>
    <s v="Tuesday"/>
  </r>
  <r>
    <d v="2024-02-27T00:00:00"/>
    <x v="45"/>
    <s v="IAS/BAS Preparation &amp; Lodgement - Oct-Dec"/>
    <n v="7.0000000000000007E-2"/>
    <x v="91"/>
    <s v="Yes"/>
    <s v="Send email reminder to client"/>
    <x v="4"/>
    <s v="Tuesday"/>
  </r>
  <r>
    <d v="2024-02-27T00:00:00"/>
    <x v="45"/>
    <s v="Payroll Processing"/>
    <n v="0.03"/>
    <x v="24"/>
    <s v="Yes"/>
    <s v="Process payroll"/>
    <x v="4"/>
    <s v="Tuesday"/>
  </r>
  <r>
    <d v="2024-02-27T00:00:00"/>
    <x v="45"/>
    <s v="Payroll Processing"/>
    <n v="0.12"/>
    <x v="60"/>
    <s v="Yes"/>
    <s v="Process payroll"/>
    <x v="4"/>
    <s v="Tuesday"/>
  </r>
  <r>
    <d v="2024-02-27T00:00:00"/>
    <x v="45"/>
    <s v="Payroll Processing"/>
    <n v="0.35"/>
    <x v="21"/>
    <s v="Yes"/>
    <s v="Calculate Noah's payroll adjustment Process payroll in advance"/>
    <x v="4"/>
    <s v="Tuesday"/>
  </r>
  <r>
    <d v="2024-02-27T00:00:00"/>
    <x v="45"/>
    <s v="Payroll Processing"/>
    <n v="0.43"/>
    <x v="22"/>
    <s v="Yes"/>
    <s v="Process payroll"/>
    <x v="4"/>
    <s v="Tuesday"/>
  </r>
  <r>
    <d v="2024-02-27T00:00:00"/>
    <x v="46"/>
    <s v="Client Manager"/>
    <n v="0.33"/>
    <x v="14"/>
    <s v="Yes"/>
    <s v="Upload payables and email Katherine/Shalisa for approval Liaise with Ann re payroll review.  Follow up with Cess re Jan grant allocations. "/>
    <x v="4"/>
    <s v="Tuesday"/>
  </r>
  <r>
    <d v="2024-02-27T00:00:00"/>
    <x v="46"/>
    <s v="Client Manager"/>
    <n v="0.5"/>
    <x v="114"/>
    <s v="No"/>
    <s v="Lunch with the team"/>
    <x v="4"/>
    <s v="Tuesday"/>
  </r>
  <r>
    <d v="2024-02-27T00:00:00"/>
    <x v="46"/>
    <s v="Client Manager"/>
    <n v="6.25"/>
    <x v="114"/>
    <s v="Yes"/>
    <s v="Onsite visit: Handover with Leonie re AP, AR and payroll functions. Go through the processes, filing etc"/>
    <x v="4"/>
    <s v="Tuesday"/>
  </r>
  <r>
    <d v="2024-02-27T00:00:00"/>
    <x v="46"/>
    <s v="General"/>
    <n v="0.5"/>
    <x v="12"/>
    <s v="No"/>
    <s v="Give update to Nick re Chemika work, concerns,  Attend to internal messages/emails "/>
    <x v="4"/>
    <s v="Tuesday"/>
  </r>
  <r>
    <d v="2024-02-27T00:00:00"/>
    <x v="53"/>
    <s v="General"/>
    <n v="8.9499999999999993"/>
    <x v="12"/>
    <s v="No"/>
    <s v="meeting and training"/>
    <x v="4"/>
    <s v="Tuesday"/>
  </r>
  <r>
    <d v="2024-02-27T00:00:00"/>
    <x v="47"/>
    <s v="Bookkeeping"/>
    <n v="0.6"/>
    <x v="50"/>
    <s v="Yes"/>
    <s v="review AP list and unreconciled cc"/>
    <x v="4"/>
    <s v="Tuesday"/>
  </r>
  <r>
    <d v="2024-02-27T00:00:00"/>
    <x v="47"/>
    <s v="Bookkeeping"/>
    <n v="1.5"/>
    <x v="50"/>
    <s v="Yes"/>
    <s v="3TOP rec"/>
    <x v="4"/>
    <s v="Tuesday"/>
  </r>
  <r>
    <d v="2024-02-27T00:00:00"/>
    <x v="47"/>
    <s v="Client Manager"/>
    <n v="0.7"/>
    <x v="50"/>
    <s v="Yes"/>
    <s v="liaise with team, emails"/>
    <x v="4"/>
    <s v="Tuesday"/>
  </r>
  <r>
    <d v="2024-02-27T00:00:00"/>
    <x v="47"/>
    <s v="Client Meeting"/>
    <n v="2"/>
    <x v="50"/>
    <s v="Yes"/>
    <s v="Catch up Stephen - Fathom, RIL entities"/>
    <x v="4"/>
    <s v="Tuesday"/>
  </r>
  <r>
    <d v="2024-02-27T00:00:00"/>
    <x v="47"/>
    <s v="Management Reporting"/>
    <n v="2.5"/>
    <x v="50"/>
    <s v="Yes"/>
    <s v="Updated Fathom report at 31 Jan + add comments and details instructions team re recode accounts, new accounts, cost recharge"/>
    <x v="4"/>
    <s v="Tuesday"/>
  </r>
  <r>
    <d v="2024-02-27T00:00:00"/>
    <x v="47"/>
    <s v="Payroll Processing"/>
    <n v="0.8"/>
    <x v="50"/>
    <s v="Yes"/>
    <s v="Super ATO: create new employees, terminate Amy &amp; Rebecca, Lodge super Feb for BAM and BELCR"/>
    <x v="4"/>
    <s v="Tuesday"/>
  </r>
  <r>
    <d v="2024-02-27T00:00:00"/>
    <x v="48"/>
    <s v="HR/Recuitment"/>
    <n v="8"/>
    <x v="12"/>
    <s v="No"/>
    <m/>
    <x v="4"/>
    <s v="Tuesday"/>
  </r>
  <r>
    <d v="2024-02-28T00:00:00"/>
    <x v="0"/>
    <s v="Bookkeeping"/>
    <n v="0.05"/>
    <x v="3"/>
    <s v="Yes"/>
    <s v="Email"/>
    <x v="4"/>
    <s v="Wednesday"/>
  </r>
  <r>
    <d v="2024-02-28T00:00:00"/>
    <x v="0"/>
    <s v="Bookkeeping"/>
    <n v="7.0000000000000007E-2"/>
    <x v="62"/>
    <s v="Yes"/>
    <s v="Emails"/>
    <x v="4"/>
    <s v="Wednesday"/>
  </r>
  <r>
    <d v="2024-02-28T00:00:00"/>
    <x v="0"/>
    <s v="Bookkeeping"/>
    <n v="7.0000000000000007E-2"/>
    <x v="2"/>
    <s v="Yes"/>
    <s v="Emails"/>
    <x v="4"/>
    <s v="Wednesday"/>
  </r>
  <r>
    <d v="2024-02-28T00:00:00"/>
    <x v="0"/>
    <s v="Bookkeeping"/>
    <n v="0.08"/>
    <x v="2"/>
    <s v="Yes"/>
    <s v="Manual Journal"/>
    <x v="4"/>
    <s v="Wednesday"/>
  </r>
  <r>
    <d v="2024-02-28T00:00:00"/>
    <x v="0"/>
    <s v="Bookkeeping"/>
    <n v="0.17"/>
    <x v="2"/>
    <s v="Yes"/>
    <s v="Email/Inbox Management"/>
    <x v="4"/>
    <s v="Wednesday"/>
  </r>
  <r>
    <d v="2024-02-28T00:00:00"/>
    <x v="0"/>
    <s v="Bookkeeping"/>
    <n v="0.18"/>
    <x v="3"/>
    <s v="Yes"/>
    <s v="Emails"/>
    <x v="4"/>
    <s v="Wednesday"/>
  </r>
  <r>
    <d v="2024-02-28T00:00:00"/>
    <x v="0"/>
    <s v="Bookkeeping"/>
    <n v="0.22"/>
    <x v="62"/>
    <s v="Yes"/>
    <s v="Accounts Payable"/>
    <x v="4"/>
    <s v="Wednesday"/>
  </r>
  <r>
    <d v="2024-02-28T00:00:00"/>
    <x v="0"/>
    <s v="Bookkeeping"/>
    <n v="0.23"/>
    <x v="2"/>
    <s v="Yes"/>
    <s v="Create PO's in Xero"/>
    <x v="4"/>
    <s v="Wednesday"/>
  </r>
  <r>
    <d v="2024-02-28T00:00:00"/>
    <x v="0"/>
    <s v="Bookkeeping"/>
    <n v="0.23"/>
    <x v="3"/>
    <s v="Yes"/>
    <s v="Clear AP inbox and Submit bills for approval in Xero"/>
    <x v="4"/>
    <s v="Wednesday"/>
  </r>
  <r>
    <d v="2024-02-28T00:00:00"/>
    <x v="0"/>
    <s v="Bookkeeping"/>
    <n v="0.25"/>
    <x v="2"/>
    <s v="Yes"/>
    <s v="Emails and PO's"/>
    <x v="4"/>
    <s v="Wednesday"/>
  </r>
  <r>
    <d v="2024-02-28T00:00:00"/>
    <x v="0"/>
    <s v="Bookkeeping"/>
    <n v="0.27"/>
    <x v="8"/>
    <s v="Yes"/>
    <s v="Bank Reconciliation"/>
    <x v="4"/>
    <s v="Wednesday"/>
  </r>
  <r>
    <d v="2024-02-28T00:00:00"/>
    <x v="0"/>
    <s v="Bookkeeping"/>
    <n v="0.38"/>
    <x v="6"/>
    <s v="Yes"/>
    <s v="AP and Email/Inbox Management"/>
    <x v="4"/>
    <s v="Wednesday"/>
  </r>
  <r>
    <d v="2024-02-28T00:00:00"/>
    <x v="0"/>
    <s v="Bookkeeping"/>
    <n v="0.47"/>
    <x v="2"/>
    <s v="Yes"/>
    <s v="Copy contacts from AgriChain to Xero"/>
    <x v="4"/>
    <s v="Wednesday"/>
  </r>
  <r>
    <d v="2024-02-28T00:00:00"/>
    <x v="0"/>
    <s v="Bookkeeping"/>
    <n v="0.48"/>
    <x v="11"/>
    <s v="Yes"/>
    <s v="Bank Reconciliation and Manual Journal"/>
    <x v="4"/>
    <s v="Wednesday"/>
  </r>
  <r>
    <d v="2024-02-28T00:00:00"/>
    <x v="0"/>
    <s v="Bookkeeping"/>
    <n v="0.65"/>
    <x v="2"/>
    <s v="Yes"/>
    <s v="Publish bills in Hubdoc to Xero"/>
    <x v="4"/>
    <s v="Wednesday"/>
  </r>
  <r>
    <d v="2024-02-28T00:00:00"/>
    <x v="0"/>
    <s v="Bookkeeping"/>
    <n v="0.7"/>
    <x v="19"/>
    <s v="Yes"/>
    <s v="Accounts Payable"/>
    <x v="4"/>
    <s v="Wednesday"/>
  </r>
  <r>
    <d v="2024-02-28T00:00:00"/>
    <x v="0"/>
    <s v="Bookkeeping"/>
    <n v="0.75"/>
    <x v="11"/>
    <s v="Yes"/>
    <s v="Bank Reconciliation"/>
    <x v="4"/>
    <s v="Wednesday"/>
  </r>
  <r>
    <d v="2024-02-28T00:00:00"/>
    <x v="0"/>
    <s v="Bookkeeping"/>
    <n v="0.82"/>
    <x v="19"/>
    <s v="Yes"/>
    <s v="AP and Email/Inbox Management"/>
    <x v="4"/>
    <s v="Wednesday"/>
  </r>
  <r>
    <d v="2024-02-28T00:00:00"/>
    <x v="0"/>
    <s v="Bookkeeping"/>
    <n v="0.85"/>
    <x v="2"/>
    <s v="Yes"/>
    <s v="Bank Reconciliation"/>
    <x v="4"/>
    <s v="Wednesday"/>
  </r>
  <r>
    <d v="2024-02-28T00:00:00"/>
    <x v="0"/>
    <s v="General"/>
    <n v="0.25"/>
    <x v="12"/>
    <s v="No"/>
    <s v="Afternoon Break"/>
    <x v="4"/>
    <s v="Wednesday"/>
  </r>
  <r>
    <d v="2024-02-28T00:00:00"/>
    <x v="0"/>
    <s v="General"/>
    <n v="0.25"/>
    <x v="12"/>
    <s v="No"/>
    <s v="Morning Break"/>
    <x v="4"/>
    <s v="Wednesday"/>
  </r>
  <r>
    <d v="2024-02-28T00:00:00"/>
    <x v="0"/>
    <s v="Payroll Processing"/>
    <n v="0.08"/>
    <x v="11"/>
    <s v="Yes"/>
    <s v="Review"/>
    <x v="4"/>
    <s v="Wednesday"/>
  </r>
  <r>
    <d v="2024-02-28T00:00:00"/>
    <x v="0"/>
    <s v="Payroll Processing"/>
    <n v="0.5"/>
    <x v="13"/>
    <s v="Yes"/>
    <m/>
    <x v="4"/>
    <s v="Wednesday"/>
  </r>
  <r>
    <d v="2024-02-28T00:00:00"/>
    <x v="49"/>
    <s v="P&amp;C Advisory - Group"/>
    <n v="1.25"/>
    <x v="63"/>
    <s v="Yes"/>
    <s v="Internal audit call Update intranet with Town Hall presentations Coordinate Town Hall workshops re. core themes"/>
    <x v="4"/>
    <s v="Wednesday"/>
  </r>
  <r>
    <d v="2024-02-28T00:00:00"/>
    <x v="49"/>
    <s v="P&amp;C Advisory - Nederman Mikropul"/>
    <n v="0.5"/>
    <x v="63"/>
    <s v="Yes"/>
    <s v="Coaching re. people management/performance reviews"/>
    <x v="4"/>
    <s v="Wednesday"/>
  </r>
  <r>
    <d v="2024-02-28T00:00:00"/>
    <x v="49"/>
    <s v="P&amp;C Advisory - Nederman PT"/>
    <n v="2.75"/>
    <x v="63"/>
    <s v="Yes"/>
    <s v="Call re. closure of Sydney office Advice re. compassionate leave Draft script for redundancy discussions Draft letters for redundancy outcome Review of performance documentation and recommended next steps"/>
    <x v="4"/>
    <s v="Wednesday"/>
  </r>
  <r>
    <d v="2024-02-28T00:00:00"/>
    <x v="49"/>
    <s v="P&amp;C Advisory - Nordfab"/>
    <n v="0.25"/>
    <x v="63"/>
    <s v="Yes"/>
    <s v="Follow up re. drug and alcohol testing"/>
    <x v="4"/>
    <s v="Wednesday"/>
  </r>
  <r>
    <d v="2024-02-28T00:00:00"/>
    <x v="1"/>
    <s v="Annual Leave"/>
    <n v="8"/>
    <x v="12"/>
    <s v="No"/>
    <m/>
    <x v="4"/>
    <s v="Wednesday"/>
  </r>
  <r>
    <d v="2024-02-28T00:00:00"/>
    <x v="1"/>
    <s v="Bookkeeping"/>
    <n v="0.57999999999999996"/>
    <x v="14"/>
    <s v="Yes"/>
    <m/>
    <x v="4"/>
    <s v="Wednesday"/>
  </r>
  <r>
    <d v="2024-02-28T00:00:00"/>
    <x v="1"/>
    <s v="Bookkeeping"/>
    <n v="2.13"/>
    <x v="64"/>
    <s v="Yes"/>
    <s v="Monthly interest payment"/>
    <x v="4"/>
    <s v="Wednesday"/>
  </r>
  <r>
    <d v="2024-02-28T00:00:00"/>
    <x v="1"/>
    <s v="Payroll Processing"/>
    <n v="2.63"/>
    <x v="15"/>
    <s v="Yes"/>
    <m/>
    <x v="4"/>
    <s v="Wednesday"/>
  </r>
  <r>
    <d v="2024-02-28T00:00:00"/>
    <x v="3"/>
    <s v="Business Development"/>
    <n v="8"/>
    <x v="12"/>
    <s v="No"/>
    <s v="finalizing of flow continuation of manuals"/>
    <x v="4"/>
    <s v="Wednesday"/>
  </r>
  <r>
    <d v="2024-02-28T00:00:00"/>
    <x v="4"/>
    <s v="Business Development"/>
    <n v="8"/>
    <x v="12"/>
    <s v="No"/>
    <m/>
    <x v="4"/>
    <s v="Wednesday"/>
  </r>
  <r>
    <d v="2024-02-28T00:00:00"/>
    <x v="5"/>
    <s v="Bookkeeping"/>
    <n v="0.4"/>
    <x v="16"/>
    <s v="Yes"/>
    <s v="Marking as Paid in Simpro "/>
    <x v="4"/>
    <s v="Wednesday"/>
  </r>
  <r>
    <d v="2024-02-28T00:00:00"/>
    <x v="5"/>
    <s v="Bookkeeping"/>
    <n v="0.5"/>
    <x v="16"/>
    <s v="Yes"/>
    <s v="Leave Reports"/>
    <x v="4"/>
    <s v="Wednesday"/>
  </r>
  <r>
    <d v="2024-02-28T00:00:00"/>
    <x v="5"/>
    <s v="Bookkeeping"/>
    <n v="1.88"/>
    <x v="16"/>
    <s v="Yes"/>
    <s v="Email Management "/>
    <x v="4"/>
    <s v="Wednesday"/>
  </r>
  <r>
    <d v="2024-02-28T00:00:00"/>
    <x v="5"/>
    <s v="Bookkeeping"/>
    <n v="6.23"/>
    <x v="16"/>
    <s v="Yes"/>
    <s v="AP Processing "/>
    <x v="4"/>
    <s v="Wednesday"/>
  </r>
  <r>
    <d v="2024-02-28T00:00:00"/>
    <x v="7"/>
    <s v="Automations"/>
    <n v="9.8699999999999992"/>
    <x v="12"/>
    <s v="No"/>
    <m/>
    <x v="4"/>
    <s v="Wednesday"/>
  </r>
  <r>
    <d v="2024-02-28T00:00:00"/>
    <x v="8"/>
    <s v="Budget - Monthly"/>
    <n v="0.02"/>
    <x v="137"/>
    <s v="No"/>
    <m/>
    <x v="4"/>
    <s v="Wednesday"/>
  </r>
  <r>
    <d v="2024-02-28T00:00:00"/>
    <x v="8"/>
    <s v="Budget - Monthly"/>
    <n v="0.02"/>
    <x v="138"/>
    <s v="No"/>
    <m/>
    <x v="4"/>
    <s v="Wednesday"/>
  </r>
  <r>
    <d v="2024-02-28T00:00:00"/>
    <x v="9"/>
    <s v="Automations"/>
    <n v="6"/>
    <x v="12"/>
    <s v="No"/>
    <s v="Run four Alliance automations + AP automation; Developed a new feature for Simpro as requested by Rejie. New Feature involves adding comments to Simpro"/>
    <x v="4"/>
    <s v="Wednesday"/>
  </r>
  <r>
    <d v="2024-02-28T00:00:00"/>
    <x v="10"/>
    <s v="Automations"/>
    <n v="9.2200000000000006"/>
    <x v="12"/>
    <s v="No"/>
    <s v="Capspace Automation Report Generation Alliance Automation Part 1 Part 2 Development"/>
    <x v="4"/>
    <s v="Wednesday"/>
  </r>
  <r>
    <d v="2024-02-28T00:00:00"/>
    <x v="11"/>
    <s v="Bookkeeping"/>
    <n v="0.33"/>
    <x v="31"/>
    <s v="No"/>
    <s v="Meeting with Ge for Asana tasks"/>
    <x v="4"/>
    <s v="Wednesday"/>
  </r>
  <r>
    <d v="2024-02-28T00:00:00"/>
    <x v="11"/>
    <s v="Bookkeeping"/>
    <n v="0.5"/>
    <x v="25"/>
    <s v="Yes"/>
    <s v="Checking emails, loading bills"/>
    <x v="4"/>
    <s v="Wednesday"/>
  </r>
  <r>
    <d v="2024-02-28T00:00:00"/>
    <x v="11"/>
    <s v="Bookkeeping"/>
    <n v="0.57999999999999996"/>
    <x v="21"/>
    <s v="Yes"/>
    <s v="Pushing bills from HubDoc, bank recon"/>
    <x v="4"/>
    <s v="Wednesday"/>
  </r>
  <r>
    <d v="2024-02-28T00:00:00"/>
    <x v="11"/>
    <s v="Bookkeeping"/>
    <n v="0.92"/>
    <x v="23"/>
    <s v="No"/>
    <s v="Checking previous transactions, research for unfamiliar suppliers"/>
    <x v="4"/>
    <s v="Wednesday"/>
  </r>
  <r>
    <d v="2024-02-28T00:00:00"/>
    <x v="11"/>
    <s v="Bookkeeping"/>
    <n v="0.92"/>
    <x v="42"/>
    <s v="Yes"/>
    <s v="Emails, loading bills, bank recon"/>
    <x v="4"/>
    <s v="Wednesday"/>
  </r>
  <r>
    <d v="2024-02-28T00:00:00"/>
    <x v="11"/>
    <s v="Bookkeeping"/>
    <n v="4.25"/>
    <x v="23"/>
    <s v="Yes"/>
    <s v="Pushing (100+) bills from HubDoc, bank recon, BS rec for BAS"/>
    <x v="4"/>
    <s v="Wednesday"/>
  </r>
  <r>
    <d v="2024-02-28T00:00:00"/>
    <x v="11"/>
    <s v="General"/>
    <n v="0.5"/>
    <x v="12"/>
    <s v="No"/>
    <s v="break"/>
    <x v="4"/>
    <s v="Wednesday"/>
  </r>
  <r>
    <d v="2024-02-28T00:00:00"/>
    <x v="13"/>
    <s v="Trust Tax Returns"/>
    <n v="1"/>
    <x v="106"/>
    <s v="Yes"/>
    <s v="attending to review points from James for the group (6 entities) update some w/p for the group send James tax returns for review "/>
    <x v="4"/>
    <s v="Wednesday"/>
  </r>
  <r>
    <d v="2024-02-28T00:00:00"/>
    <x v="14"/>
    <s v="Bookkeeping"/>
    <n v="0.18"/>
    <x v="34"/>
    <s v="Yes"/>
    <s v="emails/queries"/>
    <x v="4"/>
    <s v="Wednesday"/>
  </r>
  <r>
    <d v="2024-02-28T00:00:00"/>
    <x v="14"/>
    <s v="Bookkeeping"/>
    <n v="0.47"/>
    <x v="31"/>
    <s v="Yes"/>
    <s v="changeover and intro"/>
    <x v="4"/>
    <s v="Wednesday"/>
  </r>
  <r>
    <d v="2024-02-28T00:00:00"/>
    <x v="14"/>
    <s v="General"/>
    <n v="0.15"/>
    <x v="12"/>
    <s v="No"/>
    <s v="emails/ invites"/>
    <x v="4"/>
    <s v="Wednesday"/>
  </r>
  <r>
    <d v="2024-02-28T00:00:00"/>
    <x v="14"/>
    <s v="General"/>
    <n v="0.35"/>
    <x v="12"/>
    <s v="No"/>
    <s v="emails/Teams"/>
    <x v="4"/>
    <s v="Wednesday"/>
  </r>
  <r>
    <d v="2024-02-28T00:00:00"/>
    <x v="14"/>
    <s v="General"/>
    <n v="0.5"/>
    <x v="12"/>
    <s v="No"/>
    <s v="break"/>
    <x v="4"/>
    <s v="Wednesday"/>
  </r>
  <r>
    <d v="2024-02-28T00:00:00"/>
    <x v="14"/>
    <s v="General"/>
    <n v="0.53"/>
    <x v="12"/>
    <s v="No"/>
    <s v="APE sched/ teams queries/ calendar/ Sprout reminders"/>
    <x v="4"/>
    <s v="Wednesday"/>
  </r>
  <r>
    <d v="2024-02-28T00:00:00"/>
    <x v="14"/>
    <s v="HR/Recuitment"/>
    <n v="1.25"/>
    <x v="12"/>
    <s v="No"/>
    <s v="assess payroll specialist applicants profile"/>
    <x v="4"/>
    <s v="Wednesday"/>
  </r>
  <r>
    <d v="2024-02-28T00:00:00"/>
    <x v="14"/>
    <s v="Management Reporting"/>
    <n v="0.93"/>
    <x v="28"/>
    <s v="Yes"/>
    <s v="payroll history report"/>
    <x v="4"/>
    <s v="Wednesday"/>
  </r>
  <r>
    <d v="2024-02-28T00:00:00"/>
    <x v="14"/>
    <s v="Payroll Processing"/>
    <n v="0.1"/>
    <x v="28"/>
    <s v="Yes"/>
    <s v="Pearson overpayment email"/>
    <x v="4"/>
    <s v="Wednesday"/>
  </r>
  <r>
    <d v="2024-02-28T00:00:00"/>
    <x v="14"/>
    <s v="Payroll Processing"/>
    <n v="0.17"/>
    <x v="28"/>
    <s v="No"/>
    <s v="meeting w/ internal Dext"/>
    <x v="4"/>
    <s v="Wednesday"/>
  </r>
  <r>
    <d v="2024-02-28T00:00:00"/>
    <x v="14"/>
    <s v="Payroll Processing"/>
    <n v="0.2"/>
    <x v="33"/>
    <s v="No"/>
    <s v="call w/ Cess re: a query Ngoc Nguyen"/>
    <x v="4"/>
    <s v="Wednesday"/>
  </r>
  <r>
    <d v="2024-02-28T00:00:00"/>
    <x v="14"/>
    <s v="Payroll Processing"/>
    <n v="0.27"/>
    <x v="13"/>
    <s v="No"/>
    <s v="call w/ Aileen re: Judy's leave balances transfer to NZ entity"/>
    <x v="4"/>
    <s v="Wednesday"/>
  </r>
  <r>
    <d v="2024-02-28T00:00:00"/>
    <x v="14"/>
    <s v="Payroll Processing"/>
    <n v="0.45"/>
    <x v="28"/>
    <s v="Yes"/>
    <s v="Pearson overpayment"/>
    <x v="4"/>
    <s v="Wednesday"/>
  </r>
  <r>
    <d v="2024-02-28T00:00:00"/>
    <x v="14"/>
    <s v="Payroll Processing"/>
    <n v="1.22"/>
    <x v="28"/>
    <s v="Yes"/>
    <s v="Pearson's final pay and emails"/>
    <x v="4"/>
    <s v="Wednesday"/>
  </r>
  <r>
    <d v="2024-02-28T00:00:00"/>
    <x v="14"/>
    <s v="Payroll Processing"/>
    <n v="1.23"/>
    <x v="16"/>
    <s v="Yes"/>
    <m/>
    <x v="4"/>
    <s v="Wednesday"/>
  </r>
  <r>
    <d v="2024-02-28T00:00:00"/>
    <x v="15"/>
    <s v="Bookkeeping"/>
    <n v="0.33"/>
    <x v="16"/>
    <s v="Yes"/>
    <e v="#NAME?"/>
    <x v="4"/>
    <s v="Wednesday"/>
  </r>
  <r>
    <d v="2024-02-28T00:00:00"/>
    <x v="15"/>
    <s v="General"/>
    <n v="6.58"/>
    <x v="12"/>
    <s v="No"/>
    <e v="#NAME?"/>
    <x v="4"/>
    <s v="Wednesday"/>
  </r>
  <r>
    <d v="2024-02-28T00:00:00"/>
    <x v="15"/>
    <s v="Out-of-Scope Services"/>
    <n v="3"/>
    <x v="92"/>
    <s v="Yes"/>
    <s v="- Calls to ATO regarding the client's request for GIC remission on the amount of $3,196.36"/>
    <x v="4"/>
    <s v="Wednesday"/>
  </r>
  <r>
    <d v="2024-02-28T00:00:00"/>
    <x v="16"/>
    <s v="Bookkeeping"/>
    <n v="0.33"/>
    <x v="32"/>
    <s v="Yes"/>
    <s v="expenses report"/>
    <x v="4"/>
    <s v="Wednesday"/>
  </r>
  <r>
    <d v="2024-02-28T00:00:00"/>
    <x v="16"/>
    <s v="Bookkeeping"/>
    <n v="0.38"/>
    <x v="74"/>
    <s v="Yes"/>
    <s v="credit note"/>
    <x v="4"/>
    <s v="Wednesday"/>
  </r>
  <r>
    <d v="2024-02-28T00:00:00"/>
    <x v="16"/>
    <s v="Bookkeeping"/>
    <n v="0.93"/>
    <x v="30"/>
    <s v="Yes"/>
    <s v="process ap invoices from inbox bank recon"/>
    <x v="4"/>
    <s v="Wednesday"/>
  </r>
  <r>
    <d v="2024-02-28T00:00:00"/>
    <x v="16"/>
    <s v="Bookkeeping"/>
    <n v="1.2"/>
    <x v="30"/>
    <s v="Yes"/>
    <s v="ap batch payment report"/>
    <x v="4"/>
    <s v="Wednesday"/>
  </r>
  <r>
    <d v="2024-02-28T00:00:00"/>
    <x v="16"/>
    <s v="Bookkeeping"/>
    <n v="1.28"/>
    <x v="30"/>
    <s v="Yes"/>
    <s v="export ABA files"/>
    <x v="4"/>
    <s v="Wednesday"/>
  </r>
  <r>
    <d v="2024-02-28T00:00:00"/>
    <x v="16"/>
    <s v="Bookkeeping"/>
    <n v="1.78"/>
    <x v="32"/>
    <s v="Yes"/>
    <s v="Bank recon Checking of paypal transactions"/>
    <x v="4"/>
    <s v="Wednesday"/>
  </r>
  <r>
    <d v="2024-02-28T00:00:00"/>
    <x v="16"/>
    <s v="Bookkeeping - AP"/>
    <n v="0.73"/>
    <x v="33"/>
    <s v="Yes"/>
    <s v="ap invoices from inbox"/>
    <x v="4"/>
    <s v="Wednesday"/>
  </r>
  <r>
    <d v="2024-02-28T00:00:00"/>
    <x v="16"/>
    <s v="Bookkeeping - Bank Recs"/>
    <n v="0.48"/>
    <x v="33"/>
    <s v="Yes"/>
    <s v="bank recon emails"/>
    <x v="4"/>
    <s v="Wednesday"/>
  </r>
  <r>
    <d v="2024-02-28T00:00:00"/>
    <x v="16"/>
    <s v="General"/>
    <n v="0.5"/>
    <x v="12"/>
    <s v="No"/>
    <s v="break"/>
    <x v="4"/>
    <s v="Wednesday"/>
  </r>
  <r>
    <d v="2024-02-28T00:00:00"/>
    <x v="16"/>
    <s v="Meetings"/>
    <n v="0.37"/>
    <x v="12"/>
    <s v="No"/>
    <s v="call with Ms.Ef regarding task handover "/>
    <x v="4"/>
    <s v="Wednesday"/>
  </r>
  <r>
    <d v="2024-02-28T00:00:00"/>
    <x v="17"/>
    <s v="Bookkeeping"/>
    <n v="0.2"/>
    <x v="35"/>
    <s v="Yes"/>
    <s v="Checking payments, and sending follow-up for ATO payment"/>
    <x v="4"/>
    <s v="Wednesday"/>
  </r>
  <r>
    <d v="2024-02-28T00:00:00"/>
    <x v="17"/>
    <s v="Bookkeeping"/>
    <n v="0.22"/>
    <x v="34"/>
    <s v="Yes"/>
    <s v="TBA - sending statements"/>
    <x v="4"/>
    <s v="Wednesday"/>
  </r>
  <r>
    <d v="2024-02-28T00:00:00"/>
    <x v="17"/>
    <s v="Bookkeeping"/>
    <n v="1.02"/>
    <x v="35"/>
    <s v="Yes"/>
    <s v="Checking accounts, manual journals"/>
    <x v="4"/>
    <s v="Wednesday"/>
  </r>
  <r>
    <d v="2024-02-28T00:00:00"/>
    <x v="17"/>
    <s v="Bookkeeping"/>
    <n v="1.1000000000000001"/>
    <x v="107"/>
    <s v="Yes"/>
    <s v="Bank recs, recording of invoices"/>
    <x v="4"/>
    <s v="Wednesday"/>
  </r>
  <r>
    <d v="2024-02-28T00:00:00"/>
    <x v="17"/>
    <s v="Bookkeeping"/>
    <n v="1.33"/>
    <x v="34"/>
    <s v="Yes"/>
    <s v="Checking and cleaning up bills for Telstra"/>
    <x v="4"/>
    <s v="Wednesday"/>
  </r>
  <r>
    <d v="2024-02-28T00:00:00"/>
    <x v="17"/>
    <s v="Bookkeeping"/>
    <n v="1.35"/>
    <x v="34"/>
    <s v="Yes"/>
    <s v="Recording of invoices"/>
    <x v="4"/>
    <s v="Wednesday"/>
  </r>
  <r>
    <d v="2024-02-28T00:00:00"/>
    <x v="17"/>
    <s v="Bookkeeping"/>
    <n v="1.38"/>
    <x v="80"/>
    <s v="Yes"/>
    <s v="Bank recs, Recording of invoices"/>
    <x v="4"/>
    <s v="Wednesday"/>
  </r>
  <r>
    <d v="2024-02-28T00:00:00"/>
    <x v="17"/>
    <s v="Learning &amp; Development"/>
    <n v="1.48"/>
    <x v="12"/>
    <s v="No"/>
    <s v="Wyzed training"/>
    <x v="4"/>
    <s v="Wednesday"/>
  </r>
  <r>
    <d v="2024-02-28T00:00:00"/>
    <x v="17"/>
    <s v="Meetings"/>
    <n v="0.45"/>
    <x v="12"/>
    <s v="No"/>
    <s v="Inquiry from Aileen "/>
    <x v="4"/>
    <s v="Wednesday"/>
  </r>
  <r>
    <d v="2024-02-28T00:00:00"/>
    <x v="17"/>
    <s v="Payroll Processing"/>
    <n v="0.48"/>
    <x v="14"/>
    <s v="Yes"/>
    <s v="Checking employee rate &amp; responding to client"/>
    <x v="4"/>
    <s v="Wednesday"/>
  </r>
  <r>
    <d v="2024-02-28T00:00:00"/>
    <x v="18"/>
    <s v="General"/>
    <n v="0.97"/>
    <x v="12"/>
    <s v="No"/>
    <s v="offboarding checklist, chat with Jim about AL payout, Chat with Rac about PPL, chat with Mark about Asana project for Yacht"/>
    <x v="4"/>
    <s v="Wednesday"/>
  </r>
  <r>
    <d v="2024-02-28T00:00:00"/>
    <x v="18"/>
    <s v="General"/>
    <n v="2.0499999999999998"/>
    <x v="12"/>
    <s v="No"/>
    <s v="review offboarding process"/>
    <x v="4"/>
    <s v="Wednesday"/>
  </r>
  <r>
    <d v="2024-02-28T00:00:00"/>
    <x v="18"/>
    <s v="General"/>
    <n v="2.13"/>
    <x v="12"/>
    <s v="No"/>
    <s v="prepare checklist for offboarding process"/>
    <x v="4"/>
    <s v="Wednesday"/>
  </r>
  <r>
    <d v="2024-02-28T00:00:00"/>
    <x v="18"/>
    <s v="General"/>
    <n v="3.02"/>
    <x v="12"/>
    <s v="No"/>
    <s v="emails, asana check, xpm chat with Jordan about prior project - capacity planning work level instructions - xero hq reports watch trainings about xero hq"/>
    <x v="4"/>
    <s v="Wednesday"/>
  </r>
  <r>
    <d v="2024-02-28T00:00:00"/>
    <x v="19"/>
    <s v="Bookkeeping"/>
    <n v="2"/>
    <x v="36"/>
    <s v="Yes"/>
    <m/>
    <x v="4"/>
    <s v="Wednesday"/>
  </r>
  <r>
    <d v="2024-02-28T00:00:00"/>
    <x v="19"/>
    <s v="Payroll Processing"/>
    <n v="6.2"/>
    <x v="3"/>
    <s v="Yes"/>
    <m/>
    <x v="4"/>
    <s v="Wednesday"/>
  </r>
  <r>
    <d v="2024-02-28T00:00:00"/>
    <x v="20"/>
    <s v="P&amp;C Advisory"/>
    <n v="7.92"/>
    <x v="37"/>
    <s v="Yes"/>
    <s v="Custom Onboarding Pack for new snr leadership role Updates to company-wide onboarding pack Progressing salary review analysis - first draft complete ready for MD mtg HR Daily Mtg Progressing JS handover Updates to templates &amp; policy doc's in anticipation of JS departrue"/>
    <x v="4"/>
    <s v="Wednesday"/>
  </r>
  <r>
    <d v="2024-02-28T00:00:00"/>
    <x v="21"/>
    <s v="Bookkeeping"/>
    <n v="0.33"/>
    <x v="40"/>
    <s v="Yes"/>
    <m/>
    <x v="4"/>
    <s v="Wednesday"/>
  </r>
  <r>
    <d v="2024-02-28T00:00:00"/>
    <x v="21"/>
    <s v="Bookkeeping"/>
    <n v="0.56999999999999995"/>
    <x v="41"/>
    <s v="Yes"/>
    <s v="Payroll Tax"/>
    <x v="4"/>
    <s v="Wednesday"/>
  </r>
  <r>
    <d v="2024-02-28T00:00:00"/>
    <x v="21"/>
    <s v="Bookkeeping"/>
    <n v="1"/>
    <x v="36"/>
    <s v="Yes"/>
    <m/>
    <x v="4"/>
    <s v="Wednesday"/>
  </r>
  <r>
    <d v="2024-02-28T00:00:00"/>
    <x v="21"/>
    <s v="Bookkeeping"/>
    <n v="1.1000000000000001"/>
    <x v="41"/>
    <s v="Yes"/>
    <s v="AP Items, invoices from procore, hubdoc"/>
    <x v="4"/>
    <s v="Wednesday"/>
  </r>
  <r>
    <d v="2024-02-28T00:00:00"/>
    <x v="21"/>
    <s v="Bookkeeping"/>
    <n v="1.88"/>
    <x v="41"/>
    <s v="Yes"/>
    <m/>
    <x v="4"/>
    <s v="Wednesday"/>
  </r>
  <r>
    <d v="2024-02-28T00:00:00"/>
    <x v="21"/>
    <s v="Bookkeeping"/>
    <n v="2.62"/>
    <x v="28"/>
    <s v="Yes"/>
    <s v="ap items, upload csv files, bank recon, dext prepare, update of custom report as per client (John Cousin)"/>
    <x v="4"/>
    <s v="Wednesday"/>
  </r>
  <r>
    <d v="2024-02-28T00:00:00"/>
    <x v="21"/>
    <s v="Payroll Processing"/>
    <n v="0.56999999999999995"/>
    <x v="41"/>
    <s v="Yes"/>
    <m/>
    <x v="4"/>
    <s v="Wednesday"/>
  </r>
  <r>
    <d v="2024-02-28T00:00:00"/>
    <x v="22"/>
    <s v="Automations - Surefire"/>
    <n v="8"/>
    <x v="12"/>
    <s v="No"/>
    <s v="Sure Fire Automation"/>
    <x v="4"/>
    <s v="Wednesday"/>
  </r>
  <r>
    <d v="2024-02-28T00:00:00"/>
    <x v="23"/>
    <s v="Automations"/>
    <n v="8"/>
    <x v="12"/>
    <s v="No"/>
    <m/>
    <x v="4"/>
    <s v="Wednesday"/>
  </r>
  <r>
    <d v="2024-02-28T00:00:00"/>
    <x v="24"/>
    <s v="Automations"/>
    <n v="8"/>
    <x v="12"/>
    <s v="No"/>
    <s v="Run: LOC Automation Run: Holdsworth Automation Part 1 for Cabcharge Dev: PrimeBuild Payroll Processing Report"/>
    <x v="4"/>
    <s v="Wednesday"/>
  </r>
  <r>
    <d v="2024-02-28T00:00:00"/>
    <x v="25"/>
    <s v="General"/>
    <n v="0.5"/>
    <x v="12"/>
    <s v="No"/>
    <s v="Asana tasks and emails"/>
    <x v="4"/>
    <s v="Wednesday"/>
  </r>
  <r>
    <d v="2024-02-28T00:00:00"/>
    <x v="25"/>
    <s v="IAS/BAS Preparation &amp; Lodgement - Oct-Dec"/>
    <n v="0.25"/>
    <x v="24"/>
    <s v="Yes"/>
    <s v="CM review for BAS, forward to team"/>
    <x v="4"/>
    <s v="Wednesday"/>
  </r>
  <r>
    <d v="2024-02-28T00:00:00"/>
    <x v="25"/>
    <s v="IAS/BAS Preparation &amp; Lodgement - Oct-Dec"/>
    <n v="0.25"/>
    <x v="21"/>
    <s v="Yes"/>
    <s v="CM review for BAS, email to team"/>
    <x v="4"/>
    <s v="Wednesday"/>
  </r>
  <r>
    <d v="2024-02-28T00:00:00"/>
    <x v="25"/>
    <s v="Payroll Processing"/>
    <n v="7.0000000000000007E-2"/>
    <x v="24"/>
    <s v="Yes"/>
    <s v="Review payroll"/>
    <x v="4"/>
    <s v="Wednesday"/>
  </r>
  <r>
    <d v="2024-02-28T00:00:00"/>
    <x v="25"/>
    <s v="Payroll Processing"/>
    <n v="0.2"/>
    <x v="21"/>
    <s v="Yes"/>
    <s v="Review payroll and update Noah tax rate to account for backpay"/>
    <x v="4"/>
    <s v="Wednesday"/>
  </r>
  <r>
    <d v="2024-02-28T00:00:00"/>
    <x v="25"/>
    <s v="Payroll Processing"/>
    <n v="6.33"/>
    <x v="37"/>
    <s v="Yes"/>
    <s v="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
    <x v="4"/>
    <s v="Wednesday"/>
  </r>
  <r>
    <d v="2024-02-28T00:00:00"/>
    <x v="26"/>
    <s v="Client Meeting"/>
    <n v="0.05"/>
    <x v="55"/>
    <s v="No"/>
    <s v="Attending to query"/>
    <x v="4"/>
    <s v="Wednesday"/>
  </r>
  <r>
    <d v="2024-02-28T00:00:00"/>
    <x v="26"/>
    <s v="Client Meeting"/>
    <n v="0.08"/>
    <x v="24"/>
    <s v="No"/>
    <s v="Attending to queries"/>
    <x v="4"/>
    <s v="Wednesday"/>
  </r>
  <r>
    <d v="2024-02-28T00:00:00"/>
    <x v="26"/>
    <s v="Client Meeting"/>
    <n v="0.08"/>
    <x v="130"/>
    <s v="Yes"/>
    <s v="Attending to queries and checking ATO portal."/>
    <x v="4"/>
    <s v="Wednesday"/>
  </r>
  <r>
    <d v="2024-02-28T00:00:00"/>
    <x v="26"/>
    <s v="Client Meeting"/>
    <n v="0.12"/>
    <x v="89"/>
    <s v="No"/>
    <s v="Attending to queries and checking ATO portal."/>
    <x v="4"/>
    <s v="Wednesday"/>
  </r>
  <r>
    <d v="2024-02-28T00:00:00"/>
    <x v="26"/>
    <s v="Client Meeting"/>
    <n v="0.12"/>
    <x v="55"/>
    <s v="No"/>
    <s v="Attending to queries"/>
    <x v="4"/>
    <s v="Wednesday"/>
  </r>
  <r>
    <d v="2024-02-28T00:00:00"/>
    <x v="26"/>
    <s v="Client Meeting"/>
    <n v="0.12"/>
    <x v="21"/>
    <s v="No"/>
    <s v="Attending to queries and updating file"/>
    <x v="4"/>
    <s v="Wednesday"/>
  </r>
  <r>
    <d v="2024-02-28T00:00:00"/>
    <x v="26"/>
    <s v="Client Meeting"/>
    <n v="0.13"/>
    <x v="25"/>
    <s v="No"/>
    <s v="Attending to queries and updating the reports and Xero file"/>
    <x v="4"/>
    <s v="Wednesday"/>
  </r>
  <r>
    <d v="2024-02-28T00:00:00"/>
    <x v="26"/>
    <s v="Client Meeting"/>
    <n v="0.22"/>
    <x v="12"/>
    <s v="No"/>
    <s v="Meeting with Lindsday &amp; Gen ( Party PLanning )"/>
    <x v="4"/>
    <s v="Wednesday"/>
  </r>
  <r>
    <d v="2024-02-28T00:00:00"/>
    <x v="26"/>
    <s v="General"/>
    <n v="0.25"/>
    <x v="12"/>
    <s v="No"/>
    <s v="AFTERNOON Break: 15 mins coffee breaks as paid per Labor Code of the Philippines, Article 85 "/>
    <x v="4"/>
    <s v="Wednesday"/>
  </r>
  <r>
    <d v="2024-02-28T00:00:00"/>
    <x v="26"/>
    <s v="General"/>
    <n v="0.25"/>
    <x v="12"/>
    <s v="No"/>
    <s v="MORNING Break: 15 mins coffee breaks as paid per Labor Code of the Philippines, Article 85. "/>
    <x v="4"/>
    <s v="Wednesday"/>
  </r>
  <r>
    <d v="2024-02-28T00:00:00"/>
    <x v="26"/>
    <s v="General"/>
    <n v="0.4"/>
    <x v="12"/>
    <s v="No"/>
    <s v="Call restaurant for reservation and some activity"/>
    <x v="4"/>
    <s v="Wednesday"/>
  </r>
  <r>
    <d v="2024-02-28T00:00:00"/>
    <x v="26"/>
    <s v="General"/>
    <n v="0.52"/>
    <x v="12"/>
    <s v="No"/>
    <s v="Helping and assisting Gen ( Party and Activity )"/>
    <x v="4"/>
    <s v="Wednesday"/>
  </r>
  <r>
    <d v="2024-02-28T00:00:00"/>
    <x v="26"/>
    <s v="General"/>
    <n v="0.62"/>
    <x v="12"/>
    <s v="No"/>
    <s v="Email"/>
    <x v="4"/>
    <s v="Wednesday"/>
  </r>
  <r>
    <d v="2024-02-28T00:00:00"/>
    <x v="26"/>
    <s v="HR/Recuitment"/>
    <n v="0.08"/>
    <x v="12"/>
    <s v="No"/>
    <s v="Responding to Social committee group and update them about the Van rental."/>
    <x v="4"/>
    <s v="Wednesday"/>
  </r>
  <r>
    <d v="2024-02-28T00:00:00"/>
    <x v="26"/>
    <s v="IAS/BAS Preparation &amp; Lodgement - Oct-Dec"/>
    <n v="0.15"/>
    <x v="55"/>
    <s v="No"/>
    <s v="NonBilalble Updating XPM and Xero file. Checking WPS"/>
    <x v="4"/>
    <s v="Wednesday"/>
  </r>
  <r>
    <d v="2024-02-28T00:00:00"/>
    <x v="26"/>
    <s v="IAS/BAS Preparation &amp; Lodgement - Oct-Dec"/>
    <n v="0.18"/>
    <x v="25"/>
    <s v="No"/>
    <s v="Attending to queries and updating XPM and Xero"/>
    <x v="4"/>
    <s v="Wednesday"/>
  </r>
  <r>
    <d v="2024-02-28T00:00:00"/>
    <x v="26"/>
    <s v="IAS/BAS Preparation &amp; Lodgement - Oct-Dec"/>
    <n v="0.32"/>
    <x v="21"/>
    <s v="No"/>
    <s v="NonBillable - Fixing XPM and I already informed MarK barter"/>
    <x v="4"/>
    <s v="Wednesday"/>
  </r>
  <r>
    <d v="2024-02-28T00:00:00"/>
    <x v="26"/>
    <s v="IAS/BAS Preparation &amp; Lodgement - Oct-Dec"/>
    <n v="0.48"/>
    <x v="139"/>
    <s v="Yes"/>
    <s v="Dec 2023 BAS"/>
    <x v="4"/>
    <s v="Wednesday"/>
  </r>
  <r>
    <d v="2024-02-28T00:00:00"/>
    <x v="26"/>
    <s v="IAS/BAS Preparation &amp; Lodgement - Oct-Dec"/>
    <n v="0.5"/>
    <x v="24"/>
    <s v="No"/>
    <s v="NonBiillable - Fixing XPM"/>
    <x v="4"/>
    <s v="Wednesday"/>
  </r>
  <r>
    <d v="2024-02-28T00:00:00"/>
    <x v="26"/>
    <s v="IAS/BAS Preparation &amp; Lodgement - Oct-Dec"/>
    <n v="0.53"/>
    <x v="139"/>
    <s v="Yes"/>
    <s v="BAS"/>
    <x v="4"/>
    <s v="Wednesday"/>
  </r>
  <r>
    <d v="2024-02-28T00:00:00"/>
    <x v="26"/>
    <s v="IAS/BAS Preparation &amp; Lodgement - Oct-Dec"/>
    <n v="0.53"/>
    <x v="21"/>
    <s v="Yes"/>
    <s v="BAS prep, Exporting, Creating WPS, FOlder one drive, XPM and others"/>
    <x v="4"/>
    <s v="Wednesday"/>
  </r>
  <r>
    <d v="2024-02-28T00:00:00"/>
    <x v="26"/>
    <s v="IAS/BAS Preparation &amp; Lodgement - Oct-Dec"/>
    <n v="0.6"/>
    <x v="21"/>
    <s v="Yes"/>
    <s v="Dec Bas"/>
    <x v="4"/>
    <s v="Wednesday"/>
  </r>
  <r>
    <d v="2024-02-28T00:00:00"/>
    <x v="26"/>
    <s v="IAS/BAS Preparation &amp; Lodgement - Oct-Dec"/>
    <n v="0.7"/>
    <x v="24"/>
    <s v="Yes"/>
    <s v="Dec 2023 BAS"/>
    <x v="4"/>
    <s v="Wednesday"/>
  </r>
  <r>
    <d v="2024-02-28T00:00:00"/>
    <x v="26"/>
    <s v="IAS/BAS Preparation &amp; Lodgement - Oct-Dec"/>
    <n v="1.03"/>
    <x v="24"/>
    <s v="Yes"/>
    <s v="Exporting, creation of WPS, fixing error, payroll setting, ATO validation and BAS prep"/>
    <x v="4"/>
    <s v="Wednesday"/>
  </r>
  <r>
    <d v="2024-02-28T00:00:00"/>
    <x v="26"/>
    <s v="Meetings"/>
    <n v="0.37"/>
    <x v="12"/>
    <s v="No"/>
    <s v="&gt;Meeting with Gen. ( Con Farewel Party ) &gt;Reading Ali email"/>
    <x v="4"/>
    <s v="Wednesday"/>
  </r>
  <r>
    <d v="2024-02-28T00:00:00"/>
    <x v="27"/>
    <s v="HR/Recuitment"/>
    <n v="2"/>
    <x v="12"/>
    <s v="No"/>
    <s v="Recruitment for HR advisory - shortlisting applicants, completing phone interviews and booking in for first round interviews."/>
    <x v="4"/>
    <s v="Wednesday"/>
  </r>
  <r>
    <d v="2024-02-28T00:00:00"/>
    <x v="27"/>
    <s v="P&amp;C Advisory"/>
    <n v="6"/>
    <x v="19"/>
    <s v="Yes"/>
    <s v="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
    <x v="4"/>
    <s v="Wednesday"/>
  </r>
  <r>
    <d v="2024-02-28T00:00:00"/>
    <x v="28"/>
    <s v="Bookkeeping"/>
    <n v="5.0199999999999996"/>
    <x v="16"/>
    <s v="Yes"/>
    <m/>
    <x v="4"/>
    <s v="Wednesday"/>
  </r>
  <r>
    <d v="2024-02-28T00:00:00"/>
    <x v="28"/>
    <s v="Payroll Processing"/>
    <n v="3.82"/>
    <x v="18"/>
    <s v="Yes"/>
    <m/>
    <x v="4"/>
    <s v="Wednesday"/>
  </r>
  <r>
    <d v="2024-02-28T00:00:00"/>
    <x v="29"/>
    <s v="Bookkeeping - Backlog"/>
    <n v="0.75"/>
    <x v="49"/>
    <s v="Yes"/>
    <s v="FY17 income reconciliations"/>
    <x v="4"/>
    <s v="Wednesday"/>
  </r>
  <r>
    <d v="2024-02-28T00:00:00"/>
    <x v="30"/>
    <s v="Adhoc Support &amp; Advice"/>
    <n v="1"/>
    <x v="16"/>
    <s v="No"/>
    <s v="Recon"/>
    <x v="4"/>
    <s v="Wednesday"/>
  </r>
  <r>
    <d v="2024-02-28T00:00:00"/>
    <x v="30"/>
    <s v="Debt Collection"/>
    <n v="2.5"/>
    <x v="12"/>
    <s v="No"/>
    <m/>
    <x v="4"/>
    <s v="Wednesday"/>
  </r>
  <r>
    <d v="2024-02-28T00:00:00"/>
    <x v="30"/>
    <s v="Debt Collection"/>
    <n v="4"/>
    <x v="16"/>
    <s v="Yes"/>
    <m/>
    <x v="4"/>
    <s v="Wednesday"/>
  </r>
  <r>
    <d v="2024-02-28T00:00:00"/>
    <x v="30"/>
    <s v="General"/>
    <n v="0.5"/>
    <x v="12"/>
    <s v="No"/>
    <s v="break"/>
    <x v="4"/>
    <s v="Wednesday"/>
  </r>
  <r>
    <d v="2024-02-28T00:00:00"/>
    <x v="31"/>
    <s v="Annual Leave"/>
    <n v="4"/>
    <x v="12"/>
    <s v="No"/>
    <m/>
    <x v="4"/>
    <s v="Wednesday"/>
  </r>
  <r>
    <d v="2024-02-28T00:00:00"/>
    <x v="31"/>
    <s v="General"/>
    <n v="1.1499999999999999"/>
    <x v="12"/>
    <s v="No"/>
    <s v="went to BDO to sign documents for the security deposit"/>
    <x v="4"/>
    <s v="Wednesday"/>
  </r>
  <r>
    <d v="2024-02-28T00:00:00"/>
    <x v="31"/>
    <s v="General"/>
    <n v="3.23"/>
    <x v="12"/>
    <s v="No"/>
    <s v="hand over Alliance &amp; Dext / Cash Flow / emails / Compliance Review"/>
    <x v="4"/>
    <s v="Wednesday"/>
  </r>
  <r>
    <d v="2024-02-28T00:00:00"/>
    <x v="32"/>
    <s v="Bookkeeping"/>
    <n v="2.08"/>
    <x v="51"/>
    <s v="Yes"/>
    <s v="Uploading AP Payments to CBA Responding emails and raise postscript bill to xero "/>
    <x v="4"/>
    <s v="Wednesday"/>
  </r>
  <r>
    <d v="2024-02-28T00:00:00"/>
    <x v="32"/>
    <s v="Bookkeeping"/>
    <n v="5.53"/>
    <x v="51"/>
    <s v="Yes"/>
    <s v="Email Management Bills raise to xero Bank Reconciliation BM and LOC Inc Check and Approved sales to a2x Updated pay template of Tayla Import CBA 7334 Transferred Money to Corpo Card Prepared summary report for payment approval New employee set up Import Paypal and reconciled "/>
    <x v="4"/>
    <s v="Wednesday"/>
  </r>
  <r>
    <d v="2024-02-28T00:00:00"/>
    <x v="32"/>
    <s v="General"/>
    <n v="0.5"/>
    <x v="12"/>
    <s v="No"/>
    <s v="Break"/>
    <x v="4"/>
    <s v="Wednesday"/>
  </r>
  <r>
    <d v="2024-02-28T00:00:00"/>
    <x v="33"/>
    <s v="IT"/>
    <n v="9"/>
    <x v="12"/>
    <s v="No"/>
    <s v="Support and set up laptop for Nicole"/>
    <x v="4"/>
    <s v="Wednesday"/>
  </r>
  <r>
    <d v="2024-02-28T00:00:00"/>
    <x v="34"/>
    <s v="Bookkeeping"/>
    <n v="1.68"/>
    <x v="15"/>
    <s v="Yes"/>
    <s v="Email Management Bills Processing  Invoice Processing Bank/Credit Card Recon   Email Management Bills Processing - continuation  Updating Unreconciled bank recon and send reports to Michelle and Nicole.  EOFY 23 recon"/>
    <x v="4"/>
    <s v="Wednesday"/>
  </r>
  <r>
    <d v="2024-02-28T00:00:00"/>
    <x v="34"/>
    <s v="Bookkeeping"/>
    <n v="2.92"/>
    <x v="15"/>
    <s v="Yes"/>
    <m/>
    <x v="4"/>
    <s v="Wednesday"/>
  </r>
  <r>
    <d v="2024-02-28T00:00:00"/>
    <x v="34"/>
    <s v="Bookkeeping"/>
    <n v="2.98"/>
    <x v="52"/>
    <s v="Yes"/>
    <s v="Email Management Bills processing Bank Recon"/>
    <x v="4"/>
    <s v="Wednesday"/>
  </r>
  <r>
    <d v="2024-02-28T00:00:00"/>
    <x v="34"/>
    <s v="General"/>
    <n v="0.45"/>
    <x v="12"/>
    <s v="No"/>
    <s v="Email Management"/>
    <x v="4"/>
    <s v="Wednesday"/>
  </r>
  <r>
    <d v="2024-02-28T00:00:00"/>
    <x v="35"/>
    <s v="Accounts"/>
    <n v="0.08"/>
    <x v="12"/>
    <s v="No"/>
    <s v="ABA file update and endorsement to Nick"/>
    <x v="4"/>
    <s v="Wednesday"/>
  </r>
  <r>
    <d v="2024-02-28T00:00:00"/>
    <x v="35"/>
    <s v="Accounts"/>
    <n v="0.12"/>
    <x v="53"/>
    <s v="No"/>
    <s v="Process request for payment for PH Branch"/>
    <x v="4"/>
    <s v="Wednesday"/>
  </r>
  <r>
    <d v="2024-02-28T00:00:00"/>
    <x v="35"/>
    <s v="Accounts"/>
    <n v="0.15"/>
    <x v="12"/>
    <s v="No"/>
    <s v="Updating Asana tasks for the additional for billing"/>
    <x v="4"/>
    <s v="Wednesday"/>
  </r>
  <r>
    <d v="2024-02-28T00:00:00"/>
    <x v="35"/>
    <s v="Accounts"/>
    <n v="0.17"/>
    <x v="12"/>
    <s v="No"/>
    <s v="Catch up emails for AU accounts"/>
    <x v="4"/>
    <s v="Wednesday"/>
  </r>
  <r>
    <d v="2024-02-28T00:00:00"/>
    <x v="35"/>
    <s v="Accounts"/>
    <n v="0.55000000000000004"/>
    <x v="12"/>
    <s v="No"/>
    <s v="Update all Asana tasks and take actions."/>
    <x v="4"/>
    <s v="Wednesday"/>
  </r>
  <r>
    <d v="2024-02-28T00:00:00"/>
    <x v="35"/>
    <s v="Accounts"/>
    <n v="0.6"/>
    <x v="69"/>
    <s v="No"/>
    <s v="Clarification of invoice with Jordan and checking of invoice. Escalate to Ms Con"/>
    <x v="4"/>
    <s v="Wednesday"/>
  </r>
  <r>
    <d v="2024-02-28T00:00:00"/>
    <x v="35"/>
    <s v="Accounts"/>
    <n v="0.98"/>
    <x v="12"/>
    <s v="No"/>
    <s v="Fixed repeating templates for MDF and Lack of Color. Coordination with Maan and Shalini."/>
    <x v="4"/>
    <s v="Wednesday"/>
  </r>
  <r>
    <d v="2024-02-28T00:00:00"/>
    <x v="35"/>
    <s v="Accounts"/>
    <n v="1.77"/>
    <x v="12"/>
    <s v="No"/>
    <s v="Reports update for Shalini (Checking if Hourly) on Frequency Column"/>
    <x v="4"/>
    <s v="Wednesday"/>
  </r>
  <r>
    <d v="2024-02-28T00:00:00"/>
    <x v="35"/>
    <s v="Compliance"/>
    <n v="1.1200000000000001"/>
    <x v="53"/>
    <s v="No"/>
    <s v="Completion of all documents for BIR 1604C submission/checking of details/esubmission and coordination with BIT re: files for access to Ms Tess"/>
    <x v="4"/>
    <s v="Wednesday"/>
  </r>
  <r>
    <d v="2024-02-28T00:00:00"/>
    <x v="35"/>
    <s v="Compliance"/>
    <n v="2.12"/>
    <x v="69"/>
    <s v="No"/>
    <s v="BIR Alphalist update for the address of all employees under RO"/>
    <x v="4"/>
    <s v="Wednesday"/>
  </r>
  <r>
    <d v="2024-02-28T00:00:00"/>
    <x v="35"/>
    <s v="General"/>
    <n v="0.13"/>
    <x v="53"/>
    <s v="No"/>
    <s v="APE questions from Xavi"/>
    <x v="4"/>
    <s v="Wednesday"/>
  </r>
  <r>
    <d v="2024-02-28T00:00:00"/>
    <x v="35"/>
    <s v="Payroll Processing"/>
    <n v="0.37"/>
    <x v="53"/>
    <s v="No"/>
    <s v="Checking of MP2 setup. SSS Loan setup for Sherly"/>
    <x v="4"/>
    <s v="Wednesday"/>
  </r>
  <r>
    <d v="2024-02-28T00:00:00"/>
    <x v="35"/>
    <s v="Payroll Processing"/>
    <n v="0.8"/>
    <x v="53"/>
    <s v="No"/>
    <s v="ND and Holiday Summary for 3 months needed by Nick"/>
    <x v="4"/>
    <s v="Wednesday"/>
  </r>
  <r>
    <d v="2024-02-28T00:00:00"/>
    <x v="36"/>
    <s v="Web"/>
    <n v="10"/>
    <x v="12"/>
    <s v="No"/>
    <s v="🏆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s v="Wednesday"/>
  </r>
  <r>
    <d v="2024-02-28T00:00:00"/>
    <x v="37"/>
    <s v="Bookkeeping"/>
    <n v="0.5"/>
    <x v="84"/>
    <s v="Yes"/>
    <s v="payments uploading in bank"/>
    <x v="4"/>
    <s v="Wednesday"/>
  </r>
  <r>
    <d v="2024-02-28T00:00:00"/>
    <x v="37"/>
    <s v="Bookkeeping"/>
    <n v="0.5"/>
    <x v="84"/>
    <s v="Yes"/>
    <s v="Preparing AP list"/>
    <x v="4"/>
    <s v="Wednesday"/>
  </r>
  <r>
    <d v="2024-02-28T00:00:00"/>
    <x v="37"/>
    <s v="Bookkeeping"/>
    <n v="0.5"/>
    <x v="59"/>
    <s v="Yes"/>
    <m/>
    <x v="4"/>
    <s v="Wednesday"/>
  </r>
  <r>
    <d v="2024-02-28T00:00:00"/>
    <x v="37"/>
    <s v="Bookkeeping"/>
    <n v="0.5"/>
    <x v="85"/>
    <s v="Yes"/>
    <m/>
    <x v="4"/>
    <s v="Wednesday"/>
  </r>
  <r>
    <d v="2024-02-28T00:00:00"/>
    <x v="37"/>
    <s v="Bookkeeping"/>
    <n v="0.5"/>
    <x v="103"/>
    <s v="No"/>
    <m/>
    <x v="4"/>
    <s v="Wednesday"/>
  </r>
  <r>
    <d v="2024-02-28T00:00:00"/>
    <x v="37"/>
    <s v="Bookkeeping"/>
    <n v="2.5"/>
    <x v="19"/>
    <s v="Yes"/>
    <m/>
    <x v="4"/>
    <s v="Wednesday"/>
  </r>
  <r>
    <d v="2024-02-28T00:00:00"/>
    <x v="37"/>
    <s v="Meetings"/>
    <n v="0.25"/>
    <x v="12"/>
    <s v="No"/>
    <s v="Chat/Meeting with Mark and Jordon"/>
    <x v="4"/>
    <s v="Wednesday"/>
  </r>
  <r>
    <d v="2024-02-28T00:00:00"/>
    <x v="37"/>
    <s v="Payroll Processing"/>
    <n v="0.25"/>
    <x v="112"/>
    <s v="Yes"/>
    <m/>
    <x v="4"/>
    <s v="Wednesday"/>
  </r>
  <r>
    <d v="2024-02-28T00:00:00"/>
    <x v="38"/>
    <s v="Client Manager"/>
    <n v="0.55000000000000004"/>
    <x v="54"/>
    <s v="Yes"/>
    <s v="review of commission plan"/>
    <x v="4"/>
    <s v="Wednesday"/>
  </r>
  <r>
    <d v="2024-02-28T00:00:00"/>
    <x v="38"/>
    <s v="Client Manager"/>
    <n v="0.92"/>
    <x v="54"/>
    <s v="Yes"/>
    <s v="Meeting with Scott on commissions"/>
    <x v="4"/>
    <s v="Wednesday"/>
  </r>
  <r>
    <d v="2024-02-28T00:00:00"/>
    <x v="38"/>
    <s v="Client Manager"/>
    <n v="1.1000000000000001"/>
    <x v="2"/>
    <s v="No"/>
    <s v="check BAS payment follow up on PO to be done by today and BAS to be signed today review PO "/>
    <x v="4"/>
    <s v="Wednesday"/>
  </r>
  <r>
    <d v="2024-02-28T00:00:00"/>
    <x v="38"/>
    <s v="General"/>
    <n v="0.88"/>
    <x v="12"/>
    <s v="No"/>
    <s v="prep for Fathom conference review of Xero summit"/>
    <x v="4"/>
    <s v="Wednesday"/>
  </r>
  <r>
    <d v="2024-02-28T00:00:00"/>
    <x v="38"/>
    <s v="General"/>
    <n v="1.1499999999999999"/>
    <x v="12"/>
    <s v="No"/>
    <s v="emails, teams, Asana"/>
    <x v="4"/>
    <s v="Wednesday"/>
  </r>
  <r>
    <d v="2024-02-28T00:00:00"/>
    <x v="38"/>
    <s v="Meetings"/>
    <n v="0.5"/>
    <x v="12"/>
    <s v="No"/>
    <s v="Fortnightly meeting with Alison"/>
    <x v="4"/>
    <s v="Wednesday"/>
  </r>
  <r>
    <d v="2024-02-28T00:00:00"/>
    <x v="39"/>
    <s v="Bookkeeping"/>
    <n v="0.22"/>
    <x v="14"/>
    <s v="Yes"/>
    <m/>
    <x v="4"/>
    <s v="Wednesday"/>
  </r>
  <r>
    <d v="2024-02-28T00:00:00"/>
    <x v="39"/>
    <s v="Bookkeeping"/>
    <n v="0.38"/>
    <x v="55"/>
    <s v="Yes"/>
    <s v="AP 6279 MEA QLD - CN reapplication and new bill "/>
    <x v="4"/>
    <s v="Wednesday"/>
  </r>
  <r>
    <d v="2024-02-28T00:00:00"/>
    <x v="39"/>
    <s v="Bookkeeping"/>
    <n v="0.38"/>
    <x v="55"/>
    <s v="Yes"/>
    <s v="review Martin's wages &amp; clearing account"/>
    <x v="4"/>
    <s v="Wednesday"/>
  </r>
  <r>
    <d v="2024-02-28T00:00:00"/>
    <x v="39"/>
    <s v="Bookkeeping"/>
    <n v="0.63"/>
    <x v="55"/>
    <s v="Yes"/>
    <s v="AP, BR"/>
    <x v="4"/>
    <s v="Wednesday"/>
  </r>
  <r>
    <d v="2024-02-28T00:00:00"/>
    <x v="39"/>
    <s v="Bookkeeping"/>
    <n v="1.1499999999999999"/>
    <x v="55"/>
    <s v="Yes"/>
    <s v="AP"/>
    <x v="4"/>
    <s v="Wednesday"/>
  </r>
  <r>
    <d v="2024-02-28T00:00:00"/>
    <x v="39"/>
    <s v="Bookkeeping"/>
    <n v="3.87"/>
    <x v="14"/>
    <s v="Yes"/>
    <s v="grant alloc"/>
    <x v="4"/>
    <s v="Wednesday"/>
  </r>
  <r>
    <d v="2024-02-28T00:00:00"/>
    <x v="39"/>
    <s v="Client Meeting"/>
    <n v="1.02"/>
    <x v="55"/>
    <s v="Yes"/>
    <s v="Call request from Silvana for Wages from Nov to January"/>
    <x v="4"/>
    <s v="Wednesday"/>
  </r>
  <r>
    <d v="2024-02-28T00:00:00"/>
    <x v="39"/>
    <s v="Payroll Processing"/>
    <n v="0.42"/>
    <x v="33"/>
    <s v="Yes"/>
    <s v="Ngoc Anh Thu Nguyen Pay W.C 05.02.24 query"/>
    <x v="4"/>
    <s v="Wednesday"/>
  </r>
  <r>
    <d v="2024-02-28T00:00:00"/>
    <x v="40"/>
    <s v="Bookkeeping"/>
    <n v="0.82"/>
    <x v="50"/>
    <s v="Yes"/>
    <s v="bank recs "/>
    <x v="4"/>
    <s v="Wednesday"/>
  </r>
  <r>
    <d v="2024-02-28T00:00:00"/>
    <x v="40"/>
    <s v="Client Meeting"/>
    <n v="0.97"/>
    <x v="36"/>
    <s v="Yes"/>
    <s v="Finance meeting"/>
    <x v="4"/>
    <s v="Wednesday"/>
  </r>
  <r>
    <d v="2024-02-28T00:00:00"/>
    <x v="40"/>
    <s v="General"/>
    <n v="0.25"/>
    <x v="12"/>
    <s v="No"/>
    <s v="dex emails"/>
    <x v="4"/>
    <s v="Wednesday"/>
  </r>
  <r>
    <d v="2024-02-28T00:00:00"/>
    <x v="40"/>
    <s v="Learning &amp; Development"/>
    <n v="0.38"/>
    <x v="12"/>
    <s v="No"/>
    <s v="Sharing PPL process to the team"/>
    <x v="4"/>
    <s v="Wednesday"/>
  </r>
  <r>
    <d v="2024-02-28T00:00:00"/>
    <x v="40"/>
    <s v="Management Reporting"/>
    <n v="3.68"/>
    <x v="36"/>
    <s v="Yes"/>
    <m/>
    <x v="4"/>
    <s v="Wednesday"/>
  </r>
  <r>
    <d v="2024-02-28T00:00:00"/>
    <x v="40"/>
    <s v="Payroll Processing"/>
    <n v="0.35"/>
    <x v="3"/>
    <s v="Yes"/>
    <s v="payroll review"/>
    <x v="4"/>
    <s v="Wednesday"/>
  </r>
  <r>
    <d v="2024-02-28T00:00:00"/>
    <x v="40"/>
    <s v="Payroll Processing"/>
    <n v="2.17"/>
    <x v="36"/>
    <s v="Yes"/>
    <s v="CHecked part timers who has no lunch break from last FN"/>
    <x v="4"/>
    <s v="Wednesday"/>
  </r>
  <r>
    <d v="2024-02-28T00:00:00"/>
    <x v="41"/>
    <s v="General"/>
    <n v="1.2"/>
    <x v="12"/>
    <s v="No"/>
    <s v="Cash flow and local compliances review"/>
    <x v="4"/>
    <s v="Wednesday"/>
  </r>
  <r>
    <d v="2024-02-28T00:00:00"/>
    <x v="41"/>
    <s v="General"/>
    <n v="1.32"/>
    <x v="12"/>
    <s v="No"/>
    <s v="Finance compliances review Finance recording handover review Admin request - client masterlist for referral"/>
    <x v="4"/>
    <s v="Wednesday"/>
  </r>
  <r>
    <d v="2024-02-28T00:00:00"/>
    <x v="41"/>
    <s v="General"/>
    <n v="1.72"/>
    <x v="12"/>
    <s v="No"/>
    <s v="Practice cash flow Asana tasks transfer from con Managing Rose attrition Sprout approvals Handover recordings review"/>
    <x v="4"/>
    <s v="Wednesday"/>
  </r>
  <r>
    <d v="2024-02-28T00:00:00"/>
    <x v="41"/>
    <s v="General"/>
    <n v="1.98"/>
    <x v="12"/>
    <s v="No"/>
    <s v="Update CF per new clients engagement DILO prep for finance role BDO business banking set-up and test run Review notes of new payroll specialist candidates"/>
    <x v="4"/>
    <s v="Wednesday"/>
  </r>
  <r>
    <d v="2024-02-28T00:00:00"/>
    <x v="41"/>
    <s v="HR/Recuitment"/>
    <n v="0.83"/>
    <x v="12"/>
    <s v="No"/>
    <s v="Payroll specialist interview"/>
    <x v="4"/>
    <s v="Wednesday"/>
  </r>
  <r>
    <d v="2024-02-28T00:00:00"/>
    <x v="41"/>
    <s v="Meetings"/>
    <n v="0.25"/>
    <x v="12"/>
    <s v="No"/>
    <s v="Wth Con handover"/>
    <x v="4"/>
    <s v="Wednesday"/>
  </r>
  <r>
    <d v="2024-02-28T00:00:00"/>
    <x v="41"/>
    <s v="Meetings"/>
    <n v="0.75"/>
    <x v="12"/>
    <s v="No"/>
    <s v="CF handover from Con"/>
    <x v="4"/>
    <s v="Wednesday"/>
  </r>
  <r>
    <d v="2024-02-28T00:00:00"/>
    <x v="42"/>
    <s v="Bookkeeping"/>
    <n v="7.8"/>
    <x v="16"/>
    <s v="Yes"/>
    <m/>
    <x v="4"/>
    <s v="Wednesday"/>
  </r>
  <r>
    <d v="2024-02-28T00:00:00"/>
    <x v="42"/>
    <s v="Client Meeting"/>
    <n v="0.25"/>
    <x v="16"/>
    <s v="Yes"/>
    <s v="Meeting with James."/>
    <x v="4"/>
    <s v="Wednesday"/>
  </r>
  <r>
    <d v="2024-02-28T00:00:00"/>
    <x v="43"/>
    <s v="Bookkeeping"/>
    <n v="0.27"/>
    <x v="72"/>
    <s v="Yes"/>
    <s v="Teams messages with Jim re ATO ICA, ATO payments and trust payments"/>
    <x v="4"/>
    <s v="Wednesday"/>
  </r>
  <r>
    <d v="2024-02-28T00:00:00"/>
    <x v="43"/>
    <s v="Bookkeeping"/>
    <n v="0.47"/>
    <x v="75"/>
    <s v="Yes"/>
    <s v="Queries to William re STG account"/>
    <x v="4"/>
    <s v="Wednesday"/>
  </r>
  <r>
    <d v="2024-02-28T00:00:00"/>
    <x v="43"/>
    <s v="Bookkeeping"/>
    <n v="1.3"/>
    <x v="73"/>
    <s v="Yes"/>
    <s v="Enter bank transactions and recon STG"/>
    <x v="4"/>
    <s v="Wednesday"/>
  </r>
  <r>
    <d v="2024-02-28T00:00:00"/>
    <x v="43"/>
    <s v="Bookkeeping"/>
    <n v="1.55"/>
    <x v="75"/>
    <s v="Yes"/>
    <s v="Entering bank transactions, recon STG account"/>
    <x v="4"/>
    <s v="Wednesday"/>
  </r>
  <r>
    <d v="2024-02-28T00:00:00"/>
    <x v="43"/>
    <s v="Bookkeeping"/>
    <n v="1.62"/>
    <x v="74"/>
    <s v="Yes"/>
    <s v="Enter bank transactions and recon STG account"/>
    <x v="4"/>
    <s v="Wednesday"/>
  </r>
  <r>
    <d v="2024-02-28T00:00:00"/>
    <x v="43"/>
    <s v="General"/>
    <n v="0.37"/>
    <x v="12"/>
    <s v="No"/>
    <s v="Various teams messages"/>
    <x v="4"/>
    <s v="Wednesday"/>
  </r>
  <r>
    <d v="2024-02-28T00:00:00"/>
    <x v="43"/>
    <s v="General"/>
    <n v="0.43"/>
    <x v="12"/>
    <s v="No"/>
    <s v="Morning emails and various teams messages"/>
    <x v="4"/>
    <s v="Wednesday"/>
  </r>
  <r>
    <d v="2024-02-28T00:00:00"/>
    <x v="43"/>
    <s v="General"/>
    <n v="0.5"/>
    <x v="12"/>
    <s v="No"/>
    <s v="Break"/>
    <x v="4"/>
    <s v="Wednesday"/>
  </r>
  <r>
    <d v="2024-02-28T00:00:00"/>
    <x v="43"/>
    <s v="IAS/BAS Preparation &amp; Lodgement - Oct-Dec"/>
    <n v="0.15"/>
    <x v="89"/>
    <s v="Yes"/>
    <s v="Email Kiara that all BAS are lodged and give payable/refund amount per entity"/>
    <x v="4"/>
    <s v="Wednesday"/>
  </r>
  <r>
    <d v="2024-02-28T00:00:00"/>
    <x v="43"/>
    <s v="Meetings"/>
    <n v="0.3"/>
    <x v="12"/>
    <s v="No"/>
    <s v="Catch up with Ralph"/>
    <x v="4"/>
    <s v="Wednesday"/>
  </r>
  <r>
    <d v="2024-02-28T00:00:00"/>
    <x v="43"/>
    <s v="Meetings"/>
    <n v="0.42"/>
    <x v="12"/>
    <s v="No"/>
    <s v="Call with Nick"/>
    <x v="4"/>
    <s v="Wednesday"/>
  </r>
  <r>
    <d v="2024-02-28T00:00:00"/>
    <x v="43"/>
    <s v="Payroll Processing"/>
    <n v="0.22"/>
    <x v="16"/>
    <s v="Yes"/>
    <s v="Query from Adrienne re Bashar Raad"/>
    <x v="4"/>
    <s v="Wednesday"/>
  </r>
  <r>
    <d v="2024-02-28T00:00:00"/>
    <x v="43"/>
    <s v="Payroll Processing"/>
    <n v="0.52"/>
    <x v="16"/>
    <s v="Yes"/>
    <s v="Update novated lease payments template in Xero to allocate GST paid by employee correctly for BAS reporting"/>
    <x v="4"/>
    <s v="Wednesday"/>
  </r>
  <r>
    <d v="2024-02-28T00:00:00"/>
    <x v="44"/>
    <s v="Company Tax Returns"/>
    <n v="0.8"/>
    <x v="50"/>
    <s v="Yes"/>
    <s v="updates to tax return and workpapers Review division 7a and implicaiton Message with Sylvie re dividend stattemetns"/>
    <x v="4"/>
    <s v="Wednesday"/>
  </r>
  <r>
    <d v="2024-02-28T00:00:00"/>
    <x v="45"/>
    <s v="Bookkeeping"/>
    <n v="0.1"/>
    <x v="41"/>
    <s v="Yes"/>
    <s v="AP review"/>
    <x v="4"/>
    <s v="Wednesday"/>
  </r>
  <r>
    <d v="2024-02-28T00:00:00"/>
    <x v="45"/>
    <s v="Bookkeeping"/>
    <n v="0.22"/>
    <x v="57"/>
    <s v="Yes"/>
    <s v="Bank rec"/>
    <x v="4"/>
    <s v="Wednesday"/>
  </r>
  <r>
    <d v="2024-02-28T00:00:00"/>
    <x v="45"/>
    <s v="Bookkeeping"/>
    <n v="0.25"/>
    <x v="50"/>
    <s v="Yes"/>
    <s v="Set up transfers in Westpac"/>
    <x v="4"/>
    <s v="Wednesday"/>
  </r>
  <r>
    <d v="2024-02-28T00:00:00"/>
    <x v="45"/>
    <s v="Bookkeeping"/>
    <n v="0.32"/>
    <x v="58"/>
    <s v="Yes"/>
    <s v="Dec23 quarter bank rec"/>
    <x v="4"/>
    <s v="Wednesday"/>
  </r>
  <r>
    <d v="2024-02-28T00:00:00"/>
    <x v="45"/>
    <s v="Bookkeeping"/>
    <n v="0.62"/>
    <x v="50"/>
    <s v="Yes"/>
    <s v="Set up new payees in Westpac"/>
    <x v="4"/>
    <s v="Wednesday"/>
  </r>
  <r>
    <d v="2024-02-28T00:00:00"/>
    <x v="45"/>
    <s v="Bookkeeping"/>
    <n v="0.7"/>
    <x v="57"/>
    <s v="Yes"/>
    <s v="Review transaction in Westpac per Ish's request"/>
    <x v="4"/>
    <s v="Wednesday"/>
  </r>
  <r>
    <d v="2024-02-28T00:00:00"/>
    <x v="45"/>
    <s v="Bookkeeping"/>
    <n v="0.75"/>
    <x v="50"/>
    <s v="Yes"/>
    <s v="AP"/>
    <x v="4"/>
    <s v="Wednesday"/>
  </r>
  <r>
    <d v="2024-02-28T00:00:00"/>
    <x v="45"/>
    <s v="Bookkeeping"/>
    <n v="0.82"/>
    <x v="50"/>
    <s v="Yes"/>
    <s v="AP run Upload forex/fund transfer"/>
    <x v="4"/>
    <s v="Wednesday"/>
  </r>
  <r>
    <d v="2024-02-28T00:00:00"/>
    <x v="45"/>
    <s v="Bookkeeping"/>
    <n v="0.92"/>
    <x v="50"/>
    <s v="Yes"/>
    <s v="Upload payments in Westpac/OCBC Prepare 3TOP files"/>
    <x v="4"/>
    <s v="Wednesday"/>
  </r>
  <r>
    <d v="2024-02-28T00:00:00"/>
    <x v="45"/>
    <s v="Bookkeeping"/>
    <n v="1.18"/>
    <x v="50"/>
    <s v="Yes"/>
    <s v="AP run"/>
    <x v="4"/>
    <s v="Wednesday"/>
  </r>
  <r>
    <d v="2024-02-28T00:00:00"/>
    <x v="45"/>
    <s v="General"/>
    <n v="0.5"/>
    <x v="12"/>
    <s v="No"/>
    <s v="Paid break"/>
    <x v="4"/>
    <s v="Wednesday"/>
  </r>
  <r>
    <d v="2024-02-28T00:00:00"/>
    <x v="45"/>
    <s v="IAS/BAS Preparation &amp; Lodgement - Oct-Dec"/>
    <n v="0.37"/>
    <x v="58"/>
    <s v="Yes"/>
    <s v="Accounts review for BAS"/>
    <x v="4"/>
    <s v="Wednesday"/>
  </r>
  <r>
    <d v="2024-02-28T00:00:00"/>
    <x v="45"/>
    <s v="Payroll Processing"/>
    <n v="0.1"/>
    <x v="60"/>
    <s v="Yes"/>
    <s v="Post payrun Export reports and send to client Send out payslip and file STP"/>
    <x v="4"/>
    <s v="Wednesday"/>
  </r>
  <r>
    <d v="2024-02-28T00:00:00"/>
    <x v="45"/>
    <s v="Payroll Processing"/>
    <n v="0.12"/>
    <x v="22"/>
    <s v="Yes"/>
    <s v="Post payrun Export reports and email to client Send out payslips"/>
    <x v="4"/>
    <s v="Wednesday"/>
  </r>
  <r>
    <d v="2024-02-28T00:00:00"/>
    <x v="45"/>
    <s v="Payroll Processing"/>
    <n v="0.2"/>
    <x v="24"/>
    <s v="Yes"/>
    <s v="Post pay run Export and send payroll reports  LIaise re handover"/>
    <x v="4"/>
    <s v="Wednesday"/>
  </r>
  <r>
    <d v="2024-02-28T00:00:00"/>
    <x v="45"/>
    <s v="Payroll Processing"/>
    <n v="0.25"/>
    <x v="21"/>
    <s v="Yes"/>
    <s v="Export reports Update Noah's adjustment file Send reports to client Send payslips and file STP"/>
    <x v="4"/>
    <s v="Wednesday"/>
  </r>
  <r>
    <d v="2024-02-28T00:00:00"/>
    <x v="45"/>
    <s v="Payroll Processing"/>
    <n v="0.67"/>
    <x v="70"/>
    <s v="Yes"/>
    <s v="Process payroll"/>
    <x v="4"/>
    <s v="Wednesday"/>
  </r>
  <r>
    <d v="2024-02-28T00:00:00"/>
    <x v="46"/>
    <s v="Client Manager"/>
    <n v="0.5"/>
    <x v="114"/>
    <s v="No"/>
    <s v="Phone call with Alan re scope of work/deliverables, changing to electronic filing, cost estimate etc"/>
    <x v="4"/>
    <s v="Wednesday"/>
  </r>
  <r>
    <d v="2024-02-28T00:00:00"/>
    <x v="46"/>
    <s v="Client Manager"/>
    <n v="0.5"/>
    <x v="114"/>
    <s v="Yes"/>
    <s v="Attend to various emails from Leonie re payroll tax registration for VIC. Try logging in online but couldn't. Advise Leonie accordingly"/>
    <x v="4"/>
    <s v="Wednesday"/>
  </r>
  <r>
    <d v="2024-02-28T00:00:00"/>
    <x v="46"/>
    <s v="Client Manager"/>
    <n v="0.5"/>
    <x v="28"/>
    <s v="Yes"/>
    <s v="Meeting with Xavi/Jim re overpayment to an employee. Emails etc"/>
    <x v="4"/>
    <s v="Wednesday"/>
  </r>
  <r>
    <d v="2024-02-28T00:00:00"/>
    <x v="46"/>
    <s v="Client Manager"/>
    <n v="0.5"/>
    <x v="29"/>
    <s v="Yes"/>
    <s v="Update draft payrun for Yvonne and email Kerry Do an introduction for EF"/>
    <x v="4"/>
    <s v="Wednesday"/>
  </r>
  <r>
    <d v="2024-02-28T00:00:00"/>
    <x v="46"/>
    <s v="Client Manager"/>
    <n v="0.5"/>
    <x v="88"/>
    <s v="Yes"/>
    <s v="Send CBA form to David to sign and post for bank feed activation. Follow up on DOB and TFN"/>
    <x v="4"/>
    <s v="Wednesday"/>
  </r>
  <r>
    <d v="2024-02-28T00:00:00"/>
    <x v="46"/>
    <s v="Client Manager"/>
    <n v="1"/>
    <x v="57"/>
    <s v="Yes"/>
    <s v="Follow up with BOQ re overdraft facility and how it works, provide update to Ish.  Respond to Ish's email. Send email to Sarah with an update"/>
    <x v="4"/>
    <s v="Wednesday"/>
  </r>
  <r>
    <d v="2024-02-28T00:00:00"/>
    <x v="46"/>
    <s v="General"/>
    <n v="1"/>
    <x v="12"/>
    <s v="No"/>
    <s v="Attend to email from Nick re clients sold, send follow up email to Ben. Send James BAS clients sold list again re lodgement dates etc, Angela, review XPM client list re frequency, share with Jordan/Angela to update"/>
    <x v="4"/>
    <s v="Wednesday"/>
  </r>
  <r>
    <d v="2024-02-28T00:00:00"/>
    <x v="46"/>
    <s v="General"/>
    <n v="1.5"/>
    <x v="12"/>
    <s v="No"/>
    <s v="BAS deferral requests for clients, advise team, follow up with team on signature, send copies of BAS, email team re XPM and access to tax module"/>
    <x v="4"/>
    <s v="Wednesday"/>
  </r>
  <r>
    <d v="2024-02-28T00:00:00"/>
    <x v="46"/>
    <s v="IAS/BAS Preparation &amp; Lodgement - Oct-Dec"/>
    <n v="0.33"/>
    <x v="55"/>
    <s v="Yes"/>
    <s v="Dec 2023 quarter BAS review and lodgement"/>
    <x v="4"/>
    <s v="Wednesday"/>
  </r>
  <r>
    <d v="2024-02-28T00:00:00"/>
    <x v="46"/>
    <s v="IAS/BAS Preparation &amp; Lodgement - Oct-Dec"/>
    <n v="0.33"/>
    <x v="24"/>
    <s v="Yes"/>
    <s v="Dec 2023 quarter BAS review and lodgement"/>
    <x v="4"/>
    <s v="Wednesday"/>
  </r>
  <r>
    <d v="2024-02-28T00:00:00"/>
    <x v="46"/>
    <s v="IAS/BAS Preparation &amp; Lodgement - Oct-Dec"/>
    <n v="0.5"/>
    <x v="21"/>
    <s v="Yes"/>
    <s v="Dec 2023 quarter BAS review and lodgement. Internal liaising re incorrect GST reports, check ATO portal, update WPS"/>
    <x v="4"/>
    <s v="Wednesday"/>
  </r>
  <r>
    <d v="2024-02-28T00:00:00"/>
    <x v="46"/>
    <s v="IAS/BAS Preparation &amp; Lodgement - Oct-Dec"/>
    <n v="0.5"/>
    <x v="25"/>
    <s v="Yes"/>
    <s v="Dec 2023 quarter BAS review, update XPM and WPS. Lodge same"/>
    <x v="4"/>
    <s v="Wednesday"/>
  </r>
  <r>
    <d v="2024-02-28T00:00:00"/>
    <x v="53"/>
    <s v="General"/>
    <n v="8.1"/>
    <x v="12"/>
    <s v="No"/>
    <s v="meeting and training"/>
    <x v="4"/>
    <s v="Wednesday"/>
  </r>
  <r>
    <d v="2024-02-28T00:00:00"/>
    <x v="47"/>
    <s v="Bookkeeping"/>
    <n v="0.1"/>
    <x v="50"/>
    <s v="Yes"/>
    <s v="Email Stephen re financials"/>
    <x v="4"/>
    <s v="Wednesday"/>
  </r>
  <r>
    <d v="2024-02-28T00:00:00"/>
    <x v="47"/>
    <s v="Bookkeeping"/>
    <n v="0.3"/>
    <x v="50"/>
    <s v="Yes"/>
    <s v="3TOP - liaise with team on 19th reimbursement"/>
    <x v="4"/>
    <s v="Wednesday"/>
  </r>
  <r>
    <d v="2024-02-28T00:00:00"/>
    <x v="47"/>
    <s v="Bookkeeping"/>
    <n v="1"/>
    <x v="50"/>
    <s v="Yes"/>
    <s v="BELCR / BLM - issue sub-management invoice, Forex deal file, list of payments "/>
    <x v="4"/>
    <s v="Wednesday"/>
  </r>
  <r>
    <d v="2024-02-28T00:00:00"/>
    <x v="47"/>
    <s v="Budget - Monthly"/>
    <n v="1.5"/>
    <x v="109"/>
    <s v="No"/>
    <s v="Access server issue / Mark B Gather and check all doc for RSM"/>
    <x v="4"/>
    <s v="Wednesday"/>
  </r>
  <r>
    <d v="2024-02-28T00:00:00"/>
    <x v="47"/>
    <s v="Client Manager"/>
    <n v="0.5"/>
    <x v="50"/>
    <s v="Yes"/>
    <s v="Liaise with team re 3TOP 19th reimb and automation"/>
    <x v="4"/>
    <s v="Wednesday"/>
  </r>
  <r>
    <d v="2024-02-28T00:00:00"/>
    <x v="47"/>
    <s v="Client Manager"/>
    <n v="0.7"/>
    <x v="50"/>
    <s v="Yes"/>
    <s v="Liaise with team, emails "/>
    <x v="4"/>
    <s v="Wednesday"/>
  </r>
  <r>
    <d v="2024-02-28T00:00:00"/>
    <x v="47"/>
    <s v="Client Manager"/>
    <n v="0.8"/>
    <x v="64"/>
    <s v="Yes"/>
    <s v="Liaise with Ann and client re Interest reports"/>
    <x v="4"/>
    <s v="Wednesday"/>
  </r>
  <r>
    <d v="2024-02-28T00:00:00"/>
    <x v="47"/>
    <s v="Financial Statements"/>
    <n v="0.2"/>
    <x v="132"/>
    <s v="Yes"/>
    <s v="Email and call Josh, "/>
    <x v="4"/>
    <s v="Wednesday"/>
  </r>
  <r>
    <d v="2024-02-28T00:00:00"/>
    <x v="47"/>
    <s v="General"/>
    <n v="0.8"/>
    <x v="12"/>
    <s v="No"/>
    <s v="Asana, emails, teams, timesheet"/>
    <x v="4"/>
    <s v="Wednesday"/>
  </r>
  <r>
    <d v="2024-02-28T00:00:00"/>
    <x v="47"/>
    <s v="Management Reporting"/>
    <n v="2.2999999999999998"/>
    <x v="50"/>
    <s v="Yes"/>
    <s v="Update budget and Fathom report"/>
    <x v="4"/>
    <s v="Wednesday"/>
  </r>
  <r>
    <d v="2024-02-28T00:00:00"/>
    <x v="48"/>
    <s v="General"/>
    <n v="8"/>
    <x v="12"/>
    <s v="No"/>
    <e v="#NAME?"/>
    <x v="4"/>
    <s v="Wednesday"/>
  </r>
  <r>
    <d v="2024-02-29T00:00:00"/>
    <x v="0"/>
    <s v="Bookkeeping"/>
    <n v="0.05"/>
    <x v="19"/>
    <s v="Yes"/>
    <s v="Email/Inbox Management"/>
    <x v="4"/>
    <s v="Thursday"/>
  </r>
  <r>
    <d v="2024-02-29T00:00:00"/>
    <x v="0"/>
    <s v="Bookkeeping"/>
    <n v="0.1"/>
    <x v="19"/>
    <s v="Yes"/>
    <s v="Enter bills in Sage"/>
    <x v="4"/>
    <s v="Thursday"/>
  </r>
  <r>
    <d v="2024-02-29T00:00:00"/>
    <x v="0"/>
    <s v="Bookkeeping"/>
    <n v="0.1"/>
    <x v="1"/>
    <s v="Yes"/>
    <s v="Email/Inbox Management"/>
    <x v="4"/>
    <s v="Thursday"/>
  </r>
  <r>
    <d v="2024-02-29T00:00:00"/>
    <x v="0"/>
    <s v="Bookkeeping"/>
    <n v="0.1"/>
    <x v="3"/>
    <s v="Yes"/>
    <s v="Send Statement Requests to Suppliers"/>
    <x v="4"/>
    <s v="Thursday"/>
  </r>
  <r>
    <d v="2024-02-29T00:00:00"/>
    <x v="0"/>
    <s v="Bookkeeping"/>
    <n v="0.18"/>
    <x v="9"/>
    <s v="Yes"/>
    <s v="Bank Reconciliation"/>
    <x v="4"/>
    <s v="Thursday"/>
  </r>
  <r>
    <d v="2024-02-29T00:00:00"/>
    <x v="0"/>
    <s v="Bookkeeping"/>
    <n v="0.2"/>
    <x v="2"/>
    <s v="Yes"/>
    <s v="Review"/>
    <x v="4"/>
    <s v="Thursday"/>
  </r>
  <r>
    <d v="2024-02-29T00:00:00"/>
    <x v="0"/>
    <s v="Bookkeeping"/>
    <n v="0.23"/>
    <x v="1"/>
    <s v="Yes"/>
    <s v="Accounts Payable"/>
    <x v="4"/>
    <s v="Thursday"/>
  </r>
  <r>
    <d v="2024-02-29T00:00:00"/>
    <x v="0"/>
    <s v="Bookkeeping"/>
    <n v="0.28000000000000003"/>
    <x v="6"/>
    <s v="Yes"/>
    <s v="AP and Email/Inbox Management"/>
    <x v="4"/>
    <s v="Thursday"/>
  </r>
  <r>
    <d v="2024-02-29T00:00:00"/>
    <x v="0"/>
    <s v="Bookkeeping"/>
    <n v="0.32"/>
    <x v="4"/>
    <s v="Yes"/>
    <s v="AR and Email/Inbox Management"/>
    <x v="4"/>
    <s v="Thursday"/>
  </r>
  <r>
    <d v="2024-02-29T00:00:00"/>
    <x v="0"/>
    <s v="Bookkeeping"/>
    <n v="0.35"/>
    <x v="7"/>
    <s v="Yes"/>
    <s v="Bank Reconciliation"/>
    <x v="4"/>
    <s v="Thursday"/>
  </r>
  <r>
    <d v="2024-02-29T00:00:00"/>
    <x v="0"/>
    <s v="Bookkeeping"/>
    <n v="0.48"/>
    <x v="3"/>
    <s v="Yes"/>
    <s v="Add Planned Dates on bills"/>
    <x v="4"/>
    <s v="Thursday"/>
  </r>
  <r>
    <d v="2024-02-29T00:00:00"/>
    <x v="0"/>
    <s v="Bookkeeping"/>
    <n v="0.75"/>
    <x v="4"/>
    <s v="Yes"/>
    <s v="Accounts Payable"/>
    <x v="4"/>
    <s v="Thursday"/>
  </r>
  <r>
    <d v="2024-02-29T00:00:00"/>
    <x v="0"/>
    <s v="Bookkeeping"/>
    <n v="0.85"/>
    <x v="3"/>
    <s v="Yes"/>
    <s v="Add Planned Date on bills"/>
    <x v="4"/>
    <s v="Thursday"/>
  </r>
  <r>
    <d v="2024-02-29T00:00:00"/>
    <x v="0"/>
    <s v="Bookkeeping"/>
    <n v="0.98"/>
    <x v="6"/>
    <s v="Yes"/>
    <s v="Accounts Payable"/>
    <x v="4"/>
    <s v="Thursday"/>
  </r>
  <r>
    <d v="2024-02-29T00:00:00"/>
    <x v="0"/>
    <s v="Bookkeeping"/>
    <n v="1.7"/>
    <x v="3"/>
    <s v="Yes"/>
    <s v="Process batch payment"/>
    <x v="4"/>
    <s v="Thursday"/>
  </r>
  <r>
    <d v="2024-02-29T00:00:00"/>
    <x v="0"/>
    <s v="Client Meeting"/>
    <n v="0.52"/>
    <x v="6"/>
    <s v="Yes"/>
    <s v="Meeting with Elena and Mary Ann regarding RMF Expense Claims"/>
    <x v="4"/>
    <s v="Thursday"/>
  </r>
  <r>
    <d v="2024-02-29T00:00:00"/>
    <x v="0"/>
    <s v="General"/>
    <n v="0.25"/>
    <x v="12"/>
    <s v="No"/>
    <s v="Afternoon Break"/>
    <x v="4"/>
    <s v="Thursday"/>
  </r>
  <r>
    <d v="2024-02-29T00:00:00"/>
    <x v="0"/>
    <s v="General"/>
    <n v="0.25"/>
    <x v="12"/>
    <s v="No"/>
    <s v="Morning Break"/>
    <x v="4"/>
    <s v="Thursday"/>
  </r>
  <r>
    <d v="2024-02-29T00:00:00"/>
    <x v="0"/>
    <s v="Payroll Processing"/>
    <n v="0.3"/>
    <x v="13"/>
    <s v="Yes"/>
    <m/>
    <x v="4"/>
    <s v="Thursday"/>
  </r>
  <r>
    <d v="2024-02-29T00:00:00"/>
    <x v="49"/>
    <s v="P&amp;C Advisory - Group"/>
    <n v="1.33"/>
    <x v="63"/>
    <s v="Yes"/>
    <s v="Call with VP HR Call with Finance Director and Accounting Manager Correspondence re. flexible working arrangement"/>
    <x v="4"/>
    <s v="Thursday"/>
  </r>
  <r>
    <d v="2024-02-29T00:00:00"/>
    <x v="49"/>
    <s v="P&amp;C Advisory - Nordfab"/>
    <n v="1.25"/>
    <x v="63"/>
    <s v="Yes"/>
    <s v="Call with GM re. personnel issues Documentation and action plan re. people issue CSG position description Phone screens"/>
    <x v="4"/>
    <s v="Thursday"/>
  </r>
  <r>
    <d v="2024-02-29T00:00:00"/>
    <x v="1"/>
    <s v="Annual Leave"/>
    <n v="8"/>
    <x v="12"/>
    <s v="No"/>
    <s v="Whole day power interruption"/>
    <x v="4"/>
    <s v="Thursday"/>
  </r>
  <r>
    <d v="2024-02-29T00:00:00"/>
    <x v="3"/>
    <s v="Business Development"/>
    <n v="10"/>
    <x v="12"/>
    <s v="No"/>
    <s v="finalizing of flow continuation of manuals  meeting with Miguel for Intranet setup"/>
    <x v="4"/>
    <s v="Thursday"/>
  </r>
  <r>
    <d v="2024-02-29T00:00:00"/>
    <x v="4"/>
    <s v="General"/>
    <n v="9"/>
    <x v="12"/>
    <s v="No"/>
    <m/>
    <x v="4"/>
    <s v="Thursday"/>
  </r>
  <r>
    <d v="2024-02-29T00:00:00"/>
    <x v="5"/>
    <s v="Bookkeeping"/>
    <n v="2.15"/>
    <x v="16"/>
    <s v="Yes"/>
    <s v="Email Management "/>
    <x v="4"/>
    <s v="Thursday"/>
  </r>
  <r>
    <d v="2024-02-29T00:00:00"/>
    <x v="5"/>
    <s v="Bookkeeping"/>
    <n v="6.22"/>
    <x v="16"/>
    <s v="Yes"/>
    <s v="AP Processing "/>
    <x v="4"/>
    <s v="Thursday"/>
  </r>
  <r>
    <d v="2024-02-29T00:00:00"/>
    <x v="7"/>
    <s v="Automations"/>
    <n v="9.6"/>
    <x v="12"/>
    <s v="No"/>
    <m/>
    <x v="4"/>
    <s v="Thursday"/>
  </r>
  <r>
    <d v="2024-02-29T00:00:00"/>
    <x v="9"/>
    <s v="Automations"/>
    <n v="7.5"/>
    <x v="12"/>
    <s v="No"/>
    <s v="Run four Alliance automations + AP automation; Developed and conducted multiple testing for the newly added feature on Simpro."/>
    <x v="4"/>
    <s v="Thursday"/>
  </r>
  <r>
    <d v="2024-02-29T00:00:00"/>
    <x v="10"/>
    <s v="Automations"/>
    <n v="9.0500000000000007"/>
    <x v="12"/>
    <s v="No"/>
    <s v="Alliance Report Automation Testing and additional delete function developement"/>
    <x v="4"/>
    <s v="Thursday"/>
  </r>
  <r>
    <d v="2024-02-29T00:00:00"/>
    <x v="11"/>
    <s v="Bookkeeping"/>
    <n v="0.08"/>
    <x v="23"/>
    <s v="No"/>
    <s v="Quick call with LM"/>
    <x v="4"/>
    <s v="Thursday"/>
  </r>
  <r>
    <d v="2024-02-29T00:00:00"/>
    <x v="11"/>
    <s v="Bookkeeping"/>
    <n v="0.17"/>
    <x v="21"/>
    <s v="Yes"/>
    <s v="Feb IAS report"/>
    <x v="4"/>
    <s v="Thursday"/>
  </r>
  <r>
    <d v="2024-02-29T00:00:00"/>
    <x v="11"/>
    <s v="Bookkeeping"/>
    <n v="0.17"/>
    <x v="60"/>
    <s v="Yes"/>
    <s v="Feb IAS report"/>
    <x v="4"/>
    <s v="Thursday"/>
  </r>
  <r>
    <d v="2024-02-29T00:00:00"/>
    <x v="11"/>
    <s v="Bookkeeping"/>
    <n v="0.25"/>
    <x v="24"/>
    <s v="No"/>
    <s v="Checking for BAS"/>
    <x v="4"/>
    <s v="Thursday"/>
  </r>
  <r>
    <d v="2024-02-29T00:00:00"/>
    <x v="11"/>
    <s v="Bookkeeping"/>
    <n v="0.25"/>
    <x v="24"/>
    <s v="Yes"/>
    <s v="Feb IAS report"/>
    <x v="4"/>
    <s v="Thursday"/>
  </r>
  <r>
    <d v="2024-02-29T00:00:00"/>
    <x v="11"/>
    <s v="Bookkeeping"/>
    <n v="0.33"/>
    <x v="23"/>
    <s v="Yes"/>
    <s v="Feb IAS report"/>
    <x v="4"/>
    <s v="Thursday"/>
  </r>
  <r>
    <d v="2024-02-29T00:00:00"/>
    <x v="11"/>
    <s v="Bookkeeping"/>
    <n v="0.33"/>
    <x v="22"/>
    <s v="Yes"/>
    <s v="Feb IAS report"/>
    <x v="4"/>
    <s v="Thursday"/>
  </r>
  <r>
    <d v="2024-02-29T00:00:00"/>
    <x v="11"/>
    <s v="Bookkeeping"/>
    <n v="1.67"/>
    <x v="26"/>
    <s v="Yes"/>
    <s v="bank recon, BAS reports for 4 quarters"/>
    <x v="4"/>
    <s v="Thursday"/>
  </r>
  <r>
    <d v="2024-02-29T00:00:00"/>
    <x v="11"/>
    <s v="Bookkeeping"/>
    <n v="4.08"/>
    <x v="25"/>
    <s v="Yes"/>
    <s v="Emails, loading bills, creating invoices, bank recon, weekly report"/>
    <x v="4"/>
    <s v="Thursday"/>
  </r>
  <r>
    <d v="2024-02-29T00:00:00"/>
    <x v="11"/>
    <s v="General"/>
    <n v="0.5"/>
    <x v="12"/>
    <s v="No"/>
    <s v="break"/>
    <x v="4"/>
    <s v="Thursday"/>
  </r>
  <r>
    <d v="2024-02-29T00:00:00"/>
    <x v="11"/>
    <s v="Payroll Processing"/>
    <n v="0.17"/>
    <x v="25"/>
    <s v="Yes"/>
    <s v="weekly payroll"/>
    <x v="4"/>
    <s v="Thursday"/>
  </r>
  <r>
    <d v="2024-02-29T00:00:00"/>
    <x v="12"/>
    <s v="CFO001 - CFO Services"/>
    <n v="1"/>
    <x v="6"/>
    <s v="Yes"/>
    <s v="Payment run questions Catch up with Lynn"/>
    <x v="4"/>
    <s v="Thursday"/>
  </r>
  <r>
    <d v="2024-02-29T00:00:00"/>
    <x v="14"/>
    <s v="General"/>
    <n v="0.37"/>
    <x v="12"/>
    <s v="No"/>
    <s v="Sprout/ emails"/>
    <x v="4"/>
    <s v="Thursday"/>
  </r>
  <r>
    <d v="2024-02-29T00:00:00"/>
    <x v="14"/>
    <s v="General"/>
    <n v="0.5"/>
    <x v="12"/>
    <s v="No"/>
    <s v="break"/>
    <x v="4"/>
    <s v="Thursday"/>
  </r>
  <r>
    <d v="2024-02-29T00:00:00"/>
    <x v="14"/>
    <s v="HR/Recuitment"/>
    <n v="0.22"/>
    <x v="12"/>
    <s v="No"/>
    <s v="technical expertise questionnaire payroll specialist"/>
    <x v="4"/>
    <s v="Thursday"/>
  </r>
  <r>
    <d v="2024-02-29T00:00:00"/>
    <x v="14"/>
    <s v="Payroll Processing"/>
    <n v="0.32"/>
    <x v="16"/>
    <s v="Yes"/>
    <s v="approval/ pay slips/ STP"/>
    <x v="4"/>
    <s v="Thursday"/>
  </r>
  <r>
    <d v="2024-02-29T00:00:00"/>
    <x v="14"/>
    <s v="Payroll Processing"/>
    <n v="0.33"/>
    <x v="16"/>
    <s v="Yes"/>
    <s v="emails"/>
    <x v="4"/>
    <s v="Thursday"/>
  </r>
  <r>
    <d v="2024-02-29T00:00:00"/>
    <x v="14"/>
    <s v="Payroll Processing"/>
    <n v="0.33"/>
    <x v="16"/>
    <s v="Yes"/>
    <s v="upload and approval"/>
    <x v="4"/>
    <s v="Thursday"/>
  </r>
  <r>
    <d v="2024-02-29T00:00:00"/>
    <x v="14"/>
    <s v="Payroll Processing"/>
    <n v="0.45"/>
    <x v="12"/>
    <s v="Yes"/>
    <s v="adjustment"/>
    <x v="4"/>
    <s v="Thursday"/>
  </r>
  <r>
    <d v="2024-02-29T00:00:00"/>
    <x v="14"/>
    <s v="Payroll Processing"/>
    <n v="0.52"/>
    <x v="16"/>
    <s v="Yes"/>
    <s v="review queries/emails"/>
    <x v="4"/>
    <s v="Thursday"/>
  </r>
  <r>
    <d v="2024-02-29T00:00:00"/>
    <x v="14"/>
    <s v="Payroll Processing"/>
    <n v="0.72"/>
    <x v="16"/>
    <s v="Yes"/>
    <s v="adjustments"/>
    <x v="4"/>
    <s v="Thursday"/>
  </r>
  <r>
    <d v="2024-02-29T00:00:00"/>
    <x v="14"/>
    <s v="Payroll Processing"/>
    <n v="1.48"/>
    <x v="16"/>
    <s v="Yes"/>
    <s v="review"/>
    <x v="4"/>
    <s v="Thursday"/>
  </r>
  <r>
    <d v="2024-02-29T00:00:00"/>
    <x v="14"/>
    <s v="Payroll Processing"/>
    <n v="2.77"/>
    <x v="16"/>
    <s v="Yes"/>
    <m/>
    <x v="4"/>
    <s v="Thursday"/>
  </r>
  <r>
    <d v="2024-02-29T00:00:00"/>
    <x v="15"/>
    <s v="Bookkeeping"/>
    <n v="0.25"/>
    <x v="16"/>
    <s v="Yes"/>
    <e v="#NAME?"/>
    <x v="4"/>
    <s v="Thursday"/>
  </r>
  <r>
    <d v="2024-02-29T00:00:00"/>
    <x v="15"/>
    <s v="General"/>
    <n v="9.33"/>
    <x v="12"/>
    <s v="No"/>
    <e v="#NAME?"/>
    <x v="4"/>
    <s v="Thursday"/>
  </r>
  <r>
    <d v="2024-02-29T00:00:00"/>
    <x v="16"/>
    <s v="Bookkeeping"/>
    <n v="0.23"/>
    <x v="32"/>
    <s v="Yes"/>
    <s v="statements"/>
    <x v="4"/>
    <s v="Thursday"/>
  </r>
  <r>
    <d v="2024-02-29T00:00:00"/>
    <x v="16"/>
    <s v="Bookkeeping"/>
    <n v="0.62"/>
    <x v="32"/>
    <s v="No"/>
    <s v="re-checking of processed invoices"/>
    <x v="4"/>
    <s v="Thursday"/>
  </r>
  <r>
    <d v="2024-02-29T00:00:00"/>
    <x v="16"/>
    <s v="Bookkeeping"/>
    <n v="0.62"/>
    <x v="75"/>
    <s v="Yes"/>
    <s v="process credit notes check of supplier statements emails"/>
    <x v="4"/>
    <s v="Thursday"/>
  </r>
  <r>
    <d v="2024-02-29T00:00:00"/>
    <x v="16"/>
    <s v="Bookkeeping"/>
    <n v="0.63"/>
    <x v="30"/>
    <s v="Yes"/>
    <s v="bank recon ap invoices"/>
    <x v="4"/>
    <s v="Thursday"/>
  </r>
  <r>
    <d v="2024-02-29T00:00:00"/>
    <x v="16"/>
    <s v="Bookkeeping"/>
    <n v="1.23"/>
    <x v="74"/>
    <s v="Yes"/>
    <s v="Checking of statements emails"/>
    <x v="4"/>
    <s v="Thursday"/>
  </r>
  <r>
    <d v="2024-02-29T00:00:00"/>
    <x v="16"/>
    <s v="Bookkeeping"/>
    <n v="1.62"/>
    <x v="32"/>
    <s v="Yes"/>
    <s v="bank recon process ap invoices from inbox check of paypal account"/>
    <x v="4"/>
    <s v="Thursday"/>
  </r>
  <r>
    <d v="2024-02-29T00:00:00"/>
    <x v="16"/>
    <s v="Bookkeeping - AP"/>
    <n v="2.5499999999999998"/>
    <x v="33"/>
    <s v="Yes"/>
    <m/>
    <x v="4"/>
    <s v="Thursday"/>
  </r>
  <r>
    <d v="2024-02-29T00:00:00"/>
    <x v="16"/>
    <s v="General"/>
    <n v="0.5"/>
    <x v="12"/>
    <s v="No"/>
    <s v="break"/>
    <x v="4"/>
    <s v="Thursday"/>
  </r>
  <r>
    <d v="2024-02-29T00:00:00"/>
    <x v="17"/>
    <s v="Bookkeeping"/>
    <n v="0.25"/>
    <x v="34"/>
    <s v="Yes"/>
    <s v="Bank recs, recording of invoices"/>
    <x v="4"/>
    <s v="Thursday"/>
  </r>
  <r>
    <d v="2024-02-29T00:00:00"/>
    <x v="17"/>
    <s v="Bookkeeping"/>
    <n v="0.83"/>
    <x v="34"/>
    <s v="Yes"/>
    <s v="Recording of invoices"/>
    <x v="4"/>
    <s v="Thursday"/>
  </r>
  <r>
    <d v="2024-02-29T00:00:00"/>
    <x v="17"/>
    <s v="Bookkeeping"/>
    <n v="1.23"/>
    <x v="35"/>
    <s v="Yes"/>
    <s v="Bank recs, checking of accounts"/>
    <x v="4"/>
    <s v="Thursday"/>
  </r>
  <r>
    <d v="2024-02-29T00:00:00"/>
    <x v="17"/>
    <s v="Bookkeeping"/>
    <n v="2.23"/>
    <x v="34"/>
    <s v="Yes"/>
    <s v="Bank recs, fixing Telstra bills, recording of invoices"/>
    <x v="4"/>
    <s v="Thursday"/>
  </r>
  <r>
    <d v="2024-02-29T00:00:00"/>
    <x v="17"/>
    <s v="General"/>
    <n v="0.17"/>
    <x v="12"/>
    <s v="No"/>
    <s v="Checking asana, emails"/>
    <x v="4"/>
    <s v="Thursday"/>
  </r>
  <r>
    <d v="2024-02-29T00:00:00"/>
    <x v="17"/>
    <s v="Payroll Processing"/>
    <n v="0.35"/>
    <x v="14"/>
    <s v="Yes"/>
    <s v="Rate computation and checking"/>
    <x v="4"/>
    <s v="Thursday"/>
  </r>
  <r>
    <d v="2024-02-29T00:00:00"/>
    <x v="17"/>
    <s v="Payroll Processing"/>
    <n v="0.42"/>
    <x v="14"/>
    <s v="Yes"/>
    <s v="Checking payroll emails and replying to email"/>
    <x v="4"/>
    <s v="Thursday"/>
  </r>
  <r>
    <d v="2024-02-29T00:00:00"/>
    <x v="17"/>
    <s v="Payroll Processing"/>
    <n v="3.27"/>
    <x v="14"/>
    <s v="Yes"/>
    <s v="Payroll"/>
    <x v="4"/>
    <s v="Thursday"/>
  </r>
  <r>
    <d v="2024-02-29T00:00:00"/>
    <x v="18"/>
    <s v="General"/>
    <n v="1.58"/>
    <x v="12"/>
    <s v="No"/>
    <m/>
    <x v="4"/>
    <s v="Thursday"/>
  </r>
  <r>
    <d v="2024-02-29T00:00:00"/>
    <x v="18"/>
    <s v="General"/>
    <n v="2.02"/>
    <x v="12"/>
    <s v="No"/>
    <s v="survey questions, emails, asana, idle"/>
    <x v="4"/>
    <s v="Thursday"/>
  </r>
  <r>
    <d v="2024-02-29T00:00:00"/>
    <x v="18"/>
    <s v="General"/>
    <n v="4.92"/>
    <x v="12"/>
    <s v="No"/>
    <s v="trainings, prepare survey questions, clean up asana for new client, idle time"/>
    <x v="4"/>
    <s v="Thursday"/>
  </r>
  <r>
    <d v="2024-02-29T00:00:00"/>
    <x v="19"/>
    <s v="Bookkeeping"/>
    <n v="7.9"/>
    <x v="36"/>
    <s v="Yes"/>
    <m/>
    <x v="4"/>
    <s v="Thursday"/>
  </r>
  <r>
    <d v="2024-02-29T00:00:00"/>
    <x v="20"/>
    <s v="Meetings"/>
    <n v="0.5"/>
    <x v="12"/>
    <s v="No"/>
    <s v="HR Monthly mtg"/>
    <x v="4"/>
    <s v="Thursday"/>
  </r>
  <r>
    <d v="2024-02-29T00:00:00"/>
    <x v="20"/>
    <s v="P&amp;C Advisory"/>
    <n v="3.45"/>
    <x v="37"/>
    <s v="Yes"/>
    <s v="HR daily mtg Inbox responses Salary Review mtg with MD Salary Review market research cont.  Terminations"/>
    <x v="4"/>
    <s v="Thursday"/>
  </r>
  <r>
    <d v="2024-02-29T00:00:00"/>
    <x v="20"/>
    <s v="P&amp;C Advisory"/>
    <n v="4"/>
    <x v="38"/>
    <s v="Yes"/>
    <s v="Offboarding, inbox tidy up, finishing outstanding tasks, last mtg with COO &amp; Head HR"/>
    <x v="4"/>
    <s v="Thursday"/>
  </r>
  <r>
    <d v="2024-02-29T00:00:00"/>
    <x v="21"/>
    <s v="Bookkeeping"/>
    <n v="0.25"/>
    <x v="72"/>
    <s v="Yes"/>
    <s v="ap items, bank recon"/>
    <x v="4"/>
    <s v="Thursday"/>
  </r>
  <r>
    <d v="2024-02-29T00:00:00"/>
    <x v="21"/>
    <s v="Bookkeeping"/>
    <n v="0.3"/>
    <x v="66"/>
    <s v="Yes"/>
    <s v="Bank recon, check ap items"/>
    <x v="4"/>
    <s v="Thursday"/>
  </r>
  <r>
    <d v="2024-02-29T00:00:00"/>
    <x v="21"/>
    <s v="Bookkeeping"/>
    <n v="0.43"/>
    <x v="41"/>
    <s v="Yes"/>
    <s v="Invoices from procore, ap emails, payroll employee profile update and sync to EH"/>
    <x v="4"/>
    <s v="Thursday"/>
  </r>
  <r>
    <d v="2024-02-29T00:00:00"/>
    <x v="21"/>
    <s v="Bookkeeping"/>
    <n v="0.55000000000000004"/>
    <x v="41"/>
    <s v="Yes"/>
    <s v="payslips, hubdoc, remittance, email sort to inboxes"/>
    <x v="4"/>
    <s v="Thursday"/>
  </r>
  <r>
    <d v="2024-02-29T00:00:00"/>
    <x v="21"/>
    <s v="Bookkeeping"/>
    <n v="1.18"/>
    <x v="36"/>
    <s v="Yes"/>
    <s v="ap bills review"/>
    <x v="4"/>
    <s v="Thursday"/>
  </r>
  <r>
    <d v="2024-02-29T00:00:00"/>
    <x v="21"/>
    <s v="Bookkeeping"/>
    <n v="1.5"/>
    <x v="39"/>
    <s v="Yes"/>
    <s v="ap items, bank recon, payroll"/>
    <x v="4"/>
    <s v="Thursday"/>
  </r>
  <r>
    <d v="2024-02-29T00:00:00"/>
    <x v="21"/>
    <s v="Bookkeeping"/>
    <n v="1.8"/>
    <x v="28"/>
    <s v="Yes"/>
    <s v="update new payroll, batch file for late invoices received in Dext, email query, update excel reports for month-end figures"/>
    <x v="4"/>
    <s v="Thursday"/>
  </r>
  <r>
    <d v="2024-02-29T00:00:00"/>
    <x v="21"/>
    <s v="Bookkeeping"/>
    <n v="2.0299999999999998"/>
    <x v="28"/>
    <s v="Yes"/>
    <m/>
    <x v="4"/>
    <s v="Thursday"/>
  </r>
  <r>
    <d v="2024-02-29T00:00:00"/>
    <x v="22"/>
    <s v="Automations - Surefire"/>
    <n v="8"/>
    <x v="12"/>
    <s v="No"/>
    <s v="Sure Fire Automation"/>
    <x v="4"/>
    <s v="Thursday"/>
  </r>
  <r>
    <d v="2024-02-29T00:00:00"/>
    <x v="23"/>
    <s v="Automations"/>
    <n v="8"/>
    <x v="12"/>
    <s v="No"/>
    <m/>
    <x v="4"/>
    <s v="Thursday"/>
  </r>
  <r>
    <d v="2024-02-29T00:00:00"/>
    <x v="24"/>
    <s v="Automations"/>
    <n v="8"/>
    <x v="12"/>
    <s v="No"/>
    <s v="Run: LOC Automation Dev: PrimeBuild Payroll Processing Report"/>
    <x v="4"/>
    <s v="Thursday"/>
  </r>
  <r>
    <d v="2024-02-29T00:00:00"/>
    <x v="25"/>
    <s v="Bookkeeping"/>
    <n v="0.25"/>
    <x v="24"/>
    <s v="Yes"/>
    <s v="CJs Gregory Hills lodge nil BAS and email to Gen re fees"/>
    <x v="4"/>
    <s v="Thursday"/>
  </r>
  <r>
    <d v="2024-02-29T00:00:00"/>
    <x v="25"/>
    <s v="Bookkeeping"/>
    <n v="0.33"/>
    <x v="44"/>
    <s v="Yes"/>
    <s v="Review all compliance, email to Tyson / Tom at HK re non-Dext entities with overdue lodgements"/>
    <x v="4"/>
    <s v="Thursday"/>
  </r>
  <r>
    <d v="2024-02-29T00:00:00"/>
    <x v="25"/>
    <s v="Bookkeeping"/>
    <n v="0.45"/>
    <x v="24"/>
    <s v="Yes"/>
    <s v="REcode transactions prior to 1/10/2023 to exclude from GST as not registered Update AS Asana tasks to allocate to client project"/>
    <x v="4"/>
    <s v="Thursday"/>
  </r>
  <r>
    <d v="2024-02-29T00:00:00"/>
    <x v="25"/>
    <s v="Bookkeeping"/>
    <n v="0.73"/>
    <x v="26"/>
    <s v="Yes"/>
    <s v="Check GST / Payg registration and BAS Email to client to confirm registration for tax. Email re CJs Gregory hills with outstanding BAS and nil lodgements"/>
    <x v="4"/>
    <s v="Thursday"/>
  </r>
  <r>
    <d v="2024-02-29T00:00:00"/>
    <x v="25"/>
    <s v="Client Admin"/>
    <n v="0.28000000000000003"/>
    <x v="12"/>
    <s v="No"/>
    <s v="Review Pinnacle ff proposal and capacity for Ef - email to Ali"/>
    <x v="4"/>
    <s v="Thursday"/>
  </r>
  <r>
    <d v="2024-02-29T00:00:00"/>
    <x v="25"/>
    <s v="Client Manager"/>
    <n v="7.0000000000000007E-2"/>
    <x v="23"/>
    <s v="Yes"/>
    <s v="Review BS reconciliation"/>
    <x v="4"/>
    <s v="Thursday"/>
  </r>
  <r>
    <d v="2024-02-29T00:00:00"/>
    <x v="25"/>
    <s v="Client Manager"/>
    <n v="0.17"/>
    <x v="26"/>
    <s v="Yes"/>
    <s v="Set up Organisation branch number to match ATO for auto lodgements."/>
    <x v="4"/>
    <s v="Thursday"/>
  </r>
  <r>
    <d v="2024-02-29T00:00:00"/>
    <x v="25"/>
    <s v="Client Manager"/>
    <n v="0.17"/>
    <x v="6"/>
    <s v="Yes"/>
    <s v="Liaise with Mary re expenses submissions"/>
    <x v="4"/>
    <s v="Thursday"/>
  </r>
  <r>
    <d v="2024-02-29T00:00:00"/>
    <x v="25"/>
    <s v="Client Manager"/>
    <n v="0.25"/>
    <x v="115"/>
    <s v="Yes"/>
    <s v="Email re client agent linking G&amp; T bill add to Xero Send email re grant application"/>
    <x v="4"/>
    <s v="Thursday"/>
  </r>
  <r>
    <d v="2024-02-29T00:00:00"/>
    <x v="25"/>
    <s v="General"/>
    <n v="0.2"/>
    <x v="12"/>
    <s v="No"/>
    <s v="emails"/>
    <x v="4"/>
    <s v="Thursday"/>
  </r>
  <r>
    <d v="2024-02-29T00:00:00"/>
    <x v="25"/>
    <s v="General"/>
    <n v="1"/>
    <x v="12"/>
    <s v="No"/>
    <s v="Emails, Asana tasks."/>
    <x v="4"/>
    <s v="Thursday"/>
  </r>
  <r>
    <d v="2024-02-29T00:00:00"/>
    <x v="25"/>
    <s v="IAS/BAS Preparation &amp; Lodgement - Oct-Dec"/>
    <n v="0.17"/>
    <x v="23"/>
    <s v="Yes"/>
    <s v="Review BAS and check income / GST on income"/>
    <x v="4"/>
    <s v="Thursday"/>
  </r>
  <r>
    <d v="2024-02-29T00:00:00"/>
    <x v="25"/>
    <s v="IAS/BAS Preparation &amp; Lodgement - Oct-Dec"/>
    <n v="0.5"/>
    <x v="24"/>
    <s v="Yes"/>
    <s v="Review of all ATO accounts and summary email to Eric"/>
    <x v="4"/>
    <s v="Thursday"/>
  </r>
  <r>
    <d v="2024-02-29T00:00:00"/>
    <x v="25"/>
    <s v="IAS/BAS Preparation &amp; Lodgement - Oct-Dec"/>
    <n v="0.95"/>
    <x v="24"/>
    <s v="Yes"/>
    <s v="Review of statements, addresses etc."/>
    <x v="4"/>
    <s v="Thursday"/>
  </r>
  <r>
    <d v="2024-02-29T00:00:00"/>
    <x v="25"/>
    <s v="Meetings"/>
    <n v="0.92"/>
    <x v="12"/>
    <s v="No"/>
    <s v="Client Delivery meeting, discussion with Carly / Libby re PB"/>
    <x v="4"/>
    <s v="Thursday"/>
  </r>
  <r>
    <d v="2024-02-29T00:00:00"/>
    <x v="25"/>
    <s v="Out-of-Scope Services"/>
    <n v="0.35"/>
    <x v="23"/>
    <s v="Yes"/>
    <s v="Enter payroll journal for Feb and put together process"/>
    <x v="4"/>
    <s v="Thursday"/>
  </r>
  <r>
    <d v="2024-02-29T00:00:00"/>
    <x v="25"/>
    <s v="Payroll Processing"/>
    <n v="0.22"/>
    <x v="37"/>
    <s v="Yes"/>
    <s v="Emails - report for Jess (Milenko) Report for Andrew (Willemsens)"/>
    <x v="4"/>
    <s v="Thursday"/>
  </r>
  <r>
    <d v="2024-02-29T00:00:00"/>
    <x v="25"/>
    <s v="Payroll Processing"/>
    <n v="0.27"/>
    <x v="115"/>
    <s v="Yes"/>
    <s v="Payroll processing and email to Zoe Setup STP and lodge Jan and Feb payruns to ATO"/>
    <x v="4"/>
    <s v="Thursday"/>
  </r>
  <r>
    <d v="2024-02-29T00:00:00"/>
    <x v="26"/>
    <s v="Client Meeting"/>
    <n v="0.05"/>
    <x v="140"/>
    <s v="Yes"/>
    <s v="Attending to queries"/>
    <x v="4"/>
    <s v="Thursday"/>
  </r>
  <r>
    <d v="2024-02-29T00:00:00"/>
    <x v="26"/>
    <s v="Client Meeting"/>
    <n v="0.15"/>
    <x v="23"/>
    <s v="No"/>
    <s v="Attending to queries"/>
    <x v="4"/>
    <s v="Thursday"/>
  </r>
  <r>
    <d v="2024-02-29T00:00:00"/>
    <x v="26"/>
    <s v="Client Meeting"/>
    <n v="0.25"/>
    <x v="12"/>
    <s v="No"/>
    <s v="Call Jordan RE: CC card"/>
    <x v="4"/>
    <s v="Thursday"/>
  </r>
  <r>
    <d v="2024-02-29T00:00:00"/>
    <x v="26"/>
    <s v="Client Meeting"/>
    <n v="0.3"/>
    <x v="23"/>
    <s v="Yes"/>
    <s v="Meeting with Elf ( BAS concern )"/>
    <x v="4"/>
    <s v="Thursday"/>
  </r>
  <r>
    <d v="2024-02-29T00:00:00"/>
    <x v="26"/>
    <s v="Client Meeting"/>
    <n v="0.3"/>
    <x v="45"/>
    <s v="Yes"/>
    <s v="Meeting with MaryAnn's  ( BAS concern )"/>
    <x v="4"/>
    <s v="Thursday"/>
  </r>
  <r>
    <d v="2024-02-29T00:00:00"/>
    <x v="26"/>
    <s v="Client Meeting"/>
    <n v="0.32"/>
    <x v="26"/>
    <s v="No"/>
    <s v="Attending to queries, email and creation of ASANA. "/>
    <x v="4"/>
    <s v="Thursday"/>
  </r>
  <r>
    <d v="2024-02-29T00:00:00"/>
    <x v="26"/>
    <s v="General"/>
    <n v="0.12"/>
    <x v="12"/>
    <s v="No"/>
    <s v="XPM"/>
    <x v="4"/>
    <s v="Thursday"/>
  </r>
  <r>
    <d v="2024-02-29T00:00:00"/>
    <x v="26"/>
    <s v="General"/>
    <n v="0.25"/>
    <x v="12"/>
    <s v="No"/>
    <s v="MORNING Break: 15 mins coffee breaks as paid per Labor Code of the Philippines, Article 85. "/>
    <x v="4"/>
    <s v="Thursday"/>
  </r>
  <r>
    <d v="2024-02-29T00:00:00"/>
    <x v="26"/>
    <s v="General"/>
    <n v="0.37"/>
    <x v="12"/>
    <s v="No"/>
    <s v="Email and other adhoc"/>
    <x v="4"/>
    <s v="Thursday"/>
  </r>
  <r>
    <d v="2024-02-29T00:00:00"/>
    <x v="26"/>
    <s v="General"/>
    <n v="0.56999999999999995"/>
    <x v="12"/>
    <s v="No"/>
    <s v="Helping Gen coordinating the restaurant regarding Lunch Party. Email and called the supervisor of the store for reservation, quotation and other request. "/>
    <x v="4"/>
    <s v="Thursday"/>
  </r>
  <r>
    <d v="2024-02-29T00:00:00"/>
    <x v="26"/>
    <s v="HR/Recuitment"/>
    <n v="0.28000000000000003"/>
    <x v="12"/>
    <s v="No"/>
    <s v="Assisting Gen regarding price quotation. "/>
    <x v="4"/>
    <s v="Thursday"/>
  </r>
  <r>
    <d v="2024-02-29T00:00:00"/>
    <x v="26"/>
    <s v="IAS/BAS Preparation &amp; Lodgement - Feb"/>
    <n v="0.05"/>
    <x v="23"/>
    <s v="No"/>
    <s v="NonBillable - Update Asana and RolledOver"/>
    <x v="4"/>
    <s v="Thursday"/>
  </r>
  <r>
    <d v="2024-02-29T00:00:00"/>
    <x v="26"/>
    <s v="IAS/BAS Preparation &amp; Lodgement - Feb"/>
    <n v="0.05"/>
    <x v="24"/>
    <s v="No"/>
    <s v="Non Billable - Update Asana and Rolled Over"/>
    <x v="4"/>
    <s v="Thursday"/>
  </r>
  <r>
    <d v="2024-02-29T00:00:00"/>
    <x v="26"/>
    <s v="IAS/BAS Preparation &amp; Lodgement - Feb"/>
    <n v="0.05"/>
    <x v="21"/>
    <s v="No"/>
    <s v="Non Billable - Update Asana and Rolled Over"/>
    <x v="4"/>
    <s v="Thursday"/>
  </r>
  <r>
    <d v="2024-02-29T00:00:00"/>
    <x v="26"/>
    <s v="IAS/BAS Preparation &amp; Lodgement - Feb"/>
    <n v="0.05"/>
    <x v="22"/>
    <s v="No"/>
    <s v="Non Billable - Update Asana and Rolled Over"/>
    <x v="4"/>
    <s v="Thursday"/>
  </r>
  <r>
    <d v="2024-02-29T00:00:00"/>
    <x v="26"/>
    <s v="IAS/BAS Preparation &amp; Lodgement - Jan"/>
    <n v="0.12"/>
    <x v="60"/>
    <s v="No"/>
    <s v="NonBillable - Update Asana and RolledOver"/>
    <x v="4"/>
    <s v="Thursday"/>
  </r>
  <r>
    <d v="2024-02-29T00:00:00"/>
    <x v="26"/>
    <s v="IAS/BAS Preparation &amp; Lodgement - Oct-Dec"/>
    <n v="0.32"/>
    <x v="23"/>
    <s v="No"/>
    <s v="Further digging of variances"/>
    <x v="4"/>
    <s v="Thursday"/>
  </r>
  <r>
    <d v="2024-02-29T00:00:00"/>
    <x v="26"/>
    <s v="IAS/BAS Preparation &amp; Lodgement - Oct-Dec"/>
    <n v="0.7"/>
    <x v="58"/>
    <s v="Yes"/>
    <s v="Dec BAS"/>
    <x v="4"/>
    <s v="Thursday"/>
  </r>
  <r>
    <d v="2024-02-29T00:00:00"/>
    <x v="26"/>
    <s v="IAS/BAS Preparation &amp; Lodgement - Oct-Dec"/>
    <n v="0.98"/>
    <x v="58"/>
    <s v="Yes"/>
    <m/>
    <x v="4"/>
    <s v="Thursday"/>
  </r>
  <r>
    <d v="2024-02-29T00:00:00"/>
    <x v="26"/>
    <s v="IAS/BAS Preparation &amp; Lodgement - Oct-Dec"/>
    <n v="1.33"/>
    <x v="139"/>
    <s v="Yes"/>
    <s v="BAS cont. and adjustment "/>
    <x v="4"/>
    <s v="Thursday"/>
  </r>
  <r>
    <d v="2024-02-29T00:00:00"/>
    <x v="26"/>
    <s v="IAS/BAS Preparation &amp; Lodgement - Oct-Dec"/>
    <n v="1.4"/>
    <x v="23"/>
    <s v="Yes"/>
    <s v="BAS con"/>
    <x v="4"/>
    <s v="Thursday"/>
  </r>
  <r>
    <d v="2024-02-29T00:00:00"/>
    <x v="26"/>
    <s v="Meetings"/>
    <n v="7.0000000000000007E-2"/>
    <x v="12"/>
    <s v="No"/>
    <s v="Meeting with Ralf ( Payment to TWT )"/>
    <x v="4"/>
    <s v="Thursday"/>
  </r>
  <r>
    <d v="2024-02-29T00:00:00"/>
    <x v="26"/>
    <s v="Meetings"/>
    <n v="0.13"/>
    <x v="12"/>
    <s v="No"/>
    <s v="Catch up with Gen.. Employees orders and DP"/>
    <x v="4"/>
    <s v="Thursday"/>
  </r>
  <r>
    <d v="2024-02-29T00:00:00"/>
    <x v="26"/>
    <s v="Meetings"/>
    <n v="0.17"/>
    <x v="12"/>
    <s v="No"/>
    <s v="Call me: Payment re: Party"/>
    <x v="4"/>
    <s v="Thursday"/>
  </r>
  <r>
    <d v="2024-02-29T00:00:00"/>
    <x v="27"/>
    <s v="HR/Recuitment"/>
    <n v="3"/>
    <x v="12"/>
    <s v="No"/>
    <s v="Recruitment for HR Advisor - interview face to face with applicant and write up interview notes.  Review resumes for further candidates and complete phone interview's.  Book in Teams chats next week for first round interviews."/>
    <x v="4"/>
    <s v="Thursday"/>
  </r>
  <r>
    <d v="2024-02-29T00:00:00"/>
    <x v="27"/>
    <s v="P&amp;C Advisory"/>
    <n v="5"/>
    <x v="19"/>
    <s v="Yes"/>
    <s v="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
    <x v="4"/>
    <s v="Thursday"/>
  </r>
  <r>
    <d v="2024-02-29T00:00:00"/>
    <x v="28"/>
    <s v="Bookkeeping"/>
    <n v="0.33"/>
    <x v="49"/>
    <s v="Yes"/>
    <s v="coding for owner's drawings"/>
    <x v="4"/>
    <s v="Thursday"/>
  </r>
  <r>
    <d v="2024-02-29T00:00:00"/>
    <x v="28"/>
    <s v="Bookkeeping"/>
    <n v="0.85"/>
    <x v="18"/>
    <s v="Yes"/>
    <m/>
    <x v="4"/>
    <s v="Thursday"/>
  </r>
  <r>
    <d v="2024-02-29T00:00:00"/>
    <x v="28"/>
    <s v="Bookkeeping"/>
    <n v="4.5199999999999996"/>
    <x v="16"/>
    <s v="Yes"/>
    <m/>
    <x v="4"/>
    <s v="Thursday"/>
  </r>
  <r>
    <d v="2024-02-29T00:00:00"/>
    <x v="28"/>
    <s v="General"/>
    <n v="0.1"/>
    <x v="12"/>
    <s v="No"/>
    <s v="emails, asana"/>
    <x v="4"/>
    <s v="Thursday"/>
  </r>
  <r>
    <d v="2024-02-29T00:00:00"/>
    <x v="28"/>
    <s v="Payroll Processing"/>
    <n v="3.17"/>
    <x v="18"/>
    <s v="Yes"/>
    <s v="includes employee set-up and resignations"/>
    <x v="4"/>
    <s v="Thursday"/>
  </r>
  <r>
    <d v="2024-02-29T00:00:00"/>
    <x v="29"/>
    <s v="Bookkeeping - Backlog"/>
    <n v="1.5"/>
    <x v="49"/>
    <s v="Yes"/>
    <s v="Emails to Daniel re GIC letter and GST registration for FY18 reconciliation of FY17 sole trader accounts"/>
    <x v="4"/>
    <s v="Thursday"/>
  </r>
  <r>
    <d v="2024-02-29T00:00:00"/>
    <x v="30"/>
    <s v="Adhoc Support &amp; Advice"/>
    <n v="2.5"/>
    <x v="16"/>
    <s v="No"/>
    <s v="creating procedure and recon"/>
    <x v="4"/>
    <s v="Thursday"/>
  </r>
  <r>
    <d v="2024-02-29T00:00:00"/>
    <x v="30"/>
    <s v="Debt Collection"/>
    <n v="1.5"/>
    <x v="12"/>
    <s v="No"/>
    <m/>
    <x v="4"/>
    <s v="Thursday"/>
  </r>
  <r>
    <d v="2024-02-29T00:00:00"/>
    <x v="30"/>
    <s v="Debt Collection"/>
    <n v="3.5"/>
    <x v="16"/>
    <s v="Yes"/>
    <m/>
    <x v="4"/>
    <s v="Thursday"/>
  </r>
  <r>
    <d v="2024-02-29T00:00:00"/>
    <x v="30"/>
    <s v="General"/>
    <n v="0.5"/>
    <x v="12"/>
    <s v="No"/>
    <s v="break"/>
    <x v="4"/>
    <s v="Thursday"/>
  </r>
  <r>
    <d v="2024-02-29T00:00:00"/>
    <x v="31"/>
    <s v="Sick Leave"/>
    <n v="8"/>
    <x v="12"/>
    <s v="No"/>
    <m/>
    <x v="4"/>
    <s v="Thursday"/>
  </r>
  <r>
    <d v="2024-02-29T00:00:00"/>
    <x v="32"/>
    <s v="Bookkeeping"/>
    <n v="2.92"/>
    <x v="51"/>
    <s v="Yes"/>
    <s v="Clearing Account Domestic Klarna Shopify afterpay Clearing Account International Klarna Shopify Afterpay' Bills raise to xero postscript transactions"/>
    <x v="4"/>
    <s v="Thursday"/>
  </r>
  <r>
    <d v="2024-02-29T00:00:00"/>
    <x v="32"/>
    <s v="Bookkeeping"/>
    <n v="4.58"/>
    <x v="51"/>
    <s v="Yes"/>
    <s v="Email Management  Bills raise to Xero Approving sales to a2x  Bank Reconciliation BM and LOC Inc Check the statement account amount of EVOLVE "/>
    <x v="4"/>
    <s v="Thursday"/>
  </r>
  <r>
    <d v="2024-02-29T00:00:00"/>
    <x v="32"/>
    <s v="General"/>
    <n v="0.5"/>
    <x v="12"/>
    <s v="No"/>
    <s v="Break"/>
    <x v="4"/>
    <s v="Thursday"/>
  </r>
  <r>
    <d v="2024-02-29T00:00:00"/>
    <x v="33"/>
    <s v="IT"/>
    <n v="9"/>
    <x v="12"/>
    <s v="No"/>
    <s v="Support and set up VM"/>
    <x v="4"/>
    <s v="Thursday"/>
  </r>
  <r>
    <d v="2024-02-29T00:00:00"/>
    <x v="34"/>
    <s v="Bookkeeping"/>
    <n v="0.27"/>
    <x v="6"/>
    <s v="No"/>
    <s v="NON Billable   Quick Call with Aileen regarding the issue of Client's Expense Claim "/>
    <x v="4"/>
    <s v="Thursday"/>
  </r>
  <r>
    <d v="2024-02-29T00:00:00"/>
    <x v="34"/>
    <s v="Bookkeeping"/>
    <n v="0.7"/>
    <x v="45"/>
    <s v="Yes"/>
    <s v="Email Management Bills Processing Bank Recon"/>
    <x v="4"/>
    <s v="Thursday"/>
  </r>
  <r>
    <d v="2024-02-29T00:00:00"/>
    <x v="34"/>
    <s v="Bookkeeping"/>
    <n v="2.62"/>
    <x v="15"/>
    <s v="Yes"/>
    <s v="Email Management Bills Processing Preparation of Weekly batch Payment Invoice Processing "/>
    <x v="4"/>
    <s v="Thursday"/>
  </r>
  <r>
    <d v="2024-02-29T00:00:00"/>
    <x v="34"/>
    <s v="Bookkeeping"/>
    <n v="2.72"/>
    <x v="52"/>
    <s v="Yes"/>
    <s v="Email Management Bills Processing Bank Recon Statement Recon Sending of Unreconciled Bank Statement and AP Reports to Kate and Xavi  Process and Sending of Invoice consolidation report to Kate  "/>
    <x v="4"/>
    <s v="Thursday"/>
  </r>
  <r>
    <d v="2024-02-29T00:00:00"/>
    <x v="34"/>
    <s v="Meetings"/>
    <n v="0.05"/>
    <x v="12"/>
    <s v="No"/>
    <s v="Meeting With Kate  Meeting with LM regarding on how we can send the Upstage's Tax Report as the client said she didnt received it.   Catch up meeting with Elena and Aileen re: TGS- Employees expense claims "/>
    <x v="4"/>
    <s v="Thursday"/>
  </r>
  <r>
    <d v="2024-02-29T00:00:00"/>
    <x v="34"/>
    <s v="Meetings"/>
    <n v="0.67"/>
    <x v="12"/>
    <s v="No"/>
    <m/>
    <x v="4"/>
    <s v="Thursday"/>
  </r>
  <r>
    <d v="2024-02-29T00:00:00"/>
    <x v="34"/>
    <s v="Payroll Processing"/>
    <n v="1.05"/>
    <x v="43"/>
    <s v="Yes"/>
    <s v="Canada Team - Processing of January 2024 Commissions  Adhoc"/>
    <x v="4"/>
    <s v="Thursday"/>
  </r>
  <r>
    <d v="2024-02-29T00:00:00"/>
    <x v="35"/>
    <s v="Accounts"/>
    <n v="0.27"/>
    <x v="12"/>
    <s v="No"/>
    <s v="Month end closing activities updates"/>
    <x v="4"/>
    <s v="Thursday"/>
  </r>
  <r>
    <d v="2024-02-29T00:00:00"/>
    <x v="35"/>
    <s v="Accounts"/>
    <n v="1.1299999999999999"/>
    <x v="12"/>
    <s v="No"/>
    <s v="Process bank recs. Update bills. Request for some checking, JO and others. Catch up emails."/>
    <x v="4"/>
    <s v="Thursday"/>
  </r>
  <r>
    <d v="2024-02-29T00:00:00"/>
    <x v="35"/>
    <s v="Accounts"/>
    <n v="1.22"/>
    <x v="12"/>
    <s v="No"/>
    <s v="Dexterous Xero file requested by Kate"/>
    <x v="4"/>
    <s v="Thursday"/>
  </r>
  <r>
    <d v="2024-02-29T00:00:00"/>
    <x v="35"/>
    <s v="Accounts"/>
    <n v="3.22"/>
    <x v="53"/>
    <s v="No"/>
    <s v="Process all necessary bills/coordination. Checking of details. Process bank recs and monitoring of ORs. BDO file upload and preparation of summary for tomorrow's endorsement."/>
    <x v="4"/>
    <s v="Thursday"/>
  </r>
  <r>
    <d v="2024-02-29T00:00:00"/>
    <x v="35"/>
    <s v="Compliance"/>
    <n v="0.93"/>
    <x v="12"/>
    <s v="No"/>
    <s v="Compliance Invoicing Update"/>
    <x v="4"/>
    <s v="Thursday"/>
  </r>
  <r>
    <d v="2024-02-29T00:00:00"/>
    <x v="35"/>
    <s v="Payroll Processing"/>
    <n v="1.45"/>
    <x v="53"/>
    <s v="No"/>
    <s v="Final pay preparation for Charmie Patos"/>
    <x v="4"/>
    <s v="Thursday"/>
  </r>
  <r>
    <d v="2024-02-29T00:00:00"/>
    <x v="36"/>
    <s v="Web"/>
    <n v="10"/>
    <x v="12"/>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s v="Thursday"/>
  </r>
  <r>
    <d v="2024-02-29T00:00:00"/>
    <x v="37"/>
    <s v="Bookkeeping"/>
    <n v="0.25"/>
    <x v="83"/>
    <s v="Yes"/>
    <m/>
    <x v="4"/>
    <s v="Thursday"/>
  </r>
  <r>
    <d v="2024-02-29T00:00:00"/>
    <x v="37"/>
    <s v="Bookkeeping"/>
    <n v="0.5"/>
    <x v="84"/>
    <s v="Yes"/>
    <s v="supplier bills processing"/>
    <x v="4"/>
    <s v="Thursday"/>
  </r>
  <r>
    <d v="2024-02-29T00:00:00"/>
    <x v="37"/>
    <s v="Bookkeeping"/>
    <n v="0.5"/>
    <x v="59"/>
    <s v="Yes"/>
    <m/>
    <x v="4"/>
    <s v="Thursday"/>
  </r>
  <r>
    <d v="2024-02-29T00:00:00"/>
    <x v="37"/>
    <s v="Bookkeeping"/>
    <n v="0.5"/>
    <x v="85"/>
    <s v="Yes"/>
    <m/>
    <x v="4"/>
    <s v="Thursday"/>
  </r>
  <r>
    <d v="2024-02-29T00:00:00"/>
    <x v="37"/>
    <s v="Bookkeeping"/>
    <n v="3.5"/>
    <x v="19"/>
    <s v="Yes"/>
    <m/>
    <x v="4"/>
    <s v="Thursday"/>
  </r>
  <r>
    <d v="2024-02-29T00:00:00"/>
    <x v="37"/>
    <s v="General"/>
    <n v="0.25"/>
    <x v="12"/>
    <s v="No"/>
    <m/>
    <x v="4"/>
    <s v="Thursday"/>
  </r>
  <r>
    <d v="2024-02-29T00:00:00"/>
    <x v="38"/>
    <s v="Client Manager"/>
    <n v="0.12"/>
    <x v="54"/>
    <s v="Yes"/>
    <s v="email notes of meeting"/>
    <x v="4"/>
    <s v="Thursday"/>
  </r>
  <r>
    <d v="2024-02-29T00:00:00"/>
    <x v="38"/>
    <s v="Client Manager"/>
    <n v="0.17"/>
    <x v="2"/>
    <s v="Yes"/>
    <s v="Call with Stuart"/>
    <x v="4"/>
    <s v="Thursday"/>
  </r>
  <r>
    <d v="2024-02-29T00:00:00"/>
    <x v="38"/>
    <s v="Client Manager"/>
    <n v="0.43"/>
    <x v="2"/>
    <s v="No"/>
    <s v="Asana tasks follow up"/>
    <x v="4"/>
    <s v="Thursday"/>
  </r>
  <r>
    <d v="2024-02-29T00:00:00"/>
    <x v="38"/>
    <s v="Client Manager"/>
    <n v="0.75"/>
    <x v="54"/>
    <s v="Yes"/>
    <s v="Meeting with Jenny on commission"/>
    <x v="4"/>
    <s v="Thursday"/>
  </r>
  <r>
    <d v="2024-02-29T00:00:00"/>
    <x v="38"/>
    <s v="General"/>
    <n v="1.03"/>
    <x v="12"/>
    <s v="No"/>
    <s v="Flights and accommodation review for Syd trip"/>
    <x v="4"/>
    <s v="Thursday"/>
  </r>
  <r>
    <d v="2024-02-29T00:00:00"/>
    <x v="38"/>
    <s v="General"/>
    <n v="2.77"/>
    <x v="12"/>
    <s v="No"/>
    <s v="emails, teams, Asana"/>
    <x v="4"/>
    <s v="Thursday"/>
  </r>
  <r>
    <d v="2024-02-29T00:00:00"/>
    <x v="38"/>
    <s v="Meetings"/>
    <n v="0.62"/>
    <x v="12"/>
    <s v="No"/>
    <s v="monthly CM meeting"/>
    <x v="4"/>
    <s v="Thursday"/>
  </r>
  <r>
    <d v="2024-02-29T00:00:00"/>
    <x v="39"/>
    <s v="Bookkeeping"/>
    <n v="7.0000000000000007E-2"/>
    <x v="14"/>
    <s v="Yes"/>
    <s v="BR"/>
    <x v="4"/>
    <s v="Thursday"/>
  </r>
  <r>
    <d v="2024-02-29T00:00:00"/>
    <x v="39"/>
    <s v="Bookkeeping"/>
    <n v="0.17"/>
    <x v="14"/>
    <s v="Yes"/>
    <s v="AP "/>
    <x v="4"/>
    <s v="Thursday"/>
  </r>
  <r>
    <d v="2024-02-29T00:00:00"/>
    <x v="39"/>
    <s v="Bookkeeping"/>
    <n v="0.23"/>
    <x v="55"/>
    <s v="Yes"/>
    <s v="Email"/>
    <x v="4"/>
    <s v="Thursday"/>
  </r>
  <r>
    <d v="2024-02-29T00:00:00"/>
    <x v="39"/>
    <s v="Bookkeeping"/>
    <n v="0.28000000000000003"/>
    <x v="14"/>
    <s v="Yes"/>
    <s v="AR"/>
    <x v="4"/>
    <s v="Thursday"/>
  </r>
  <r>
    <d v="2024-02-29T00:00:00"/>
    <x v="39"/>
    <s v="Bookkeeping"/>
    <n v="0.38"/>
    <x v="55"/>
    <s v="Yes"/>
    <s v="AP, email, call Martin"/>
    <x v="4"/>
    <s v="Thursday"/>
  </r>
  <r>
    <d v="2024-02-29T00:00:00"/>
    <x v="39"/>
    <s v="Bookkeeping"/>
    <n v="0.67"/>
    <x v="55"/>
    <s v="Yes"/>
    <s v="AP, Files"/>
    <x v="4"/>
    <s v="Thursday"/>
  </r>
  <r>
    <d v="2024-02-29T00:00:00"/>
    <x v="39"/>
    <s v="Bookkeeping"/>
    <n v="0.82"/>
    <x v="55"/>
    <s v="Yes"/>
    <s v="Sched fortnight call with Adriana - Awaiting approval bills"/>
    <x v="4"/>
    <s v="Thursday"/>
  </r>
  <r>
    <d v="2024-02-29T00:00:00"/>
    <x v="39"/>
    <s v="Bookkeeping"/>
    <n v="0.82"/>
    <x v="14"/>
    <s v="Yes"/>
    <s v="grant alloc"/>
    <x v="4"/>
    <s v="Thursday"/>
  </r>
  <r>
    <d v="2024-02-29T00:00:00"/>
    <x v="39"/>
    <s v="Bookkeeping"/>
    <n v="0.82"/>
    <x v="14"/>
    <s v="Yes"/>
    <s v="Grant alloc, email"/>
    <x v="4"/>
    <s v="Thursday"/>
  </r>
  <r>
    <d v="2024-02-29T00:00:00"/>
    <x v="39"/>
    <s v="Bookkeeping"/>
    <n v="0.88"/>
    <x v="55"/>
    <s v="Yes"/>
    <s v="emails, BR"/>
    <x v="4"/>
    <s v="Thursday"/>
  </r>
  <r>
    <d v="2024-02-29T00:00:00"/>
    <x v="39"/>
    <s v="Bookkeeping"/>
    <n v="2.48"/>
    <x v="14"/>
    <s v="Yes"/>
    <s v="AR NDIS, email"/>
    <x v="4"/>
    <s v="Thursday"/>
  </r>
  <r>
    <d v="2024-02-29T00:00:00"/>
    <x v="39"/>
    <s v="General"/>
    <n v="0.12"/>
    <x v="12"/>
    <s v="No"/>
    <s v="queries with Lindsay"/>
    <x v="4"/>
    <s v="Thursday"/>
  </r>
  <r>
    <d v="2024-02-29T00:00:00"/>
    <x v="39"/>
    <s v="General"/>
    <n v="0.28000000000000003"/>
    <x v="12"/>
    <s v="No"/>
    <s v="email, Asana, teams email "/>
    <x v="4"/>
    <s v="Thursday"/>
  </r>
  <r>
    <d v="2024-02-29T00:00:00"/>
    <x v="40"/>
    <s v="Bookkeeping"/>
    <n v="0.7"/>
    <x v="50"/>
    <s v="Yes"/>
    <s v="Allocate the payment received from 3TOP to all 11 sales invoices"/>
    <x v="4"/>
    <s v="Thursday"/>
  </r>
  <r>
    <d v="2024-02-29T00:00:00"/>
    <x v="40"/>
    <s v="Bookkeeping"/>
    <n v="1.2"/>
    <x v="50"/>
    <s v="Yes"/>
    <s v="3e recs , reviewed OMS acct setup"/>
    <x v="4"/>
    <s v="Thursday"/>
  </r>
  <r>
    <d v="2024-02-29T00:00:00"/>
    <x v="40"/>
    <s v="Bookkeeping"/>
    <n v="1.22"/>
    <x v="50"/>
    <s v="Yes"/>
    <s v="3E recs "/>
    <x v="4"/>
    <s v="Thursday"/>
  </r>
  <r>
    <d v="2024-02-29T00:00:00"/>
    <x v="40"/>
    <s v="Bookkeeping"/>
    <n v="1.52"/>
    <x v="50"/>
    <s v="Yes"/>
    <s v="1- Shadowed with Sarah re 3top reimbursements and payroll adj of Greg 2- Updated the bank acct details of ET collective 3- Checked the PAYG of Michael  "/>
    <x v="4"/>
    <s v="Thursday"/>
  </r>
  <r>
    <d v="2024-02-29T00:00:00"/>
    <x v="40"/>
    <s v="Bookkeeping"/>
    <n v="3.92"/>
    <x v="36"/>
    <s v="Yes"/>
    <m/>
    <x v="4"/>
    <s v="Thursday"/>
  </r>
  <r>
    <d v="2024-02-29T00:00:00"/>
    <x v="40"/>
    <s v="General"/>
    <n v="0.28000000000000003"/>
    <x v="12"/>
    <s v="No"/>
    <s v="Dex emails"/>
    <x v="4"/>
    <s v="Thursday"/>
  </r>
  <r>
    <d v="2024-02-29T00:00:00"/>
    <x v="40"/>
    <s v="Payroll Processing"/>
    <n v="0.5"/>
    <x v="50"/>
    <s v="Yes"/>
    <m/>
    <x v="4"/>
    <s v="Thursday"/>
  </r>
  <r>
    <d v="2024-02-29T00:00:00"/>
    <x v="41"/>
    <s v="General"/>
    <n v="1.45"/>
    <x v="12"/>
    <s v="No"/>
    <s v="Recruitment support-screening other CV MS list updating Admin tasks-emails, request, approvals"/>
    <x v="4"/>
    <s v="Thursday"/>
  </r>
  <r>
    <d v="2024-02-29T00:00:00"/>
    <x v="41"/>
    <s v="General"/>
    <n v="1.58"/>
    <x v="12"/>
    <s v="No"/>
    <s v="Call with Sherly Handover recording review Call with Lindsay Payroll technical assessment checking MDF payroll time allocation Emails Asana update"/>
    <x v="4"/>
    <s v="Thursday"/>
  </r>
  <r>
    <d v="2024-02-29T00:00:00"/>
    <x v="41"/>
    <s v="General"/>
    <n v="3.12"/>
    <x v="12"/>
    <s v="No"/>
    <s v="Monthly XPM timesheet submission checking Monthly onsite compliance summary/review Preparing for client delivery meeting CF update Sprout monthly timesheet review Capacity check Sprout approvals Call with Shalini  on client delivery"/>
    <x v="4"/>
    <s v="Thursday"/>
  </r>
  <r>
    <d v="2024-02-29T00:00:00"/>
    <x v="41"/>
    <s v="HR/Recuitment"/>
    <n v="0.95"/>
    <x v="12"/>
    <s v="No"/>
    <s v="Payroll specialist interview"/>
    <x v="4"/>
    <s v="Thursday"/>
  </r>
  <r>
    <d v="2024-02-29T00:00:00"/>
    <x v="41"/>
    <s v="Meetings"/>
    <n v="0.9"/>
    <x v="12"/>
    <s v="No"/>
    <s v="Client delivery meeting including prepping MS list beforehand for updates"/>
    <x v="4"/>
    <s v="Thursday"/>
  </r>
  <r>
    <d v="2024-02-29T00:00:00"/>
    <x v="42"/>
    <s v="Bookkeeping"/>
    <n v="8.5299999999999994"/>
    <x v="16"/>
    <s v="Yes"/>
    <m/>
    <x v="4"/>
    <s v="Thursday"/>
  </r>
  <r>
    <d v="2024-02-29T00:00:00"/>
    <x v="43"/>
    <s v="Bookkeeping"/>
    <n v="0.48"/>
    <x v="75"/>
    <s v="Yes"/>
    <s v="Query from Gerardo re liquor rebates and other bills"/>
    <x v="4"/>
    <s v="Thursday"/>
  </r>
  <r>
    <d v="2024-02-29T00:00:00"/>
    <x v="43"/>
    <s v="General"/>
    <n v="0.5"/>
    <x v="12"/>
    <s v="No"/>
    <s v="Break"/>
    <x v="4"/>
    <s v="Thursday"/>
  </r>
  <r>
    <d v="2024-02-29T00:00:00"/>
    <x v="43"/>
    <s v="General"/>
    <n v="0.5"/>
    <x v="12"/>
    <s v="No"/>
    <s v="Various emails and teams messages throughout the day"/>
    <x v="4"/>
    <s v="Thursday"/>
  </r>
  <r>
    <d v="2024-02-29T00:00:00"/>
    <x v="43"/>
    <s v="IAS/BAS Preparation &amp; Lodgement - Oct-Dec"/>
    <n v="0.55000000000000004"/>
    <x v="100"/>
    <s v="Yes"/>
    <s v="Export reports from SWH, draft WPK then assign to LM"/>
    <x v="4"/>
    <s v="Thursday"/>
  </r>
  <r>
    <d v="2024-02-29T00:00:00"/>
    <x v="43"/>
    <s v="IAS/BAS Preparation &amp; Lodgement - Oct-Dec"/>
    <n v="1.22"/>
    <x v="99"/>
    <s v="Yes"/>
    <s v="Export reports from COM, LON and WPK, draft BAS wpk and assign to LM"/>
    <x v="4"/>
    <s v="Thursday"/>
  </r>
  <r>
    <d v="2024-02-29T00:00:00"/>
    <x v="43"/>
    <s v="Payroll Processing"/>
    <n v="0.22"/>
    <x v="16"/>
    <s v="Yes"/>
    <s v="Discussion on Kai Gold's pay"/>
    <x v="4"/>
    <s v="Thursday"/>
  </r>
  <r>
    <d v="2024-02-29T00:00:00"/>
    <x v="43"/>
    <s v="Payroll Processing"/>
    <n v="0.42"/>
    <x v="37"/>
    <s v="Yes"/>
    <s v="Payroll journals"/>
    <x v="4"/>
    <s v="Thursday"/>
  </r>
  <r>
    <d v="2024-02-29T00:00:00"/>
    <x v="43"/>
    <s v="Payroll Processing"/>
    <n v="0.43"/>
    <x v="18"/>
    <s v="Yes"/>
    <s v="Payroll review"/>
    <x v="4"/>
    <s v="Thursday"/>
  </r>
  <r>
    <d v="2024-02-29T00:00:00"/>
    <x v="43"/>
    <s v="Payroll Processing"/>
    <n v="0.56999999999999995"/>
    <x v="16"/>
    <s v="Yes"/>
    <s v="Additonal payroll info for processing"/>
    <x v="4"/>
    <s v="Thursday"/>
  </r>
  <r>
    <d v="2024-02-29T00:00:00"/>
    <x v="43"/>
    <s v="Payroll Processing"/>
    <n v="3.15"/>
    <x v="16"/>
    <s v="Yes"/>
    <s v="Payroll processing and peer review, action payroll emails"/>
    <x v="4"/>
    <s v="Thursday"/>
  </r>
  <r>
    <d v="2024-02-29T00:00:00"/>
    <x v="44"/>
    <s v="Company Tax Returns"/>
    <n v="2.2000000000000002"/>
    <x v="50"/>
    <s v="Yes"/>
    <s v="updates to tax return and workpapers and send out"/>
    <x v="4"/>
    <s v="Thursday"/>
  </r>
  <r>
    <d v="2024-02-29T00:00:00"/>
    <x v="45"/>
    <s v="Bookkeeping"/>
    <n v="1"/>
    <x v="50"/>
    <s v="Yes"/>
    <s v="3TOP - finalised sales invoices and bills"/>
    <x v="4"/>
    <s v="Thursday"/>
  </r>
  <r>
    <d v="2024-02-29T00:00:00"/>
    <x v="45"/>
    <s v="Bookkeeping"/>
    <n v="1.2"/>
    <x v="50"/>
    <s v="Yes"/>
    <s v="Inbox mgmt Post AP bills Upload payment"/>
    <x v="4"/>
    <s v="Thursday"/>
  </r>
  <r>
    <d v="2024-02-29T00:00:00"/>
    <x v="45"/>
    <s v="General"/>
    <n v="0.5"/>
    <x v="12"/>
    <s v="No"/>
    <s v="Paid break"/>
    <x v="4"/>
    <s v="Thursday"/>
  </r>
  <r>
    <d v="2024-02-29T00:00:00"/>
    <x v="45"/>
    <s v="Payroll Processing"/>
    <n v="0.37"/>
    <x v="50"/>
    <s v="Yes"/>
    <s v="Review BAM and BELCR payroll"/>
    <x v="4"/>
    <s v="Thursday"/>
  </r>
  <r>
    <d v="2024-02-29T00:00:00"/>
    <x v="45"/>
    <s v="Payroll Processing"/>
    <n v="1.28"/>
    <x v="70"/>
    <s v="Yes"/>
    <s v="Update pay rise calculations and update figures in TL"/>
    <x v="4"/>
    <s v="Thursday"/>
  </r>
  <r>
    <d v="2024-02-29T00:00:00"/>
    <x v="45"/>
    <s v="Payroll Processing"/>
    <n v="3.67"/>
    <x v="70"/>
    <s v="Yes"/>
    <s v="Process payroll"/>
    <x v="4"/>
    <s v="Thursday"/>
  </r>
  <r>
    <d v="2024-02-29T00:00:00"/>
    <x v="46"/>
    <s v="Client Manager"/>
    <n v="0.5"/>
    <x v="59"/>
    <s v="Yes"/>
    <s v="Upload payables, email Zoe, attend to emails from Zoe re EOM reports for Feb 2024"/>
    <x v="4"/>
    <s v="Thursday"/>
  </r>
  <r>
    <d v="2024-02-29T00:00:00"/>
    <x v="46"/>
    <s v="Client Manager"/>
    <n v="1"/>
    <x v="57"/>
    <s v="Yes"/>
    <s v="Various follows up with BOQ, Sarah and Ish. Respond to Ish's various emails, etc"/>
    <x v="4"/>
    <s v="Thursday"/>
  </r>
  <r>
    <d v="2024-02-29T00:00:00"/>
    <x v="46"/>
    <s v="Client Manager"/>
    <n v="1"/>
    <x v="24"/>
    <s v="Yes"/>
    <s v="Various correspondence and check on portal re overdue lodgements, task setup, removing clients form ATO portal etc"/>
    <x v="4"/>
    <s v="Thursday"/>
  </r>
  <r>
    <d v="2024-02-29T00:00:00"/>
    <x v="46"/>
    <s v="Client Manager"/>
    <n v="1"/>
    <x v="14"/>
    <s v="Yes"/>
    <s v="Review payroll for F/E 28/02/2024, upload payroll, email Shalisa/Katherine. Respond to email re KID cost update"/>
    <x v="4"/>
    <s v="Thursday"/>
  </r>
  <r>
    <d v="2024-02-29T00:00:00"/>
    <x v="46"/>
    <s v="General"/>
    <n v="1"/>
    <x v="12"/>
    <s v="No"/>
    <s v="Angela, Mel, call with payroll office from VIC, send email to Con requesting further info, Kim call, etc"/>
    <x v="4"/>
    <s v="Thursday"/>
  </r>
  <r>
    <d v="2024-02-29T00:00:00"/>
    <x v="46"/>
    <s v="General"/>
    <n v="1.25"/>
    <x v="12"/>
    <s v="No"/>
    <s v="Meeting with Carly re new client, email Rajv, final review of EL, send to Rajiv. Update Nick"/>
    <x v="4"/>
    <s v="Thursday"/>
  </r>
  <r>
    <d v="2024-02-29T00:00:00"/>
    <x v="46"/>
    <s v="IAS/BAS Preparation &amp; Lodgement - Oct-Dec"/>
    <n v="0.5"/>
    <x v="23"/>
    <s v="Yes"/>
    <s v="Review and lodgement of BAS for Dec 2023 quarter. Discussion re amount payable etc"/>
    <x v="4"/>
    <s v="Thursday"/>
  </r>
  <r>
    <d v="2024-02-29T00:00:00"/>
    <x v="46"/>
    <s v="Meetings"/>
    <n v="1.5"/>
    <x v="12"/>
    <s v="No"/>
    <s v="Client delivery meeting and prep"/>
    <x v="4"/>
    <s v="Thursday"/>
  </r>
  <r>
    <d v="2024-02-29T00:00:00"/>
    <x v="53"/>
    <s v="Adhoc Support &amp; Advice"/>
    <n v="0.5"/>
    <x v="16"/>
    <s v="Yes"/>
    <s v="Credit Application and Cash Flow. Updating Procedure for On boarding and Credit limit process."/>
    <x v="4"/>
    <s v="Thursday"/>
  </r>
  <r>
    <d v="2024-02-29T00:00:00"/>
    <x v="53"/>
    <s v="General"/>
    <n v="8.1300000000000008"/>
    <x v="12"/>
    <s v="No"/>
    <s v="meeting and training"/>
    <x v="4"/>
    <s v="Thursday"/>
  </r>
  <r>
    <d v="2024-02-29T00:00:00"/>
    <x v="47"/>
    <s v="Bookkeeping"/>
    <n v="0.5"/>
    <x v="50"/>
    <s v="Yes"/>
    <s v="review set up of OMS in Xero"/>
    <x v="4"/>
    <s v="Thursday"/>
  </r>
  <r>
    <d v="2024-02-29T00:00:00"/>
    <x v="47"/>
    <s v="Bookkeeping"/>
    <n v="0.56999999999999995"/>
    <x v="50"/>
    <s v="Yes"/>
    <s v="3TOP - review invoices and bills 19th Reimb."/>
    <x v="4"/>
    <s v="Thursday"/>
  </r>
  <r>
    <d v="2024-02-29T00:00:00"/>
    <x v="47"/>
    <s v="Bookkeeping"/>
    <n v="0.6"/>
    <x v="64"/>
    <s v="Yes"/>
    <s v="Review and upload interest payments"/>
    <x v="4"/>
    <s v="Thursday"/>
  </r>
  <r>
    <d v="2024-02-29T00:00:00"/>
    <x v="47"/>
    <s v="Bookkeeping"/>
    <n v="0.7"/>
    <x v="50"/>
    <s v="Yes"/>
    <s v="Final journal in BLM, run financials Fy 2023, send to directors"/>
    <x v="4"/>
    <s v="Thursday"/>
  </r>
  <r>
    <d v="2024-02-29T00:00:00"/>
    <x v="47"/>
    <s v="Bookkeeping"/>
    <n v="1.2"/>
    <x v="50"/>
    <s v="Yes"/>
    <s v="BASS - BAML recharges"/>
    <x v="4"/>
    <s v="Thursday"/>
  </r>
  <r>
    <d v="2024-02-29T00:00:00"/>
    <x v="47"/>
    <s v="Bookkeeping"/>
    <n v="1.6"/>
    <x v="50"/>
    <s v="Yes"/>
    <s v="AP - CC payment and process, Daedal inv, 3TOP pmt, check LTI, check OCBC"/>
    <x v="4"/>
    <s v="Thursday"/>
  </r>
  <r>
    <d v="2024-02-29T00:00:00"/>
    <x v="47"/>
    <s v="Budget - Monthly"/>
    <n v="0.7"/>
    <x v="109"/>
    <s v="No"/>
    <s v="Gather and send all doc to RSM"/>
    <x v="4"/>
    <s v="Thursday"/>
  </r>
  <r>
    <d v="2024-02-29T00:00:00"/>
    <x v="47"/>
    <s v="Client Admin"/>
    <n v="0.2"/>
    <x v="12"/>
    <s v="No"/>
    <s v="Call Nick, email Andrew Blundell re STarleaton ITR"/>
    <x v="4"/>
    <s v="Thursday"/>
  </r>
  <r>
    <d v="2024-02-29T00:00:00"/>
    <x v="47"/>
    <s v="Client Manager"/>
    <n v="0.8"/>
    <x v="50"/>
    <s v="Yes"/>
    <s v="emails, call Stephen, liaise with Team"/>
    <x v="4"/>
    <s v="Thursday"/>
  </r>
  <r>
    <d v="2024-02-29T00:00:00"/>
    <x v="47"/>
    <s v="General"/>
    <n v="0.8"/>
    <x v="12"/>
    <s v="No"/>
    <s v="Emails, teams, Asana, update timesheet"/>
    <x v="4"/>
    <s v="Thursday"/>
  </r>
  <r>
    <d v="2024-02-29T00:00:00"/>
    <x v="47"/>
    <s v="Management Reporting"/>
    <n v="0.6"/>
    <x v="50"/>
    <s v="Yes"/>
    <s v="Send updated report to Stephen, download details, email with comments"/>
    <x v="4"/>
    <s v="Thursday"/>
  </r>
  <r>
    <d v="2024-02-29T00:00:00"/>
    <x v="47"/>
    <s v="Meetings"/>
    <n v="0.6"/>
    <x v="12"/>
    <s v="No"/>
    <s v="CM meeting "/>
    <x v="4"/>
    <s v="Thursday"/>
  </r>
  <r>
    <d v="2024-02-29T00:00:00"/>
    <x v="47"/>
    <s v="Payroll Processing"/>
    <n v="0.7"/>
    <x v="50"/>
    <s v="Yes"/>
    <s v="Review payroll BAM and BELCR"/>
    <x v="4"/>
    <s v="Thursday"/>
  </r>
  <r>
    <d v="2024-02-29T00:00:00"/>
    <x v="48"/>
    <s v="General"/>
    <n v="4"/>
    <x v="12"/>
    <s v="No"/>
    <e v="#NAME?"/>
    <x v="4"/>
    <s v="Thursday"/>
  </r>
  <r>
    <d v="2024-02-29T00:00:00"/>
    <x v="48"/>
    <s v="HR/Recuitment"/>
    <n v="2"/>
    <x v="12"/>
    <s v="No"/>
    <e v="#NAME?"/>
    <x v="4"/>
    <s v="Thursday"/>
  </r>
  <r>
    <d v="2024-02-29T00:00:00"/>
    <x v="48"/>
    <s v="Meetings"/>
    <n v="1"/>
    <x v="12"/>
    <s v="No"/>
    <s v="Catch up with Jordan"/>
    <x v="4"/>
    <s v="Thursday"/>
  </r>
  <r>
    <d v="2024-02-29T00:00:00"/>
    <x v="48"/>
    <s v="Meetings"/>
    <n v="1"/>
    <x v="12"/>
    <s v="No"/>
    <s v="HR Meeting"/>
    <x v="4"/>
    <s v="Thursday"/>
  </r>
  <r>
    <m/>
    <x v="54"/>
    <m/>
    <m/>
    <x v="141"/>
    <m/>
    <m/>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2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47" firstHeaderRow="1" firstDataRow="2" firstDataCol="1"/>
  <pivotFields count="9">
    <pivotField showAll="0"/>
    <pivotField showAll="0">
      <items count="56">
        <item x="0"/>
        <item x="49"/>
        <item x="1"/>
        <item x="2"/>
        <item x="3"/>
        <item x="4"/>
        <item x="5"/>
        <item x="6"/>
        <item x="7"/>
        <item x="8"/>
        <item x="9"/>
        <item x="10"/>
        <item x="11"/>
        <item x="12"/>
        <item x="13"/>
        <item x="14"/>
        <item x="15"/>
        <item x="16"/>
        <item x="17"/>
        <item x="18"/>
        <item x="19"/>
        <item x="20"/>
        <item x="21"/>
        <item x="22"/>
        <item x="23"/>
        <item x="24"/>
        <item x="25"/>
        <item x="51"/>
        <item x="26"/>
        <item x="27"/>
        <item x="28"/>
        <item x="29"/>
        <item x="30"/>
        <item x="31"/>
        <item x="32"/>
        <item x="33"/>
        <item x="34"/>
        <item x="35"/>
        <item x="36"/>
        <item x="37"/>
        <item x="38"/>
        <item x="39"/>
        <item x="40"/>
        <item x="41"/>
        <item x="42"/>
        <item x="43"/>
        <item x="44"/>
        <item x="45"/>
        <item x="46"/>
        <item x="53"/>
        <item x="50"/>
        <item x="47"/>
        <item x="52"/>
        <item x="48"/>
        <item x="54"/>
        <item t="default"/>
      </items>
    </pivotField>
    <pivotField showAll="0"/>
    <pivotField dataField="1" showAll="0"/>
    <pivotField axis="axisRow" showAll="0">
      <items count="143">
        <item x="113"/>
        <item x="27"/>
        <item x="79"/>
        <item x="101"/>
        <item x="97"/>
        <item x="98"/>
        <item x="30"/>
        <item x="16"/>
        <item x="121"/>
        <item x="124"/>
        <item x="90"/>
        <item x="92"/>
        <item x="84"/>
        <item x="50"/>
        <item x="94"/>
        <item x="51"/>
        <item x="43"/>
        <item x="120"/>
        <item x="137"/>
        <item x="62"/>
        <item x="64"/>
        <item x="86"/>
        <item x="54"/>
        <item x="89"/>
        <item x="114"/>
        <item x="83"/>
        <item x="95"/>
        <item x="134"/>
        <item x="74"/>
        <item x="35"/>
        <item x="47"/>
        <item x="59"/>
        <item x="53"/>
        <item x="12"/>
        <item x="69"/>
        <item x="15"/>
        <item x="5"/>
        <item x="119"/>
        <item x="80"/>
        <item x="32"/>
        <item x="123"/>
        <item x="56"/>
        <item x="96"/>
        <item x="40"/>
        <item x="106"/>
        <item x="33"/>
        <item x="102"/>
        <item x="34"/>
        <item x="72"/>
        <item x="36"/>
        <item x="117"/>
        <item x="104"/>
        <item x="136"/>
        <item x="139"/>
        <item x="65"/>
        <item x="57"/>
        <item x="132"/>
        <item x="125"/>
        <item x="10"/>
        <item x="28"/>
        <item x="115"/>
        <item x="111"/>
        <item x="93"/>
        <item x="55"/>
        <item x="70"/>
        <item x="0"/>
        <item x="48"/>
        <item x="19"/>
        <item x="7"/>
        <item x="63"/>
        <item x="13"/>
        <item x="46"/>
        <item x="85"/>
        <item x="99"/>
        <item x="20"/>
        <item x="26"/>
        <item x="23"/>
        <item x="24"/>
        <item x="21"/>
        <item x="22"/>
        <item x="60"/>
        <item x="37"/>
        <item x="9"/>
        <item x="71"/>
        <item x="131"/>
        <item x="58"/>
        <item x="140"/>
        <item x="52"/>
        <item x="25"/>
        <item x="91"/>
        <item x="42"/>
        <item x="103"/>
        <item x="118"/>
        <item x="105"/>
        <item x="39"/>
        <item x="38"/>
        <item x="8"/>
        <item x="4"/>
        <item x="41"/>
        <item x="44"/>
        <item x="67"/>
        <item x="128"/>
        <item x="29"/>
        <item x="75"/>
        <item x="61"/>
        <item x="109"/>
        <item x="82"/>
        <item x="49"/>
        <item x="87"/>
        <item x="17"/>
        <item x="14"/>
        <item x="2"/>
        <item x="6"/>
        <item x="135"/>
        <item x="110"/>
        <item x="126"/>
        <item x="88"/>
        <item x="122"/>
        <item x="133"/>
        <item x="130"/>
        <item x="100"/>
        <item x="76"/>
        <item x="77"/>
        <item x="78"/>
        <item x="31"/>
        <item x="1"/>
        <item x="129"/>
        <item x="138"/>
        <item x="127"/>
        <item x="68"/>
        <item x="66"/>
        <item x="108"/>
        <item x="18"/>
        <item x="81"/>
        <item x="11"/>
        <item x="3"/>
        <item x="45"/>
        <item x="112"/>
        <item x="107"/>
        <item x="116"/>
        <item x="73"/>
        <item x="141"/>
        <item t="default"/>
      </items>
    </pivotField>
    <pivotField showAll="0"/>
    <pivotField showAll="0"/>
    <pivotField axis="axisCol" showAll="0">
      <items count="7">
        <item x="0"/>
        <item x="1"/>
        <item x="2"/>
        <item x="3"/>
        <item x="4"/>
        <item x="5"/>
        <item t="default"/>
      </items>
    </pivotField>
    <pivotField showAll="0"/>
  </pivotFields>
  <rowFields count="1">
    <field x="4"/>
  </rowFields>
  <rowItems count="1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42"/>
  <sheetViews>
    <sheetView tabSelected="1" workbookViewId="0">
      <selection activeCell="B16" sqref="B16"/>
    </sheetView>
  </sheetViews>
  <sheetFormatPr defaultRowHeight="14.4" x14ac:dyDescent="0.3"/>
  <cols>
    <col min="1" max="1" width="43.77734375" customWidth="1"/>
    <col min="2" max="2" width="27" style="25" customWidth="1"/>
    <col min="3" max="6" width="8.88671875" style="17"/>
    <col min="8" max="8" width="38.109375" customWidth="1"/>
    <col min="11" max="11" width="36.109375" customWidth="1"/>
    <col min="12" max="12" width="31.5546875" customWidth="1"/>
    <col min="13" max="13" width="12.44140625" customWidth="1"/>
    <col min="14" max="14" width="15.21875" customWidth="1"/>
    <col min="17" max="17" width="17.33203125" customWidth="1"/>
    <col min="18" max="18" width="58.33203125" customWidth="1"/>
  </cols>
  <sheetData>
    <row r="1" spans="1:18" ht="42.6" customHeight="1" x14ac:dyDescent="0.3">
      <c r="A1" s="1" t="s">
        <v>0</v>
      </c>
      <c r="B1" s="25" t="s">
        <v>1</v>
      </c>
      <c r="C1" s="21" t="s">
        <v>2</v>
      </c>
      <c r="D1" s="21" t="s">
        <v>3</v>
      </c>
      <c r="E1" s="21" t="s">
        <v>4</v>
      </c>
      <c r="F1" s="21" t="s">
        <v>5</v>
      </c>
      <c r="G1" s="1"/>
      <c r="H1" s="1" t="s">
        <v>6</v>
      </c>
      <c r="K1" s="1" t="s">
        <v>0</v>
      </c>
      <c r="L1" s="29" t="s">
        <v>4523</v>
      </c>
      <c r="M1" s="21" t="s">
        <v>2</v>
      </c>
      <c r="N1" s="21" t="s">
        <v>3</v>
      </c>
      <c r="O1" s="21" t="s">
        <v>4</v>
      </c>
      <c r="P1" s="21" t="s">
        <v>5</v>
      </c>
      <c r="Q1" s="1" t="s">
        <v>4524</v>
      </c>
      <c r="R1" s="1" t="s">
        <v>6</v>
      </c>
    </row>
    <row r="2" spans="1:18" x14ac:dyDescent="0.3">
      <c r="A2" t="s">
        <v>2525</v>
      </c>
      <c r="B2" s="25">
        <v>10</v>
      </c>
      <c r="C2" s="23">
        <v>5</v>
      </c>
      <c r="D2" s="23">
        <v>0</v>
      </c>
      <c r="E2" s="23">
        <v>5</v>
      </c>
      <c r="F2" s="23">
        <v>0</v>
      </c>
      <c r="H2" t="s">
        <v>876</v>
      </c>
      <c r="K2" t="s">
        <v>2525</v>
      </c>
      <c r="L2">
        <v>2.89</v>
      </c>
      <c r="M2">
        <v>0</v>
      </c>
      <c r="N2">
        <v>0</v>
      </c>
      <c r="O2">
        <v>0.16</v>
      </c>
      <c r="P2">
        <v>2.63</v>
      </c>
      <c r="Q2">
        <v>0.1</v>
      </c>
      <c r="R2" t="s">
        <v>4525</v>
      </c>
    </row>
    <row r="3" spans="1:18" x14ac:dyDescent="0.3">
      <c r="A3" t="s">
        <v>827</v>
      </c>
      <c r="B3" s="25">
        <v>2</v>
      </c>
      <c r="C3" s="17">
        <v>0</v>
      </c>
      <c r="D3" s="17">
        <v>2</v>
      </c>
      <c r="E3" s="17">
        <v>0</v>
      </c>
      <c r="F3" s="17">
        <v>0</v>
      </c>
      <c r="H3" t="s">
        <v>876</v>
      </c>
      <c r="K3" t="s">
        <v>827</v>
      </c>
      <c r="L3">
        <v>3.25</v>
      </c>
      <c r="M3">
        <v>0.25</v>
      </c>
      <c r="N3">
        <v>0</v>
      </c>
      <c r="O3">
        <v>3</v>
      </c>
      <c r="P3">
        <v>0</v>
      </c>
      <c r="Q3">
        <v>0</v>
      </c>
      <c r="R3" t="s">
        <v>4526</v>
      </c>
    </row>
    <row r="4" spans="1:18" x14ac:dyDescent="0.3">
      <c r="A4" t="s">
        <v>47</v>
      </c>
      <c r="B4" s="25">
        <v>1</v>
      </c>
      <c r="C4" s="17">
        <v>0</v>
      </c>
      <c r="D4" s="17">
        <v>1</v>
      </c>
      <c r="E4" s="17">
        <v>0</v>
      </c>
      <c r="F4" s="17">
        <v>0</v>
      </c>
      <c r="H4" t="s">
        <v>876</v>
      </c>
      <c r="K4" t="s">
        <v>47</v>
      </c>
      <c r="L4">
        <v>6.25</v>
      </c>
      <c r="M4">
        <v>0</v>
      </c>
      <c r="N4">
        <v>1.25</v>
      </c>
      <c r="O4">
        <v>5</v>
      </c>
      <c r="P4">
        <v>0</v>
      </c>
      <c r="Q4">
        <v>0</v>
      </c>
      <c r="R4" t="s">
        <v>825</v>
      </c>
    </row>
    <row r="5" spans="1:18" x14ac:dyDescent="0.3">
      <c r="A5" t="s">
        <v>714</v>
      </c>
      <c r="B5" s="25">
        <v>7</v>
      </c>
      <c r="C5" s="17">
        <v>0</v>
      </c>
      <c r="D5" s="17">
        <v>0</v>
      </c>
      <c r="E5" s="17">
        <v>0</v>
      </c>
      <c r="F5" s="17">
        <v>7</v>
      </c>
      <c r="H5" t="s">
        <v>876</v>
      </c>
      <c r="K5" t="s">
        <v>714</v>
      </c>
      <c r="L5">
        <v>1.1300000000000001</v>
      </c>
      <c r="M5">
        <v>0</v>
      </c>
      <c r="N5">
        <v>1.1300000000000001</v>
      </c>
      <c r="O5">
        <v>0</v>
      </c>
      <c r="P5">
        <v>0</v>
      </c>
      <c r="Q5">
        <v>0</v>
      </c>
      <c r="R5" t="s">
        <v>929</v>
      </c>
    </row>
    <row r="6" spans="1:18" x14ac:dyDescent="0.3">
      <c r="A6" t="s">
        <v>2792</v>
      </c>
      <c r="B6" s="25">
        <v>1</v>
      </c>
      <c r="C6" s="17">
        <v>0</v>
      </c>
      <c r="D6" s="17">
        <v>0</v>
      </c>
      <c r="E6" s="17">
        <v>0</v>
      </c>
      <c r="F6" s="17">
        <v>1</v>
      </c>
      <c r="H6" t="s">
        <v>876</v>
      </c>
      <c r="K6" t="s">
        <v>715</v>
      </c>
      <c r="L6">
        <v>2.02</v>
      </c>
      <c r="M6">
        <v>0</v>
      </c>
      <c r="N6">
        <v>1.69</v>
      </c>
      <c r="O6">
        <v>0</v>
      </c>
      <c r="P6">
        <v>0.33</v>
      </c>
      <c r="Q6">
        <v>0</v>
      </c>
      <c r="R6" t="s">
        <v>4527</v>
      </c>
    </row>
    <row r="7" spans="1:18" x14ac:dyDescent="0.3">
      <c r="A7" t="s">
        <v>15</v>
      </c>
      <c r="B7" s="25">
        <v>37</v>
      </c>
      <c r="C7" s="23">
        <v>11</v>
      </c>
      <c r="D7" s="23">
        <v>9</v>
      </c>
      <c r="E7" s="23">
        <v>6</v>
      </c>
      <c r="F7" s="23">
        <v>11</v>
      </c>
      <c r="H7" t="s">
        <v>4813</v>
      </c>
      <c r="K7" t="s">
        <v>713</v>
      </c>
      <c r="L7">
        <v>2.82</v>
      </c>
      <c r="M7">
        <v>0</v>
      </c>
      <c r="N7">
        <v>0.48</v>
      </c>
      <c r="O7">
        <v>2.0099999999999998</v>
      </c>
      <c r="P7">
        <v>0.33</v>
      </c>
      <c r="Q7">
        <v>0</v>
      </c>
      <c r="R7" t="s">
        <v>4527</v>
      </c>
    </row>
    <row r="8" spans="1:18" x14ac:dyDescent="0.3">
      <c r="A8" t="s">
        <v>7</v>
      </c>
      <c r="B8" s="25">
        <v>253</v>
      </c>
      <c r="C8" s="23">
        <v>66</v>
      </c>
      <c r="D8" s="23">
        <v>53</v>
      </c>
      <c r="E8" s="23">
        <v>61</v>
      </c>
      <c r="F8" s="23">
        <v>73</v>
      </c>
      <c r="H8" t="s">
        <v>4815</v>
      </c>
      <c r="K8" t="s">
        <v>845</v>
      </c>
      <c r="L8">
        <v>34.400000000000006</v>
      </c>
      <c r="M8">
        <v>3.07</v>
      </c>
      <c r="N8">
        <v>4.82</v>
      </c>
      <c r="O8">
        <v>12.980000000000002</v>
      </c>
      <c r="P8">
        <v>5.63</v>
      </c>
      <c r="Q8">
        <v>7.9</v>
      </c>
      <c r="R8" t="s">
        <v>4528</v>
      </c>
    </row>
    <row r="9" spans="1:18" x14ac:dyDescent="0.3">
      <c r="A9" t="s">
        <v>13</v>
      </c>
      <c r="B9" s="25">
        <v>43</v>
      </c>
      <c r="C9" s="17">
        <v>5</v>
      </c>
      <c r="D9" s="17">
        <v>11</v>
      </c>
      <c r="E9" s="17">
        <v>11</v>
      </c>
      <c r="F9" s="17">
        <v>16</v>
      </c>
      <c r="H9" t="s">
        <v>4813</v>
      </c>
      <c r="K9" t="s">
        <v>790</v>
      </c>
      <c r="L9">
        <v>653.71</v>
      </c>
      <c r="M9">
        <v>64.400000000000006</v>
      </c>
      <c r="N9">
        <v>133.40999999999997</v>
      </c>
      <c r="O9">
        <v>169.31</v>
      </c>
      <c r="P9">
        <v>160.71000000000004</v>
      </c>
      <c r="Q9">
        <v>125.87999999999998</v>
      </c>
      <c r="R9" t="s">
        <v>4529</v>
      </c>
    </row>
    <row r="10" spans="1:18" x14ac:dyDescent="0.3">
      <c r="A10" t="s">
        <v>11</v>
      </c>
      <c r="B10" s="25">
        <v>16</v>
      </c>
      <c r="C10" s="23">
        <v>4</v>
      </c>
      <c r="D10" s="23">
        <v>4</v>
      </c>
      <c r="E10" s="23">
        <v>4</v>
      </c>
      <c r="F10" s="23">
        <v>4</v>
      </c>
      <c r="H10" t="s">
        <v>33</v>
      </c>
      <c r="K10" t="s">
        <v>2792</v>
      </c>
      <c r="L10">
        <v>2.48</v>
      </c>
      <c r="M10">
        <v>0</v>
      </c>
      <c r="N10">
        <v>0</v>
      </c>
      <c r="O10">
        <v>0.77</v>
      </c>
      <c r="P10">
        <v>1.71</v>
      </c>
      <c r="Q10">
        <v>0</v>
      </c>
      <c r="R10" t="s">
        <v>4530</v>
      </c>
    </row>
    <row r="11" spans="1:18" x14ac:dyDescent="0.3">
      <c r="A11" t="s">
        <v>8</v>
      </c>
      <c r="B11" s="25">
        <v>28</v>
      </c>
      <c r="C11" s="17">
        <v>6</v>
      </c>
      <c r="D11" s="17">
        <v>6</v>
      </c>
      <c r="E11" s="17">
        <v>6</v>
      </c>
      <c r="F11" s="17">
        <v>10</v>
      </c>
      <c r="H11" t="s">
        <v>4814</v>
      </c>
      <c r="K11" t="s">
        <v>71</v>
      </c>
      <c r="L11">
        <v>0.33</v>
      </c>
      <c r="M11">
        <v>0</v>
      </c>
      <c r="N11">
        <v>0</v>
      </c>
      <c r="O11">
        <v>0.33</v>
      </c>
      <c r="P11">
        <v>0</v>
      </c>
      <c r="Q11">
        <v>0</v>
      </c>
      <c r="R11" t="s">
        <v>825</v>
      </c>
    </row>
    <row r="12" spans="1:18" x14ac:dyDescent="0.3">
      <c r="A12" t="s">
        <v>10</v>
      </c>
      <c r="B12" s="25">
        <v>28</v>
      </c>
      <c r="C12" s="23">
        <v>7</v>
      </c>
      <c r="D12" s="23">
        <v>7</v>
      </c>
      <c r="E12" s="23">
        <v>7</v>
      </c>
      <c r="F12" s="23">
        <v>7</v>
      </c>
      <c r="H12" t="s">
        <v>33</v>
      </c>
      <c r="K12" t="s">
        <v>79</v>
      </c>
      <c r="L12">
        <v>0.52</v>
      </c>
      <c r="M12">
        <v>0</v>
      </c>
      <c r="N12">
        <v>0.29000000000000004</v>
      </c>
      <c r="O12">
        <v>0</v>
      </c>
      <c r="P12">
        <v>0.23</v>
      </c>
      <c r="Q12">
        <v>0</v>
      </c>
      <c r="R12" t="s">
        <v>4527</v>
      </c>
    </row>
    <row r="13" spans="1:18" x14ac:dyDescent="0.3">
      <c r="A13" t="s">
        <v>9</v>
      </c>
      <c r="B13" s="25">
        <v>52</v>
      </c>
      <c r="C13" s="17">
        <v>14</v>
      </c>
      <c r="D13" s="17">
        <v>14</v>
      </c>
      <c r="E13" s="17">
        <v>10</v>
      </c>
      <c r="F13" s="17">
        <v>14</v>
      </c>
      <c r="H13" t="s">
        <v>33</v>
      </c>
      <c r="K13" t="s">
        <v>1631</v>
      </c>
      <c r="L13">
        <v>3.8200000000000003</v>
      </c>
      <c r="M13">
        <v>0</v>
      </c>
      <c r="N13">
        <v>0.65</v>
      </c>
      <c r="O13">
        <v>0</v>
      </c>
      <c r="P13">
        <v>0.17</v>
      </c>
      <c r="Q13">
        <v>3</v>
      </c>
      <c r="R13" t="s">
        <v>4531</v>
      </c>
    </row>
    <row r="14" spans="1:18" x14ac:dyDescent="0.3">
      <c r="A14" t="s">
        <v>12</v>
      </c>
      <c r="B14" s="25">
        <v>32</v>
      </c>
      <c r="C14" s="17">
        <v>12</v>
      </c>
      <c r="D14" s="17">
        <v>6</v>
      </c>
      <c r="E14" s="17">
        <v>12</v>
      </c>
      <c r="F14" s="17">
        <v>2</v>
      </c>
      <c r="H14" t="s">
        <v>4813</v>
      </c>
      <c r="K14" t="s">
        <v>1438</v>
      </c>
      <c r="L14">
        <v>20.03</v>
      </c>
      <c r="M14">
        <v>0</v>
      </c>
      <c r="N14">
        <v>8</v>
      </c>
      <c r="O14">
        <v>5.43</v>
      </c>
      <c r="P14">
        <v>4.5</v>
      </c>
      <c r="Q14">
        <v>2.1</v>
      </c>
      <c r="R14" t="s">
        <v>4532</v>
      </c>
    </row>
    <row r="15" spans="1:18" x14ac:dyDescent="0.3">
      <c r="A15" t="s">
        <v>14</v>
      </c>
      <c r="B15" s="25">
        <v>41</v>
      </c>
      <c r="C15" s="17">
        <v>12</v>
      </c>
      <c r="D15" s="17">
        <v>6</v>
      </c>
      <c r="E15" s="17">
        <v>14</v>
      </c>
      <c r="F15" s="17">
        <v>9</v>
      </c>
      <c r="H15" t="s">
        <v>4813</v>
      </c>
      <c r="K15" t="s">
        <v>964</v>
      </c>
      <c r="L15">
        <v>238.01</v>
      </c>
      <c r="M15">
        <v>20.530000000000005</v>
      </c>
      <c r="N15">
        <v>45.089999999999996</v>
      </c>
      <c r="O15">
        <v>63.14</v>
      </c>
      <c r="P15">
        <v>49.429999999999986</v>
      </c>
      <c r="Q15">
        <v>59.820000000000014</v>
      </c>
      <c r="R15" t="s">
        <v>4533</v>
      </c>
    </row>
    <row r="16" spans="1:18" x14ac:dyDescent="0.3">
      <c r="A16" t="s">
        <v>694</v>
      </c>
      <c r="B16" s="25">
        <v>16</v>
      </c>
      <c r="C16" s="17">
        <v>0</v>
      </c>
      <c r="D16" s="17">
        <v>16</v>
      </c>
      <c r="E16" s="17">
        <v>0</v>
      </c>
      <c r="F16" s="17">
        <v>0</v>
      </c>
      <c r="H16" t="s">
        <v>4813</v>
      </c>
      <c r="K16" t="s">
        <v>1709</v>
      </c>
      <c r="L16">
        <v>1.8399999999999999</v>
      </c>
      <c r="M16">
        <v>0</v>
      </c>
      <c r="N16">
        <v>1.64</v>
      </c>
      <c r="O16">
        <v>0.2</v>
      </c>
      <c r="P16">
        <v>0</v>
      </c>
      <c r="Q16">
        <v>0</v>
      </c>
      <c r="R16" t="s">
        <v>4534</v>
      </c>
    </row>
    <row r="17" spans="11:18" x14ac:dyDescent="0.3">
      <c r="K17" t="s">
        <v>978</v>
      </c>
      <c r="L17">
        <v>145.71</v>
      </c>
      <c r="M17">
        <v>16.8</v>
      </c>
      <c r="N17">
        <v>31.24</v>
      </c>
      <c r="O17">
        <v>36.380000000000003</v>
      </c>
      <c r="P17">
        <v>34.03</v>
      </c>
      <c r="Q17">
        <v>27.259999999999998</v>
      </c>
      <c r="R17" t="s">
        <v>4535</v>
      </c>
    </row>
    <row r="18" spans="11:18" x14ac:dyDescent="0.3">
      <c r="K18" t="s">
        <v>903</v>
      </c>
      <c r="L18">
        <v>19.420000000000002</v>
      </c>
      <c r="M18">
        <v>1.83</v>
      </c>
      <c r="N18">
        <v>3.6799999999999997</v>
      </c>
      <c r="O18">
        <v>4.3999999999999995</v>
      </c>
      <c r="P18">
        <v>7.9600000000000009</v>
      </c>
      <c r="Q18">
        <v>1.55</v>
      </c>
      <c r="R18" t="s">
        <v>4536</v>
      </c>
    </row>
    <row r="19" spans="11:18" x14ac:dyDescent="0.3">
      <c r="K19" t="s">
        <v>131</v>
      </c>
      <c r="L19">
        <v>0.15</v>
      </c>
      <c r="M19">
        <v>0</v>
      </c>
      <c r="N19">
        <v>0</v>
      </c>
      <c r="O19">
        <v>0.15</v>
      </c>
      <c r="P19">
        <v>0</v>
      </c>
      <c r="Q19">
        <v>0</v>
      </c>
      <c r="R19" t="s">
        <v>929</v>
      </c>
    </row>
    <row r="20" spans="11:18" x14ac:dyDescent="0.3">
      <c r="K20" t="s">
        <v>4201</v>
      </c>
      <c r="L20">
        <v>0.02</v>
      </c>
      <c r="M20">
        <v>0</v>
      </c>
      <c r="N20">
        <v>0</v>
      </c>
      <c r="O20">
        <v>0</v>
      </c>
      <c r="P20">
        <v>0</v>
      </c>
      <c r="Q20">
        <v>0.02</v>
      </c>
      <c r="R20" t="s">
        <v>803</v>
      </c>
    </row>
    <row r="21" spans="11:18" x14ac:dyDescent="0.3">
      <c r="K21" t="s">
        <v>1084</v>
      </c>
      <c r="L21">
        <v>10.07</v>
      </c>
      <c r="M21">
        <v>0.38</v>
      </c>
      <c r="N21">
        <v>2.8100000000000005</v>
      </c>
      <c r="O21">
        <v>3.28</v>
      </c>
      <c r="P21">
        <v>1.51</v>
      </c>
      <c r="Q21">
        <v>2.0900000000000003</v>
      </c>
      <c r="R21" t="s">
        <v>4537</v>
      </c>
    </row>
    <row r="22" spans="11:18" x14ac:dyDescent="0.3">
      <c r="K22" t="s">
        <v>1096</v>
      </c>
      <c r="L22">
        <v>35.43</v>
      </c>
      <c r="M22">
        <v>1.7699999999999998</v>
      </c>
      <c r="N22">
        <v>16.79</v>
      </c>
      <c r="O22">
        <v>9.4499999999999993</v>
      </c>
      <c r="P22">
        <v>3.8899999999999997</v>
      </c>
      <c r="Q22">
        <v>3.53</v>
      </c>
      <c r="R22" t="s">
        <v>4538</v>
      </c>
    </row>
    <row r="23" spans="11:18" x14ac:dyDescent="0.3">
      <c r="K23" t="s">
        <v>141</v>
      </c>
      <c r="L23">
        <v>4.12</v>
      </c>
      <c r="M23">
        <v>0</v>
      </c>
      <c r="N23">
        <v>0.92</v>
      </c>
      <c r="O23">
        <v>1.1200000000000001</v>
      </c>
      <c r="P23">
        <v>1.08</v>
      </c>
      <c r="Q23">
        <v>1</v>
      </c>
      <c r="R23" t="s">
        <v>4539</v>
      </c>
    </row>
    <row r="24" spans="11:18" x14ac:dyDescent="0.3">
      <c r="K24" t="s">
        <v>151</v>
      </c>
      <c r="L24">
        <v>27.75</v>
      </c>
      <c r="M24">
        <v>1</v>
      </c>
      <c r="N24">
        <v>5.7700000000000005</v>
      </c>
      <c r="O24">
        <v>7.1100000000000012</v>
      </c>
      <c r="P24">
        <v>6.4499999999999993</v>
      </c>
      <c r="Q24">
        <v>7.42</v>
      </c>
      <c r="R24" t="s">
        <v>4540</v>
      </c>
    </row>
    <row r="25" spans="11:18" x14ac:dyDescent="0.3">
      <c r="K25" t="s">
        <v>1543</v>
      </c>
      <c r="L25">
        <v>5.3000000000000007</v>
      </c>
      <c r="M25">
        <v>0</v>
      </c>
      <c r="N25">
        <v>1.43</v>
      </c>
      <c r="O25">
        <v>1.2200000000000002</v>
      </c>
      <c r="P25">
        <v>1.73</v>
      </c>
      <c r="Q25">
        <v>0.92</v>
      </c>
      <c r="R25" t="s">
        <v>4541</v>
      </c>
    </row>
    <row r="26" spans="11:18" x14ac:dyDescent="0.3">
      <c r="K26" t="s">
        <v>2604</v>
      </c>
      <c r="L26">
        <v>14.2</v>
      </c>
      <c r="M26">
        <v>0</v>
      </c>
      <c r="N26">
        <v>0</v>
      </c>
      <c r="O26">
        <v>0.52</v>
      </c>
      <c r="P26">
        <v>5.93</v>
      </c>
      <c r="Q26">
        <v>7.75</v>
      </c>
      <c r="R26" t="s">
        <v>4542</v>
      </c>
    </row>
    <row r="27" spans="11:18" x14ac:dyDescent="0.3">
      <c r="K27" t="s">
        <v>161</v>
      </c>
      <c r="L27">
        <v>6.79</v>
      </c>
      <c r="M27">
        <v>0</v>
      </c>
      <c r="N27">
        <v>3.29</v>
      </c>
      <c r="O27">
        <v>1</v>
      </c>
      <c r="P27">
        <v>1.75</v>
      </c>
      <c r="Q27">
        <v>0.75</v>
      </c>
      <c r="R27" t="s">
        <v>4543</v>
      </c>
    </row>
    <row r="28" spans="11:18" x14ac:dyDescent="0.3">
      <c r="K28" t="s">
        <v>727</v>
      </c>
      <c r="L28">
        <v>1.83</v>
      </c>
      <c r="M28">
        <v>0</v>
      </c>
      <c r="N28">
        <v>0.75</v>
      </c>
      <c r="O28">
        <v>0.5</v>
      </c>
      <c r="P28">
        <v>0.58000000000000007</v>
      </c>
      <c r="Q28">
        <v>0</v>
      </c>
      <c r="R28" t="s">
        <v>4544</v>
      </c>
    </row>
    <row r="29" spans="11:18" x14ac:dyDescent="0.3">
      <c r="K29" t="s">
        <v>169</v>
      </c>
      <c r="L29">
        <v>2</v>
      </c>
      <c r="M29">
        <v>0</v>
      </c>
      <c r="N29">
        <v>0</v>
      </c>
      <c r="O29">
        <v>0</v>
      </c>
      <c r="P29">
        <v>1.57</v>
      </c>
      <c r="Q29">
        <v>0.43</v>
      </c>
      <c r="R29" t="s">
        <v>4527</v>
      </c>
    </row>
    <row r="30" spans="11:18" x14ac:dyDescent="0.3">
      <c r="K30" t="s">
        <v>170</v>
      </c>
      <c r="L30">
        <v>23.57</v>
      </c>
      <c r="M30">
        <v>0</v>
      </c>
      <c r="N30">
        <v>12.91</v>
      </c>
      <c r="O30">
        <v>4.1199999999999992</v>
      </c>
      <c r="P30">
        <v>1.1000000000000001</v>
      </c>
      <c r="Q30">
        <v>5.4399999999999995</v>
      </c>
      <c r="R30" t="s">
        <v>4545</v>
      </c>
    </row>
    <row r="31" spans="11:18" x14ac:dyDescent="0.3">
      <c r="K31" t="s">
        <v>173</v>
      </c>
      <c r="L31">
        <v>19.05</v>
      </c>
      <c r="M31">
        <v>3.74</v>
      </c>
      <c r="N31">
        <v>7.370000000000001</v>
      </c>
      <c r="O31">
        <v>0.72</v>
      </c>
      <c r="P31">
        <v>2.54</v>
      </c>
      <c r="Q31">
        <v>4.68</v>
      </c>
      <c r="R31" t="s">
        <v>4546</v>
      </c>
    </row>
    <row r="32" spans="11:18" x14ac:dyDescent="0.3">
      <c r="K32" t="s">
        <v>934</v>
      </c>
      <c r="L32">
        <v>0.85</v>
      </c>
      <c r="M32">
        <v>0.1</v>
      </c>
      <c r="N32">
        <v>0</v>
      </c>
      <c r="O32">
        <v>0</v>
      </c>
      <c r="P32">
        <v>0</v>
      </c>
      <c r="Q32">
        <v>0.75</v>
      </c>
      <c r="R32" t="s">
        <v>929</v>
      </c>
    </row>
    <row r="33" spans="11:18" x14ac:dyDescent="0.3">
      <c r="K33" t="s">
        <v>201</v>
      </c>
      <c r="L33">
        <v>18.25</v>
      </c>
      <c r="M33">
        <v>0.66</v>
      </c>
      <c r="N33">
        <v>5.71</v>
      </c>
      <c r="O33">
        <v>6.25</v>
      </c>
      <c r="P33">
        <v>3.08</v>
      </c>
      <c r="Q33">
        <v>2.5499999999999998</v>
      </c>
      <c r="R33" t="s">
        <v>4547</v>
      </c>
    </row>
    <row r="34" spans="11:18" x14ac:dyDescent="0.3">
      <c r="K34" t="s">
        <v>999</v>
      </c>
      <c r="L34">
        <v>75.97999999999999</v>
      </c>
      <c r="M34">
        <v>6.8699999999999992</v>
      </c>
      <c r="N34">
        <v>15.27</v>
      </c>
      <c r="O34">
        <v>15.71</v>
      </c>
      <c r="P34">
        <v>20.400000000000002</v>
      </c>
      <c r="Q34">
        <v>17.729999999999997</v>
      </c>
      <c r="R34" t="s">
        <v>4548</v>
      </c>
    </row>
    <row r="35" spans="11:18" x14ac:dyDescent="0.3">
      <c r="K35" t="s">
        <v>7</v>
      </c>
      <c r="L35">
        <v>3870.3399999999997</v>
      </c>
      <c r="M35">
        <v>349.94999999999993</v>
      </c>
      <c r="N35">
        <v>965.76000000000056</v>
      </c>
      <c r="O35">
        <v>934.31</v>
      </c>
      <c r="P35">
        <v>909.19999999999993</v>
      </c>
      <c r="Q35">
        <v>711.11999999999955</v>
      </c>
      <c r="R35" t="s">
        <v>4549</v>
      </c>
    </row>
    <row r="36" spans="11:18" x14ac:dyDescent="0.3">
      <c r="K36" t="s">
        <v>206</v>
      </c>
      <c r="L36">
        <v>10.01</v>
      </c>
      <c r="M36">
        <v>0.3</v>
      </c>
      <c r="N36">
        <v>0</v>
      </c>
      <c r="O36">
        <v>0</v>
      </c>
      <c r="P36">
        <v>6.99</v>
      </c>
      <c r="Q36">
        <v>2.72</v>
      </c>
      <c r="R36" t="s">
        <v>4550</v>
      </c>
    </row>
    <row r="37" spans="11:18" x14ac:dyDescent="0.3">
      <c r="K37" t="s">
        <v>13</v>
      </c>
      <c r="L37">
        <v>97.07</v>
      </c>
      <c r="M37">
        <v>11.16</v>
      </c>
      <c r="N37">
        <v>17.28</v>
      </c>
      <c r="O37">
        <v>30.93</v>
      </c>
      <c r="P37">
        <v>20.160000000000004</v>
      </c>
      <c r="Q37">
        <v>17.54</v>
      </c>
      <c r="R37" t="s">
        <v>4551</v>
      </c>
    </row>
    <row r="38" spans="11:18" x14ac:dyDescent="0.3">
      <c r="K38" t="s">
        <v>210</v>
      </c>
      <c r="L38">
        <v>4.8000000000000007</v>
      </c>
      <c r="M38">
        <v>0.44000000000000006</v>
      </c>
      <c r="N38">
        <v>0.57999999999999996</v>
      </c>
      <c r="O38">
        <v>1.89</v>
      </c>
      <c r="P38">
        <v>1.81</v>
      </c>
      <c r="Q38">
        <v>0.08</v>
      </c>
      <c r="R38" t="s">
        <v>4552</v>
      </c>
    </row>
    <row r="39" spans="11:18" x14ac:dyDescent="0.3">
      <c r="K39" t="s">
        <v>2613</v>
      </c>
      <c r="L39">
        <v>4.82</v>
      </c>
      <c r="M39">
        <v>0</v>
      </c>
      <c r="N39">
        <v>0</v>
      </c>
      <c r="O39">
        <v>1.97</v>
      </c>
      <c r="P39">
        <v>2.77</v>
      </c>
      <c r="Q39">
        <v>0.08</v>
      </c>
      <c r="R39" t="s">
        <v>4553</v>
      </c>
    </row>
    <row r="40" spans="11:18" x14ac:dyDescent="0.3">
      <c r="K40" t="s">
        <v>226</v>
      </c>
      <c r="L40">
        <v>35.629999999999995</v>
      </c>
      <c r="M40">
        <v>0</v>
      </c>
      <c r="N40">
        <v>4.97</v>
      </c>
      <c r="O40">
        <v>10.37</v>
      </c>
      <c r="P40">
        <v>9.7099999999999991</v>
      </c>
      <c r="Q40">
        <v>10.579999999999998</v>
      </c>
      <c r="R40" t="s">
        <v>4554</v>
      </c>
    </row>
    <row r="41" spans="11:18" x14ac:dyDescent="0.3">
      <c r="K41" t="s">
        <v>234</v>
      </c>
      <c r="L41">
        <v>55.13</v>
      </c>
      <c r="M41">
        <v>8.92</v>
      </c>
      <c r="N41">
        <v>16.61</v>
      </c>
      <c r="O41">
        <v>9.0399999999999991</v>
      </c>
      <c r="P41">
        <v>12.770000000000001</v>
      </c>
      <c r="Q41">
        <v>7.7900000000000009</v>
      </c>
      <c r="R41" t="s">
        <v>4555</v>
      </c>
    </row>
    <row r="42" spans="11:18" x14ac:dyDescent="0.3">
      <c r="K42" t="s">
        <v>235</v>
      </c>
      <c r="L42">
        <v>1.33</v>
      </c>
      <c r="M42">
        <v>0</v>
      </c>
      <c r="N42">
        <v>0</v>
      </c>
      <c r="O42">
        <v>1.33</v>
      </c>
      <c r="P42">
        <v>0</v>
      </c>
      <c r="Q42">
        <v>0</v>
      </c>
      <c r="R42" t="s">
        <v>825</v>
      </c>
    </row>
    <row r="43" spans="11:18" x14ac:dyDescent="0.3">
      <c r="K43" t="s">
        <v>1046</v>
      </c>
      <c r="L43">
        <v>3.4</v>
      </c>
      <c r="M43">
        <v>0.97</v>
      </c>
      <c r="N43">
        <v>0.22000000000000003</v>
      </c>
      <c r="O43">
        <v>2.21</v>
      </c>
      <c r="P43">
        <v>0</v>
      </c>
      <c r="Q43">
        <v>0</v>
      </c>
      <c r="R43" t="s">
        <v>4556</v>
      </c>
    </row>
    <row r="44" spans="11:18" x14ac:dyDescent="0.3">
      <c r="K44" t="s">
        <v>237</v>
      </c>
      <c r="L44">
        <v>5.46</v>
      </c>
      <c r="M44">
        <v>0</v>
      </c>
      <c r="N44">
        <v>0.30000000000000004</v>
      </c>
      <c r="O44">
        <v>3.25</v>
      </c>
      <c r="P44">
        <v>1.9100000000000001</v>
      </c>
      <c r="Q44">
        <v>0</v>
      </c>
      <c r="R44" t="s">
        <v>4557</v>
      </c>
    </row>
    <row r="45" spans="11:18" x14ac:dyDescent="0.3">
      <c r="K45" t="s">
        <v>248</v>
      </c>
      <c r="L45">
        <v>16.27</v>
      </c>
      <c r="M45">
        <v>1.5699999999999998</v>
      </c>
      <c r="N45">
        <v>4.21</v>
      </c>
      <c r="O45">
        <v>4.2699999999999996</v>
      </c>
      <c r="P45">
        <v>4.5</v>
      </c>
      <c r="Q45">
        <v>1.72</v>
      </c>
      <c r="R45" t="s">
        <v>4558</v>
      </c>
    </row>
    <row r="46" spans="11:18" x14ac:dyDescent="0.3">
      <c r="K46" t="s">
        <v>250</v>
      </c>
      <c r="L46">
        <v>5.5</v>
      </c>
      <c r="M46">
        <v>0</v>
      </c>
      <c r="N46">
        <v>3</v>
      </c>
      <c r="O46">
        <v>1.5</v>
      </c>
      <c r="P46">
        <v>0</v>
      </c>
      <c r="Q46">
        <v>1</v>
      </c>
      <c r="R46" t="s">
        <v>825</v>
      </c>
    </row>
    <row r="47" spans="11:18" x14ac:dyDescent="0.3">
      <c r="K47" t="s">
        <v>259</v>
      </c>
      <c r="L47">
        <v>41.930000000000007</v>
      </c>
      <c r="M47">
        <v>4.83</v>
      </c>
      <c r="N47">
        <v>8.2199999999999989</v>
      </c>
      <c r="O47">
        <v>11.34</v>
      </c>
      <c r="P47">
        <v>6.73</v>
      </c>
      <c r="Q47">
        <v>10.810000000000002</v>
      </c>
      <c r="R47" t="s">
        <v>4559</v>
      </c>
    </row>
    <row r="48" spans="11:18" x14ac:dyDescent="0.3">
      <c r="K48" t="s">
        <v>1852</v>
      </c>
      <c r="L48">
        <v>1.01</v>
      </c>
      <c r="M48">
        <v>0</v>
      </c>
      <c r="N48">
        <v>1.01</v>
      </c>
      <c r="O48">
        <v>0</v>
      </c>
      <c r="P48">
        <v>0</v>
      </c>
      <c r="Q48">
        <v>0</v>
      </c>
      <c r="R48" t="s">
        <v>4527</v>
      </c>
    </row>
    <row r="49" spans="11:18" x14ac:dyDescent="0.3">
      <c r="K49" t="s">
        <v>857</v>
      </c>
      <c r="L49">
        <v>62.930000000000007</v>
      </c>
      <c r="M49">
        <v>8.2999999999999989</v>
      </c>
      <c r="N49">
        <v>16.530000000000005</v>
      </c>
      <c r="O49">
        <v>9.39</v>
      </c>
      <c r="P49">
        <v>15.94</v>
      </c>
      <c r="Q49">
        <v>12.77</v>
      </c>
      <c r="R49" t="s">
        <v>4560</v>
      </c>
    </row>
    <row r="50" spans="11:18" x14ac:dyDescent="0.3">
      <c r="K50" t="s">
        <v>288</v>
      </c>
      <c r="L50">
        <v>16.270000000000003</v>
      </c>
      <c r="M50">
        <v>0</v>
      </c>
      <c r="N50">
        <v>6.87</v>
      </c>
      <c r="O50">
        <v>4.07</v>
      </c>
      <c r="P50">
        <v>2.87</v>
      </c>
      <c r="Q50">
        <v>2.46</v>
      </c>
      <c r="R50" t="s">
        <v>4561</v>
      </c>
    </row>
    <row r="51" spans="11:18" x14ac:dyDescent="0.3">
      <c r="K51" t="s">
        <v>11</v>
      </c>
      <c r="L51">
        <v>225.22</v>
      </c>
      <c r="M51">
        <v>35.04</v>
      </c>
      <c r="N51">
        <v>61.809999999999995</v>
      </c>
      <c r="O51">
        <v>42.7</v>
      </c>
      <c r="P51">
        <v>45</v>
      </c>
      <c r="Q51">
        <v>40.669999999999995</v>
      </c>
      <c r="R51" t="s">
        <v>4562</v>
      </c>
    </row>
    <row r="52" spans="11:18" x14ac:dyDescent="0.3">
      <c r="K52" t="s">
        <v>296</v>
      </c>
      <c r="L52">
        <v>0.67</v>
      </c>
      <c r="M52">
        <v>0</v>
      </c>
      <c r="N52">
        <v>0</v>
      </c>
      <c r="O52">
        <v>0.67</v>
      </c>
      <c r="P52">
        <v>0</v>
      </c>
      <c r="Q52">
        <v>0</v>
      </c>
      <c r="R52" t="s">
        <v>825</v>
      </c>
    </row>
    <row r="53" spans="11:18" x14ac:dyDescent="0.3">
      <c r="K53" t="s">
        <v>297</v>
      </c>
      <c r="L53">
        <v>0.57999999999999996</v>
      </c>
      <c r="M53">
        <v>0</v>
      </c>
      <c r="N53">
        <v>0.57999999999999996</v>
      </c>
      <c r="O53">
        <v>0</v>
      </c>
      <c r="P53">
        <v>0</v>
      </c>
      <c r="Q53">
        <v>0</v>
      </c>
      <c r="R53" t="s">
        <v>825</v>
      </c>
    </row>
    <row r="54" spans="11:18" x14ac:dyDescent="0.3">
      <c r="K54" t="s">
        <v>3920</v>
      </c>
      <c r="L54">
        <v>0.02</v>
      </c>
      <c r="M54">
        <v>0</v>
      </c>
      <c r="N54">
        <v>0</v>
      </c>
      <c r="O54">
        <v>0</v>
      </c>
      <c r="P54">
        <v>0</v>
      </c>
      <c r="Q54">
        <v>0.02</v>
      </c>
      <c r="R54" t="s">
        <v>803</v>
      </c>
    </row>
    <row r="55" spans="11:18" x14ac:dyDescent="0.3">
      <c r="K55" t="s">
        <v>303</v>
      </c>
      <c r="L55">
        <v>2.34</v>
      </c>
      <c r="M55">
        <v>0</v>
      </c>
      <c r="N55">
        <v>0</v>
      </c>
      <c r="O55">
        <v>0</v>
      </c>
      <c r="P55">
        <v>0</v>
      </c>
      <c r="Q55">
        <v>2.34</v>
      </c>
      <c r="R55" t="s">
        <v>929</v>
      </c>
    </row>
    <row r="56" spans="11:18" x14ac:dyDescent="0.3">
      <c r="K56" t="s">
        <v>1150</v>
      </c>
      <c r="L56">
        <v>4.34</v>
      </c>
      <c r="M56">
        <v>1.7</v>
      </c>
      <c r="N56">
        <v>1.53</v>
      </c>
      <c r="O56">
        <v>1.1099999999999999</v>
      </c>
      <c r="P56">
        <v>0</v>
      </c>
      <c r="Q56">
        <v>0</v>
      </c>
      <c r="R56" t="s">
        <v>4563</v>
      </c>
    </row>
    <row r="57" spans="11:18" x14ac:dyDescent="0.3">
      <c r="K57" t="s">
        <v>316</v>
      </c>
      <c r="L57">
        <v>30.87</v>
      </c>
      <c r="M57">
        <v>2.62</v>
      </c>
      <c r="N57">
        <v>5.9399999999999995</v>
      </c>
      <c r="O57">
        <v>8.7100000000000009</v>
      </c>
      <c r="P57">
        <v>5.33</v>
      </c>
      <c r="Q57">
        <v>8.27</v>
      </c>
      <c r="R57" t="s">
        <v>4564</v>
      </c>
    </row>
    <row r="58" spans="11:18" x14ac:dyDescent="0.3">
      <c r="K58" t="s">
        <v>336</v>
      </c>
      <c r="L58">
        <v>7.5100000000000007</v>
      </c>
      <c r="M58">
        <v>0</v>
      </c>
      <c r="N58">
        <v>0</v>
      </c>
      <c r="O58">
        <v>0</v>
      </c>
      <c r="P58">
        <v>6.3100000000000005</v>
      </c>
      <c r="Q58">
        <v>1.2</v>
      </c>
      <c r="R58" t="s">
        <v>4565</v>
      </c>
    </row>
    <row r="59" spans="11:18" x14ac:dyDescent="0.3">
      <c r="K59" t="s">
        <v>372</v>
      </c>
      <c r="L59">
        <v>0.33</v>
      </c>
      <c r="M59">
        <v>0</v>
      </c>
      <c r="N59">
        <v>0</v>
      </c>
      <c r="O59">
        <v>0.33</v>
      </c>
      <c r="P59">
        <v>0</v>
      </c>
      <c r="Q59">
        <v>0</v>
      </c>
      <c r="R59" t="s">
        <v>825</v>
      </c>
    </row>
    <row r="60" spans="11:18" x14ac:dyDescent="0.3">
      <c r="K60" t="s">
        <v>373</v>
      </c>
      <c r="L60">
        <v>2.25</v>
      </c>
      <c r="M60">
        <v>1.71</v>
      </c>
      <c r="N60">
        <v>7.0000000000000007E-2</v>
      </c>
      <c r="O60">
        <v>0</v>
      </c>
      <c r="P60">
        <v>0.47000000000000003</v>
      </c>
      <c r="Q60">
        <v>0</v>
      </c>
      <c r="R60" t="s">
        <v>4566</v>
      </c>
    </row>
    <row r="61" spans="11:18" x14ac:dyDescent="0.3">
      <c r="K61" t="s">
        <v>375</v>
      </c>
      <c r="L61">
        <v>68.25</v>
      </c>
      <c r="M61">
        <v>7.04</v>
      </c>
      <c r="N61">
        <v>11.16</v>
      </c>
      <c r="O61">
        <v>17.209999999999997</v>
      </c>
      <c r="P61">
        <v>15.81</v>
      </c>
      <c r="Q61">
        <v>17.03</v>
      </c>
      <c r="R61" t="s">
        <v>4567</v>
      </c>
    </row>
    <row r="62" spans="11:18" x14ac:dyDescent="0.3">
      <c r="K62" t="s">
        <v>2605</v>
      </c>
      <c r="L62">
        <v>2.57</v>
      </c>
      <c r="M62">
        <v>0</v>
      </c>
      <c r="N62">
        <v>0</v>
      </c>
      <c r="O62">
        <v>0.42000000000000004</v>
      </c>
      <c r="P62">
        <v>0</v>
      </c>
      <c r="Q62">
        <v>2.15</v>
      </c>
      <c r="R62" t="s">
        <v>4530</v>
      </c>
    </row>
    <row r="63" spans="11:18" x14ac:dyDescent="0.3">
      <c r="K63" t="s">
        <v>2496</v>
      </c>
      <c r="L63">
        <v>3.5</v>
      </c>
      <c r="M63">
        <v>0</v>
      </c>
      <c r="N63">
        <v>0</v>
      </c>
      <c r="O63">
        <v>0.71</v>
      </c>
      <c r="P63">
        <v>2.79</v>
      </c>
      <c r="Q63">
        <v>0</v>
      </c>
      <c r="R63" t="s">
        <v>4568</v>
      </c>
    </row>
    <row r="64" spans="11:18" x14ac:dyDescent="0.3">
      <c r="K64" t="s">
        <v>1695</v>
      </c>
      <c r="L64">
        <v>0.44999999999999996</v>
      </c>
      <c r="M64">
        <v>0</v>
      </c>
      <c r="N64">
        <v>0.15</v>
      </c>
      <c r="O64">
        <v>0</v>
      </c>
      <c r="P64">
        <v>0.3</v>
      </c>
      <c r="Q64">
        <v>0</v>
      </c>
      <c r="R64" t="s">
        <v>1034</v>
      </c>
    </row>
    <row r="65" spans="11:18" x14ac:dyDescent="0.3">
      <c r="K65" t="s">
        <v>1013</v>
      </c>
      <c r="L65">
        <v>82.62</v>
      </c>
      <c r="M65">
        <v>3.6100000000000003</v>
      </c>
      <c r="N65">
        <v>21.18</v>
      </c>
      <c r="O65">
        <v>21.41</v>
      </c>
      <c r="P65">
        <v>19.619999999999997</v>
      </c>
      <c r="Q65">
        <v>16.800000000000004</v>
      </c>
      <c r="R65" t="s">
        <v>4569</v>
      </c>
    </row>
    <row r="66" spans="11:18" x14ac:dyDescent="0.3">
      <c r="K66" t="s">
        <v>1273</v>
      </c>
      <c r="L66">
        <v>19.309999999999999</v>
      </c>
      <c r="M66">
        <v>2.4400000000000004</v>
      </c>
      <c r="N66">
        <v>6.13</v>
      </c>
      <c r="O66">
        <v>5.1199999999999992</v>
      </c>
      <c r="P66">
        <v>0</v>
      </c>
      <c r="Q66">
        <v>5.62</v>
      </c>
      <c r="R66" t="s">
        <v>4570</v>
      </c>
    </row>
    <row r="67" spans="11:18" x14ac:dyDescent="0.3">
      <c r="K67" t="s">
        <v>417</v>
      </c>
      <c r="L67">
        <v>3.63</v>
      </c>
      <c r="M67">
        <v>1.48</v>
      </c>
      <c r="N67">
        <v>0</v>
      </c>
      <c r="O67">
        <v>2.08</v>
      </c>
      <c r="P67">
        <v>7.0000000000000007E-2</v>
      </c>
      <c r="Q67">
        <v>0</v>
      </c>
      <c r="R67" t="s">
        <v>752</v>
      </c>
    </row>
    <row r="68" spans="11:18" x14ac:dyDescent="0.3">
      <c r="K68" t="s">
        <v>944</v>
      </c>
      <c r="L68">
        <v>1.5000000000000002</v>
      </c>
      <c r="M68">
        <v>0.08</v>
      </c>
      <c r="N68">
        <v>1.34</v>
      </c>
      <c r="O68">
        <v>0</v>
      </c>
      <c r="P68">
        <v>0.08</v>
      </c>
      <c r="Q68">
        <v>0</v>
      </c>
      <c r="R68" t="s">
        <v>4570</v>
      </c>
    </row>
    <row r="69" spans="11:18" x14ac:dyDescent="0.3">
      <c r="K69" t="s">
        <v>430</v>
      </c>
      <c r="L69">
        <v>209.3</v>
      </c>
      <c r="M69">
        <v>20.329999999999998</v>
      </c>
      <c r="N69">
        <v>51.47</v>
      </c>
      <c r="O69">
        <v>48.03</v>
      </c>
      <c r="P69">
        <v>50.900000000000006</v>
      </c>
      <c r="Q69">
        <v>38.57</v>
      </c>
      <c r="R69" t="s">
        <v>4571</v>
      </c>
    </row>
    <row r="70" spans="11:18" x14ac:dyDescent="0.3">
      <c r="K70" t="s">
        <v>767</v>
      </c>
      <c r="L70">
        <v>1.38</v>
      </c>
      <c r="M70">
        <v>0.25</v>
      </c>
      <c r="N70">
        <v>0.08</v>
      </c>
      <c r="O70">
        <v>0.37</v>
      </c>
      <c r="P70">
        <v>0.33</v>
      </c>
      <c r="Q70">
        <v>0.35</v>
      </c>
      <c r="R70" t="s">
        <v>752</v>
      </c>
    </row>
    <row r="71" spans="11:18" x14ac:dyDescent="0.3">
      <c r="K71" t="s">
        <v>455</v>
      </c>
      <c r="L71">
        <v>84.719999999999985</v>
      </c>
      <c r="M71">
        <v>0.33</v>
      </c>
      <c r="N71">
        <v>19.03</v>
      </c>
      <c r="O71">
        <v>32.969999999999985</v>
      </c>
      <c r="P71">
        <v>18.649999999999999</v>
      </c>
      <c r="Q71">
        <v>13.74</v>
      </c>
      <c r="R71" t="s">
        <v>4572</v>
      </c>
    </row>
    <row r="72" spans="11:18" x14ac:dyDescent="0.3">
      <c r="K72" t="s">
        <v>458</v>
      </c>
      <c r="L72">
        <v>9.120000000000001</v>
      </c>
      <c r="M72">
        <v>0.78</v>
      </c>
      <c r="N72">
        <v>0.80999999999999994</v>
      </c>
      <c r="O72">
        <v>1.7800000000000002</v>
      </c>
      <c r="P72">
        <v>2.62</v>
      </c>
      <c r="Q72">
        <v>3.13</v>
      </c>
      <c r="R72" t="s">
        <v>4552</v>
      </c>
    </row>
    <row r="73" spans="11:18" x14ac:dyDescent="0.3">
      <c r="K73" t="s">
        <v>922</v>
      </c>
      <c r="L73">
        <v>8.1199999999999992</v>
      </c>
      <c r="M73">
        <v>0.87</v>
      </c>
      <c r="N73">
        <v>0.42000000000000004</v>
      </c>
      <c r="O73">
        <v>6.14</v>
      </c>
      <c r="P73">
        <v>0.27</v>
      </c>
      <c r="Q73">
        <v>0.42</v>
      </c>
      <c r="R73" t="s">
        <v>4573</v>
      </c>
    </row>
    <row r="74" spans="11:18" x14ac:dyDescent="0.3">
      <c r="K74" t="s">
        <v>471</v>
      </c>
      <c r="L74">
        <v>12.5</v>
      </c>
      <c r="M74">
        <v>0</v>
      </c>
      <c r="N74">
        <v>2.75</v>
      </c>
      <c r="O74">
        <v>3</v>
      </c>
      <c r="P74">
        <v>3.75</v>
      </c>
      <c r="Q74">
        <v>3</v>
      </c>
      <c r="R74" t="s">
        <v>1005</v>
      </c>
    </row>
    <row r="75" spans="11:18" x14ac:dyDescent="0.3">
      <c r="K75" t="s">
        <v>479</v>
      </c>
      <c r="L75">
        <v>1.5899999999999999</v>
      </c>
      <c r="M75">
        <v>0</v>
      </c>
      <c r="N75">
        <v>0.32</v>
      </c>
      <c r="O75">
        <v>0.05</v>
      </c>
      <c r="P75">
        <v>0</v>
      </c>
      <c r="Q75">
        <v>1.22</v>
      </c>
      <c r="R75" t="s">
        <v>4557</v>
      </c>
    </row>
    <row r="76" spans="11:18" x14ac:dyDescent="0.3">
      <c r="K76" t="s">
        <v>805</v>
      </c>
      <c r="L76">
        <v>0.02</v>
      </c>
      <c r="M76">
        <v>0.02</v>
      </c>
      <c r="N76">
        <v>0</v>
      </c>
      <c r="O76">
        <v>0</v>
      </c>
      <c r="P76">
        <v>0</v>
      </c>
      <c r="Q76">
        <v>0</v>
      </c>
      <c r="R76" t="s">
        <v>803</v>
      </c>
    </row>
    <row r="77" spans="11:18" x14ac:dyDescent="0.3">
      <c r="K77" t="s">
        <v>817</v>
      </c>
      <c r="L77">
        <v>19.340000000000003</v>
      </c>
      <c r="M77">
        <v>7.0200000000000005</v>
      </c>
      <c r="N77">
        <v>1.75</v>
      </c>
      <c r="O77">
        <v>1</v>
      </c>
      <c r="P77">
        <v>0</v>
      </c>
      <c r="Q77">
        <v>9.5700000000000021</v>
      </c>
      <c r="R77" t="s">
        <v>4574</v>
      </c>
    </row>
    <row r="78" spans="11:18" x14ac:dyDescent="0.3">
      <c r="K78" t="s">
        <v>814</v>
      </c>
      <c r="L78">
        <v>16.37</v>
      </c>
      <c r="M78">
        <v>1.22</v>
      </c>
      <c r="N78">
        <v>2.5</v>
      </c>
      <c r="O78">
        <v>1.58</v>
      </c>
      <c r="P78">
        <v>2.08</v>
      </c>
      <c r="Q78">
        <v>8.99</v>
      </c>
      <c r="R78" t="s">
        <v>4575</v>
      </c>
    </row>
    <row r="79" spans="11:18" x14ac:dyDescent="0.3">
      <c r="K79" t="s">
        <v>815</v>
      </c>
      <c r="L79">
        <v>27.220000000000002</v>
      </c>
      <c r="M79">
        <v>2.1100000000000003</v>
      </c>
      <c r="N79">
        <v>3.7199999999999993</v>
      </c>
      <c r="O79">
        <v>4.7300000000000004</v>
      </c>
      <c r="P79">
        <v>6.47</v>
      </c>
      <c r="Q79">
        <v>10.190000000000001</v>
      </c>
      <c r="R79" t="s">
        <v>4575</v>
      </c>
    </row>
    <row r="80" spans="11:18" x14ac:dyDescent="0.3">
      <c r="K80" t="s">
        <v>811</v>
      </c>
      <c r="L80">
        <v>21.93</v>
      </c>
      <c r="M80">
        <v>0.95000000000000007</v>
      </c>
      <c r="N80">
        <v>2.9300000000000006</v>
      </c>
      <c r="O80">
        <v>9.0500000000000007</v>
      </c>
      <c r="P80">
        <v>2.4300000000000002</v>
      </c>
      <c r="Q80">
        <v>6.57</v>
      </c>
      <c r="R80" t="s">
        <v>4576</v>
      </c>
    </row>
    <row r="81" spans="11:18" x14ac:dyDescent="0.3">
      <c r="K81" t="s">
        <v>813</v>
      </c>
      <c r="L81">
        <v>23.580000000000002</v>
      </c>
      <c r="M81">
        <v>1.98</v>
      </c>
      <c r="N81">
        <v>11.450000000000001</v>
      </c>
      <c r="O81">
        <v>4.38</v>
      </c>
      <c r="P81">
        <v>3.9700000000000006</v>
      </c>
      <c r="Q81">
        <v>1.8</v>
      </c>
      <c r="R81" t="s">
        <v>4576</v>
      </c>
    </row>
    <row r="82" spans="11:18" x14ac:dyDescent="0.3">
      <c r="K82" t="s">
        <v>1069</v>
      </c>
      <c r="L82">
        <v>4.7399999999999993</v>
      </c>
      <c r="M82">
        <v>0.17</v>
      </c>
      <c r="N82">
        <v>1.41</v>
      </c>
      <c r="O82">
        <v>0.63</v>
      </c>
      <c r="P82">
        <v>1.64</v>
      </c>
      <c r="Q82">
        <v>0.89</v>
      </c>
      <c r="R82" t="s">
        <v>4575</v>
      </c>
    </row>
    <row r="83" spans="11:18" x14ac:dyDescent="0.3">
      <c r="K83" t="s">
        <v>879</v>
      </c>
      <c r="L83">
        <v>187.10000000000002</v>
      </c>
      <c r="M83">
        <v>9.51</v>
      </c>
      <c r="N83">
        <v>58.03</v>
      </c>
      <c r="O83">
        <v>33.079999999999991</v>
      </c>
      <c r="P83">
        <v>44.339999999999996</v>
      </c>
      <c r="Q83">
        <v>42.140000000000008</v>
      </c>
      <c r="R83" t="s">
        <v>4577</v>
      </c>
    </row>
    <row r="84" spans="11:18" x14ac:dyDescent="0.3">
      <c r="K84" t="s">
        <v>770</v>
      </c>
      <c r="L84">
        <v>4.83</v>
      </c>
      <c r="M84">
        <v>0.5</v>
      </c>
      <c r="N84">
        <v>2.5499999999999998</v>
      </c>
      <c r="O84">
        <v>0.53</v>
      </c>
      <c r="P84">
        <v>1.07</v>
      </c>
      <c r="Q84">
        <v>0.18</v>
      </c>
      <c r="R84" t="s">
        <v>4578</v>
      </c>
    </row>
    <row r="85" spans="11:18" x14ac:dyDescent="0.3">
      <c r="K85" t="s">
        <v>507</v>
      </c>
      <c r="L85">
        <v>7.99</v>
      </c>
      <c r="M85">
        <v>1.38</v>
      </c>
      <c r="N85">
        <v>1.73</v>
      </c>
      <c r="O85">
        <v>3.38</v>
      </c>
      <c r="P85">
        <v>1.5</v>
      </c>
      <c r="Q85">
        <v>0</v>
      </c>
      <c r="R85" t="s">
        <v>4570</v>
      </c>
    </row>
    <row r="86" spans="11:18" x14ac:dyDescent="0.3">
      <c r="K86" t="s">
        <v>508</v>
      </c>
      <c r="L86">
        <v>1.36</v>
      </c>
      <c r="M86">
        <v>0</v>
      </c>
      <c r="N86">
        <v>0</v>
      </c>
      <c r="O86">
        <v>0</v>
      </c>
      <c r="P86">
        <v>1.36</v>
      </c>
      <c r="Q86">
        <v>0</v>
      </c>
      <c r="R86" t="s">
        <v>4527</v>
      </c>
    </row>
    <row r="87" spans="11:18" x14ac:dyDescent="0.3">
      <c r="K87" t="s">
        <v>10</v>
      </c>
      <c r="L87">
        <v>8.68</v>
      </c>
      <c r="M87">
        <v>0.55000000000000004</v>
      </c>
      <c r="N87">
        <v>2.75</v>
      </c>
      <c r="O87">
        <v>0.56000000000000005</v>
      </c>
      <c r="P87">
        <v>2.0699999999999998</v>
      </c>
      <c r="Q87">
        <v>2.75</v>
      </c>
      <c r="R87" t="s">
        <v>4570</v>
      </c>
    </row>
    <row r="88" spans="11:18" x14ac:dyDescent="0.3">
      <c r="K88" t="s">
        <v>511</v>
      </c>
      <c r="L88">
        <v>0.05</v>
      </c>
      <c r="M88">
        <v>0</v>
      </c>
      <c r="N88">
        <v>0</v>
      </c>
      <c r="O88">
        <v>0</v>
      </c>
      <c r="P88">
        <v>0</v>
      </c>
      <c r="Q88">
        <v>0.05</v>
      </c>
      <c r="R88" t="s">
        <v>929</v>
      </c>
    </row>
    <row r="89" spans="11:18" x14ac:dyDescent="0.3">
      <c r="K89" t="s">
        <v>985</v>
      </c>
      <c r="L89">
        <v>34.35</v>
      </c>
      <c r="M89">
        <v>1.02</v>
      </c>
      <c r="N89">
        <v>11.219999999999999</v>
      </c>
      <c r="O89">
        <v>8.0100000000000016</v>
      </c>
      <c r="P89">
        <v>7.66</v>
      </c>
      <c r="Q89">
        <v>6.4399999999999995</v>
      </c>
      <c r="R89" t="s">
        <v>4579</v>
      </c>
    </row>
    <row r="90" spans="11:18" x14ac:dyDescent="0.3">
      <c r="K90" t="s">
        <v>516</v>
      </c>
      <c r="L90">
        <v>51.42</v>
      </c>
      <c r="M90">
        <v>5.16</v>
      </c>
      <c r="N90">
        <v>11.41</v>
      </c>
      <c r="O90">
        <v>10.42</v>
      </c>
      <c r="P90">
        <v>16.66</v>
      </c>
      <c r="Q90">
        <v>7.77</v>
      </c>
      <c r="R90" t="s">
        <v>4580</v>
      </c>
    </row>
    <row r="91" spans="11:18" x14ac:dyDescent="0.3">
      <c r="K91" t="s">
        <v>519</v>
      </c>
      <c r="L91">
        <v>0.42</v>
      </c>
      <c r="M91">
        <v>0</v>
      </c>
      <c r="N91">
        <v>0.35</v>
      </c>
      <c r="O91">
        <v>0</v>
      </c>
      <c r="P91">
        <v>0</v>
      </c>
      <c r="Q91">
        <v>7.0000000000000007E-2</v>
      </c>
      <c r="R91" t="s">
        <v>4570</v>
      </c>
    </row>
    <row r="92" spans="11:18" x14ac:dyDescent="0.3">
      <c r="K92" t="s">
        <v>898</v>
      </c>
      <c r="L92">
        <v>57.709999999999994</v>
      </c>
      <c r="M92">
        <v>6.4700000000000006</v>
      </c>
      <c r="N92">
        <v>24.539999999999996</v>
      </c>
      <c r="O92">
        <v>11.110000000000001</v>
      </c>
      <c r="P92">
        <v>10.47</v>
      </c>
      <c r="Q92">
        <v>5.1199999999999992</v>
      </c>
      <c r="R92" t="s">
        <v>4581</v>
      </c>
    </row>
    <row r="93" spans="11:18" x14ac:dyDescent="0.3">
      <c r="K93" t="s">
        <v>1876</v>
      </c>
      <c r="L93">
        <v>3.5</v>
      </c>
      <c r="M93">
        <v>0</v>
      </c>
      <c r="N93">
        <v>3</v>
      </c>
      <c r="O93">
        <v>0</v>
      </c>
      <c r="P93">
        <v>0</v>
      </c>
      <c r="Q93">
        <v>0.5</v>
      </c>
      <c r="R93" t="s">
        <v>4582</v>
      </c>
    </row>
    <row r="94" spans="11:18" x14ac:dyDescent="0.3">
      <c r="K94" t="s">
        <v>529</v>
      </c>
      <c r="L94">
        <v>0.67</v>
      </c>
      <c r="M94">
        <v>0</v>
      </c>
      <c r="N94">
        <v>0</v>
      </c>
      <c r="O94">
        <v>0.67</v>
      </c>
      <c r="P94">
        <v>0</v>
      </c>
      <c r="Q94">
        <v>0</v>
      </c>
      <c r="R94" t="s">
        <v>825</v>
      </c>
    </row>
    <row r="95" spans="11:18" x14ac:dyDescent="0.3">
      <c r="K95" t="s">
        <v>531</v>
      </c>
      <c r="L95">
        <v>0.57999999999999996</v>
      </c>
      <c r="M95">
        <v>0</v>
      </c>
      <c r="N95">
        <v>0.57999999999999996</v>
      </c>
      <c r="O95">
        <v>0</v>
      </c>
      <c r="P95">
        <v>0</v>
      </c>
      <c r="Q95">
        <v>0</v>
      </c>
      <c r="R95" t="s">
        <v>825</v>
      </c>
    </row>
    <row r="96" spans="11:18" x14ac:dyDescent="0.3">
      <c r="K96" t="s">
        <v>885</v>
      </c>
      <c r="L96">
        <v>15.16</v>
      </c>
      <c r="M96">
        <v>1.4499999999999997</v>
      </c>
      <c r="N96">
        <v>2.58</v>
      </c>
      <c r="O96">
        <v>3.4000000000000004</v>
      </c>
      <c r="P96">
        <v>4.33</v>
      </c>
      <c r="Q96">
        <v>3.4</v>
      </c>
      <c r="R96" t="s">
        <v>4583</v>
      </c>
    </row>
    <row r="97" spans="11:18" x14ac:dyDescent="0.3">
      <c r="K97" t="s">
        <v>882</v>
      </c>
      <c r="L97">
        <v>37.15</v>
      </c>
      <c r="M97">
        <v>5.9300000000000006</v>
      </c>
      <c r="N97">
        <v>9.370000000000001</v>
      </c>
      <c r="O97">
        <v>11.35</v>
      </c>
      <c r="P97">
        <v>2.33</v>
      </c>
      <c r="Q97">
        <v>8.17</v>
      </c>
      <c r="R97" t="s">
        <v>877</v>
      </c>
    </row>
    <row r="98" spans="11:18" x14ac:dyDescent="0.3">
      <c r="K98" t="s">
        <v>553</v>
      </c>
      <c r="L98">
        <v>9.24</v>
      </c>
      <c r="M98">
        <v>1.98</v>
      </c>
      <c r="N98">
        <v>3.1599999999999997</v>
      </c>
      <c r="O98">
        <v>1.61</v>
      </c>
      <c r="P98">
        <v>2.2200000000000002</v>
      </c>
      <c r="Q98">
        <v>0.27</v>
      </c>
      <c r="R98" t="s">
        <v>4552</v>
      </c>
    </row>
    <row r="99" spans="11:18" x14ac:dyDescent="0.3">
      <c r="K99" t="s">
        <v>561</v>
      </c>
      <c r="L99">
        <v>16.2</v>
      </c>
      <c r="M99">
        <v>1.53</v>
      </c>
      <c r="N99">
        <v>1.85</v>
      </c>
      <c r="O99">
        <v>6.5000000000000009</v>
      </c>
      <c r="P99">
        <v>5.0999999999999996</v>
      </c>
      <c r="Q99">
        <v>1.22</v>
      </c>
      <c r="R99" t="s">
        <v>4584</v>
      </c>
    </row>
    <row r="100" spans="11:18" x14ac:dyDescent="0.3">
      <c r="K100" t="s">
        <v>562</v>
      </c>
      <c r="L100">
        <v>50.46</v>
      </c>
      <c r="M100">
        <v>3.2</v>
      </c>
      <c r="N100">
        <v>10.580000000000002</v>
      </c>
      <c r="O100">
        <v>13.4</v>
      </c>
      <c r="P100">
        <v>11.91</v>
      </c>
      <c r="Q100">
        <v>11.37</v>
      </c>
      <c r="R100" t="s">
        <v>4585</v>
      </c>
    </row>
    <row r="101" spans="11:18" x14ac:dyDescent="0.3">
      <c r="K101" t="s">
        <v>910</v>
      </c>
      <c r="L101">
        <v>9.8800000000000008</v>
      </c>
      <c r="M101">
        <v>0.81</v>
      </c>
      <c r="N101">
        <v>0.88</v>
      </c>
      <c r="O101">
        <v>1.22</v>
      </c>
      <c r="P101">
        <v>6.3100000000000005</v>
      </c>
      <c r="Q101">
        <v>0.66</v>
      </c>
      <c r="R101" t="s">
        <v>4580</v>
      </c>
    </row>
    <row r="102" spans="11:18" x14ac:dyDescent="0.3">
      <c r="K102" t="s">
        <v>1172</v>
      </c>
      <c r="L102">
        <v>2.56</v>
      </c>
      <c r="M102">
        <v>0.17</v>
      </c>
      <c r="N102">
        <v>1.9900000000000002</v>
      </c>
      <c r="O102">
        <v>0.4</v>
      </c>
      <c r="P102">
        <v>0</v>
      </c>
      <c r="Q102">
        <v>0</v>
      </c>
      <c r="R102" t="s">
        <v>4586</v>
      </c>
    </row>
    <row r="103" spans="11:18" x14ac:dyDescent="0.3">
      <c r="K103" t="s">
        <v>2987</v>
      </c>
      <c r="L103">
        <v>0.34</v>
      </c>
      <c r="M103">
        <v>0</v>
      </c>
      <c r="N103">
        <v>0</v>
      </c>
      <c r="O103">
        <v>0.17</v>
      </c>
      <c r="P103">
        <v>0.17</v>
      </c>
      <c r="Q103">
        <v>0</v>
      </c>
      <c r="R103" t="s">
        <v>810</v>
      </c>
    </row>
    <row r="104" spans="11:18" x14ac:dyDescent="0.3">
      <c r="K104" t="s">
        <v>563</v>
      </c>
      <c r="L104">
        <v>13.38</v>
      </c>
      <c r="M104">
        <v>1.46</v>
      </c>
      <c r="N104">
        <v>1.58</v>
      </c>
      <c r="O104">
        <v>2.6899999999999995</v>
      </c>
      <c r="P104">
        <v>6.6500000000000012</v>
      </c>
      <c r="Q104">
        <v>1</v>
      </c>
      <c r="R104" t="s">
        <v>4587</v>
      </c>
    </row>
    <row r="105" spans="11:18" x14ac:dyDescent="0.3">
      <c r="K105" t="s">
        <v>564</v>
      </c>
      <c r="L105">
        <v>26.950000000000003</v>
      </c>
      <c r="M105">
        <v>0</v>
      </c>
      <c r="N105">
        <v>5.77</v>
      </c>
      <c r="O105">
        <v>9.5</v>
      </c>
      <c r="P105">
        <v>5.37</v>
      </c>
      <c r="Q105">
        <v>6.3100000000000005</v>
      </c>
      <c r="R105" t="s">
        <v>4545</v>
      </c>
    </row>
    <row r="106" spans="11:18" x14ac:dyDescent="0.3">
      <c r="K106" t="s">
        <v>570</v>
      </c>
      <c r="L106">
        <v>0.1</v>
      </c>
      <c r="M106">
        <v>0.1</v>
      </c>
      <c r="N106">
        <v>0</v>
      </c>
      <c r="O106">
        <v>0</v>
      </c>
      <c r="P106">
        <v>0</v>
      </c>
      <c r="Q106">
        <v>0</v>
      </c>
      <c r="R106" t="s">
        <v>1074</v>
      </c>
    </row>
    <row r="107" spans="11:18" x14ac:dyDescent="0.3">
      <c r="K107" t="s">
        <v>2261</v>
      </c>
      <c r="L107">
        <v>5.92</v>
      </c>
      <c r="M107">
        <v>0</v>
      </c>
      <c r="N107">
        <v>0</v>
      </c>
      <c r="O107">
        <v>2.7199999999999998</v>
      </c>
      <c r="P107">
        <v>1</v>
      </c>
      <c r="Q107">
        <v>2.2000000000000002</v>
      </c>
      <c r="R107" t="s">
        <v>4588</v>
      </c>
    </row>
    <row r="108" spans="11:18" x14ac:dyDescent="0.3">
      <c r="K108" t="s">
        <v>1409</v>
      </c>
      <c r="L108">
        <v>2.33</v>
      </c>
      <c r="M108">
        <v>0</v>
      </c>
      <c r="N108">
        <v>2.33</v>
      </c>
      <c r="O108">
        <v>0</v>
      </c>
      <c r="P108">
        <v>0</v>
      </c>
      <c r="Q108">
        <v>0</v>
      </c>
      <c r="R108" t="s">
        <v>959</v>
      </c>
    </row>
    <row r="109" spans="11:18" x14ac:dyDescent="0.3">
      <c r="K109" t="s">
        <v>717</v>
      </c>
      <c r="L109">
        <v>24.439999999999998</v>
      </c>
      <c r="M109">
        <v>1.23</v>
      </c>
      <c r="N109">
        <v>7.6000000000000005</v>
      </c>
      <c r="O109">
        <v>1.5699999999999998</v>
      </c>
      <c r="P109">
        <v>9.14</v>
      </c>
      <c r="Q109">
        <v>4.9000000000000004</v>
      </c>
      <c r="R109" t="s">
        <v>4589</v>
      </c>
    </row>
    <row r="110" spans="11:18" x14ac:dyDescent="0.3">
      <c r="K110" t="s">
        <v>583</v>
      </c>
      <c r="L110">
        <v>26.96</v>
      </c>
      <c r="M110">
        <v>0</v>
      </c>
      <c r="N110">
        <v>3.89</v>
      </c>
      <c r="O110">
        <v>0</v>
      </c>
      <c r="P110">
        <v>23.07</v>
      </c>
      <c r="Q110">
        <v>0</v>
      </c>
      <c r="R110" t="s">
        <v>4590</v>
      </c>
    </row>
    <row r="111" spans="11:18" x14ac:dyDescent="0.3">
      <c r="K111" t="s">
        <v>585</v>
      </c>
      <c r="L111">
        <v>10.120000000000001</v>
      </c>
      <c r="M111">
        <v>1.58</v>
      </c>
      <c r="N111">
        <v>4.83</v>
      </c>
      <c r="O111">
        <v>2.35</v>
      </c>
      <c r="P111">
        <v>0.48</v>
      </c>
      <c r="Q111">
        <v>0.88000000000000012</v>
      </c>
      <c r="R111" t="s">
        <v>4591</v>
      </c>
    </row>
    <row r="112" spans="11:18" x14ac:dyDescent="0.3">
      <c r="K112" t="s">
        <v>589</v>
      </c>
      <c r="L112">
        <v>86.25</v>
      </c>
      <c r="M112">
        <v>21.439999999999998</v>
      </c>
      <c r="N112">
        <v>10.53</v>
      </c>
      <c r="O112">
        <v>12.799999999999997</v>
      </c>
      <c r="P112">
        <v>21.520000000000003</v>
      </c>
      <c r="Q112">
        <v>19.96</v>
      </c>
      <c r="R112" t="s">
        <v>4592</v>
      </c>
    </row>
    <row r="113" spans="11:18" x14ac:dyDescent="0.3">
      <c r="K113" t="s">
        <v>757</v>
      </c>
      <c r="L113">
        <v>81.220000000000013</v>
      </c>
      <c r="M113">
        <v>9.4</v>
      </c>
      <c r="N113">
        <v>22.76</v>
      </c>
      <c r="O113">
        <v>30.95</v>
      </c>
      <c r="P113">
        <v>12.100000000000001</v>
      </c>
      <c r="Q113">
        <v>6.0100000000000007</v>
      </c>
      <c r="R113" t="s">
        <v>4593</v>
      </c>
    </row>
    <row r="114" spans="11:18" x14ac:dyDescent="0.3">
      <c r="K114" t="s">
        <v>602</v>
      </c>
      <c r="L114">
        <v>47.499999999999993</v>
      </c>
      <c r="M114">
        <v>5.18</v>
      </c>
      <c r="N114">
        <v>6.0600000000000005</v>
      </c>
      <c r="O114">
        <v>11.900000000000002</v>
      </c>
      <c r="P114">
        <v>14.739999999999998</v>
      </c>
      <c r="Q114">
        <v>9.6199999999999992</v>
      </c>
      <c r="R114" t="s">
        <v>4594</v>
      </c>
    </row>
    <row r="115" spans="11:18" x14ac:dyDescent="0.3">
      <c r="K115" t="s">
        <v>606</v>
      </c>
      <c r="L115">
        <v>2.37</v>
      </c>
      <c r="M115">
        <v>0</v>
      </c>
      <c r="N115">
        <v>0</v>
      </c>
      <c r="O115">
        <v>0</v>
      </c>
      <c r="P115">
        <v>0.17</v>
      </c>
      <c r="Q115">
        <v>2.2000000000000002</v>
      </c>
      <c r="R115" t="s">
        <v>4527</v>
      </c>
    </row>
    <row r="116" spans="11:18" x14ac:dyDescent="0.3">
      <c r="K116" t="s">
        <v>2435</v>
      </c>
      <c r="L116">
        <v>11.17</v>
      </c>
      <c r="M116">
        <v>0</v>
      </c>
      <c r="N116">
        <v>0</v>
      </c>
      <c r="O116">
        <v>9.5</v>
      </c>
      <c r="P116">
        <v>1.42</v>
      </c>
      <c r="Q116">
        <v>0.25</v>
      </c>
      <c r="R116" t="s">
        <v>4580</v>
      </c>
    </row>
    <row r="117" spans="11:18" x14ac:dyDescent="0.3">
      <c r="K117" t="s">
        <v>2867</v>
      </c>
      <c r="L117">
        <v>0.43</v>
      </c>
      <c r="M117">
        <v>0</v>
      </c>
      <c r="N117">
        <v>0</v>
      </c>
      <c r="O117">
        <v>0.43</v>
      </c>
      <c r="P117">
        <v>0</v>
      </c>
      <c r="Q117">
        <v>0</v>
      </c>
      <c r="R117" t="s">
        <v>4527</v>
      </c>
    </row>
    <row r="118" spans="11:18" x14ac:dyDescent="0.3">
      <c r="K118" t="s">
        <v>623</v>
      </c>
      <c r="L118">
        <v>11.74</v>
      </c>
      <c r="M118">
        <v>0</v>
      </c>
      <c r="N118">
        <v>2.0900000000000003</v>
      </c>
      <c r="O118">
        <v>7.5</v>
      </c>
      <c r="P118">
        <v>1.65</v>
      </c>
      <c r="Q118">
        <v>0.5</v>
      </c>
      <c r="R118" t="s">
        <v>4527</v>
      </c>
    </row>
    <row r="119" spans="11:18" x14ac:dyDescent="0.3">
      <c r="K119" t="s">
        <v>2797</v>
      </c>
      <c r="L119">
        <v>5.57</v>
      </c>
      <c r="M119">
        <v>0</v>
      </c>
      <c r="N119">
        <v>0</v>
      </c>
      <c r="O119">
        <v>0.92</v>
      </c>
      <c r="P119">
        <v>3.77</v>
      </c>
      <c r="Q119">
        <v>0.88000000000000012</v>
      </c>
      <c r="R119" t="s">
        <v>4580</v>
      </c>
    </row>
    <row r="120" spans="11:18" x14ac:dyDescent="0.3">
      <c r="K120" t="s">
        <v>624</v>
      </c>
      <c r="L120">
        <v>2.93</v>
      </c>
      <c r="M120">
        <v>0</v>
      </c>
      <c r="N120">
        <v>0</v>
      </c>
      <c r="O120">
        <v>0</v>
      </c>
      <c r="P120">
        <v>1.33</v>
      </c>
      <c r="Q120">
        <v>1.6</v>
      </c>
      <c r="R120" t="s">
        <v>4527</v>
      </c>
    </row>
    <row r="121" spans="11:18" x14ac:dyDescent="0.3">
      <c r="K121" t="s">
        <v>3357</v>
      </c>
      <c r="L121">
        <v>1.28</v>
      </c>
      <c r="M121">
        <v>0</v>
      </c>
      <c r="N121">
        <v>0</v>
      </c>
      <c r="O121">
        <v>0</v>
      </c>
      <c r="P121">
        <v>1.2</v>
      </c>
      <c r="Q121">
        <v>0.08</v>
      </c>
      <c r="R121" t="s">
        <v>4527</v>
      </c>
    </row>
    <row r="122" spans="11:18" x14ac:dyDescent="0.3">
      <c r="K122" t="s">
        <v>626</v>
      </c>
      <c r="L122">
        <v>0.94000000000000006</v>
      </c>
      <c r="M122">
        <v>0</v>
      </c>
      <c r="N122">
        <v>0.32</v>
      </c>
      <c r="O122">
        <v>7.0000000000000007E-2</v>
      </c>
      <c r="P122">
        <v>0</v>
      </c>
      <c r="Q122">
        <v>0.55000000000000004</v>
      </c>
      <c r="R122" t="s">
        <v>4557</v>
      </c>
    </row>
    <row r="123" spans="11:18" x14ac:dyDescent="0.3">
      <c r="K123" t="s">
        <v>1340</v>
      </c>
      <c r="L123">
        <v>0.42000000000000004</v>
      </c>
      <c r="M123">
        <v>0</v>
      </c>
      <c r="N123">
        <v>0.17</v>
      </c>
      <c r="O123">
        <v>0</v>
      </c>
      <c r="P123">
        <v>0.25</v>
      </c>
      <c r="Q123">
        <v>0</v>
      </c>
      <c r="R123" t="s">
        <v>810</v>
      </c>
    </row>
    <row r="124" spans="11:18" x14ac:dyDescent="0.3">
      <c r="K124" t="s">
        <v>1342</v>
      </c>
      <c r="L124">
        <v>1.1600000000000001</v>
      </c>
      <c r="M124">
        <v>0</v>
      </c>
      <c r="N124">
        <v>0.25</v>
      </c>
      <c r="O124">
        <v>0.33</v>
      </c>
      <c r="P124">
        <v>0.57999999999999996</v>
      </c>
      <c r="Q124">
        <v>0</v>
      </c>
      <c r="R124" t="s">
        <v>810</v>
      </c>
    </row>
    <row r="125" spans="11:18" x14ac:dyDescent="0.3">
      <c r="K125" t="s">
        <v>1343</v>
      </c>
      <c r="L125">
        <v>0.59000000000000008</v>
      </c>
      <c r="M125">
        <v>0</v>
      </c>
      <c r="N125">
        <v>0.25</v>
      </c>
      <c r="O125">
        <v>0.17</v>
      </c>
      <c r="P125">
        <v>0.17</v>
      </c>
      <c r="Q125">
        <v>0</v>
      </c>
      <c r="R125" t="s">
        <v>810</v>
      </c>
    </row>
    <row r="126" spans="11:18" x14ac:dyDescent="0.3">
      <c r="K126" t="s">
        <v>628</v>
      </c>
      <c r="L126">
        <v>11.36</v>
      </c>
      <c r="M126">
        <v>0.47</v>
      </c>
      <c r="N126">
        <v>1.53</v>
      </c>
      <c r="O126">
        <v>1.9500000000000002</v>
      </c>
      <c r="P126">
        <v>4.2299999999999995</v>
      </c>
      <c r="Q126">
        <v>3.1799999999999997</v>
      </c>
      <c r="R126" t="s">
        <v>4595</v>
      </c>
    </row>
    <row r="127" spans="11:18" x14ac:dyDescent="0.3">
      <c r="K127" t="s">
        <v>630</v>
      </c>
      <c r="L127">
        <v>15.899999999999999</v>
      </c>
      <c r="M127">
        <v>0.44999999999999996</v>
      </c>
      <c r="N127">
        <v>7.6</v>
      </c>
      <c r="O127">
        <v>1.7</v>
      </c>
      <c r="P127">
        <v>3</v>
      </c>
      <c r="Q127">
        <v>3.15</v>
      </c>
      <c r="R127" t="s">
        <v>4596</v>
      </c>
    </row>
    <row r="128" spans="11:18" x14ac:dyDescent="0.3">
      <c r="K128" t="s">
        <v>632</v>
      </c>
      <c r="L128">
        <v>1.4300000000000002</v>
      </c>
      <c r="M128">
        <v>0</v>
      </c>
      <c r="N128">
        <v>0</v>
      </c>
      <c r="O128">
        <v>0</v>
      </c>
      <c r="P128">
        <v>1.4300000000000002</v>
      </c>
      <c r="Q128">
        <v>0</v>
      </c>
      <c r="R128" t="s">
        <v>4527</v>
      </c>
    </row>
    <row r="129" spans="11:18" x14ac:dyDescent="0.3">
      <c r="K129" t="s">
        <v>4202</v>
      </c>
      <c r="L129">
        <v>0.02</v>
      </c>
      <c r="M129">
        <v>0</v>
      </c>
      <c r="N129">
        <v>0</v>
      </c>
      <c r="O129">
        <v>0</v>
      </c>
      <c r="P129">
        <v>0</v>
      </c>
      <c r="Q129">
        <v>0.02</v>
      </c>
      <c r="R129" t="s">
        <v>803</v>
      </c>
    </row>
    <row r="130" spans="11:18" x14ac:dyDescent="0.3">
      <c r="K130" t="s">
        <v>640</v>
      </c>
      <c r="L130">
        <v>1.52</v>
      </c>
      <c r="M130">
        <v>0</v>
      </c>
      <c r="N130">
        <v>0</v>
      </c>
      <c r="O130">
        <v>1.5</v>
      </c>
      <c r="P130">
        <v>0.02</v>
      </c>
      <c r="Q130">
        <v>0</v>
      </c>
      <c r="R130" t="s">
        <v>4597</v>
      </c>
    </row>
    <row r="131" spans="11:18" x14ac:dyDescent="0.3">
      <c r="K131" t="s">
        <v>644</v>
      </c>
      <c r="L131">
        <v>4.5199999999999996</v>
      </c>
      <c r="M131">
        <v>1.53</v>
      </c>
      <c r="N131">
        <v>0</v>
      </c>
      <c r="O131">
        <v>1.0499999999999998</v>
      </c>
      <c r="P131">
        <v>1.76</v>
      </c>
      <c r="Q131">
        <v>0.18</v>
      </c>
      <c r="R131" t="s">
        <v>4527</v>
      </c>
    </row>
    <row r="132" spans="11:18" x14ac:dyDescent="0.3">
      <c r="K132" t="s">
        <v>646</v>
      </c>
      <c r="L132">
        <v>2.94</v>
      </c>
      <c r="M132">
        <v>0.83000000000000007</v>
      </c>
      <c r="N132">
        <v>0.23</v>
      </c>
      <c r="O132">
        <v>0.91</v>
      </c>
      <c r="P132">
        <v>0.67</v>
      </c>
      <c r="Q132">
        <v>0.3</v>
      </c>
      <c r="R132" t="s">
        <v>4598</v>
      </c>
    </row>
    <row r="133" spans="11:18" x14ac:dyDescent="0.3">
      <c r="K133" t="s">
        <v>654</v>
      </c>
      <c r="L133">
        <v>0.76</v>
      </c>
      <c r="M133">
        <v>0</v>
      </c>
      <c r="N133">
        <v>0.23</v>
      </c>
      <c r="O133">
        <v>0.30000000000000004</v>
      </c>
      <c r="P133">
        <v>0.22999999999999998</v>
      </c>
      <c r="Q133">
        <v>0</v>
      </c>
      <c r="R133" t="s">
        <v>4599</v>
      </c>
    </row>
    <row r="134" spans="11:18" x14ac:dyDescent="0.3">
      <c r="K134" t="s">
        <v>655</v>
      </c>
      <c r="L134">
        <v>28.2</v>
      </c>
      <c r="M134">
        <v>2.2599999999999998</v>
      </c>
      <c r="N134">
        <v>2.5299999999999998</v>
      </c>
      <c r="O134">
        <v>9.4799999999999986</v>
      </c>
      <c r="P134">
        <v>5.66</v>
      </c>
      <c r="Q134">
        <v>8.27</v>
      </c>
      <c r="R134" t="s">
        <v>4600</v>
      </c>
    </row>
    <row r="135" spans="11:18" x14ac:dyDescent="0.3">
      <c r="K135" t="s">
        <v>657</v>
      </c>
      <c r="L135">
        <v>1.7299999999999998</v>
      </c>
      <c r="M135">
        <v>0</v>
      </c>
      <c r="N135">
        <v>1.1299999999999999</v>
      </c>
      <c r="O135">
        <v>0.13</v>
      </c>
      <c r="P135">
        <v>0.47</v>
      </c>
      <c r="Q135">
        <v>0</v>
      </c>
      <c r="R135" t="s">
        <v>4601</v>
      </c>
    </row>
    <row r="136" spans="11:18" x14ac:dyDescent="0.3">
      <c r="K136" t="s">
        <v>659</v>
      </c>
      <c r="L136">
        <v>17.559999999999999</v>
      </c>
      <c r="M136">
        <v>1.27</v>
      </c>
      <c r="N136">
        <v>5.5399999999999991</v>
      </c>
      <c r="O136">
        <v>3.86</v>
      </c>
      <c r="P136">
        <v>5.03</v>
      </c>
      <c r="Q136">
        <v>1.86</v>
      </c>
      <c r="R136" t="s">
        <v>4602</v>
      </c>
    </row>
    <row r="137" spans="11:18" x14ac:dyDescent="0.3">
      <c r="K137" t="s">
        <v>664</v>
      </c>
      <c r="L137">
        <v>40.08</v>
      </c>
      <c r="M137">
        <v>1.1800000000000002</v>
      </c>
      <c r="N137">
        <v>10.25</v>
      </c>
      <c r="O137">
        <v>9.08</v>
      </c>
      <c r="P137">
        <v>9.0300000000000011</v>
      </c>
      <c r="Q137">
        <v>10.54</v>
      </c>
      <c r="R137" t="s">
        <v>4603</v>
      </c>
    </row>
    <row r="138" spans="11:18" x14ac:dyDescent="0.3">
      <c r="K138" t="s">
        <v>917</v>
      </c>
      <c r="L138">
        <v>6.58</v>
      </c>
      <c r="M138">
        <v>1.8800000000000001</v>
      </c>
      <c r="N138">
        <v>0.55000000000000004</v>
      </c>
      <c r="O138">
        <v>1.23</v>
      </c>
      <c r="P138">
        <v>1.37</v>
      </c>
      <c r="Q138">
        <v>1.55</v>
      </c>
      <c r="R138" t="s">
        <v>4604</v>
      </c>
    </row>
    <row r="139" spans="11:18" x14ac:dyDescent="0.3">
      <c r="K139" t="s">
        <v>671</v>
      </c>
      <c r="L139">
        <v>0.75</v>
      </c>
      <c r="M139">
        <v>0</v>
      </c>
      <c r="N139">
        <v>0</v>
      </c>
      <c r="O139">
        <v>0.25</v>
      </c>
      <c r="P139">
        <v>0</v>
      </c>
      <c r="Q139">
        <v>0.5</v>
      </c>
      <c r="R139" t="s">
        <v>1005</v>
      </c>
    </row>
    <row r="140" spans="11:18" x14ac:dyDescent="0.3">
      <c r="K140" t="s">
        <v>1989</v>
      </c>
      <c r="L140">
        <v>4.2900000000000009</v>
      </c>
      <c r="M140">
        <v>0</v>
      </c>
      <c r="N140">
        <v>2.8600000000000003</v>
      </c>
      <c r="O140">
        <v>0</v>
      </c>
      <c r="P140">
        <v>0</v>
      </c>
      <c r="Q140">
        <v>1.4300000000000002</v>
      </c>
      <c r="R140" t="s">
        <v>4605</v>
      </c>
    </row>
    <row r="141" spans="11:18" x14ac:dyDescent="0.3">
      <c r="K141" t="s">
        <v>687</v>
      </c>
      <c r="L141">
        <v>3.74</v>
      </c>
      <c r="M141">
        <v>0</v>
      </c>
      <c r="N141">
        <v>0</v>
      </c>
      <c r="O141">
        <v>2.16</v>
      </c>
      <c r="P141">
        <v>1.58</v>
      </c>
      <c r="Q141">
        <v>0</v>
      </c>
      <c r="R141" t="s">
        <v>810</v>
      </c>
    </row>
    <row r="142" spans="11:18" x14ac:dyDescent="0.3">
      <c r="K142" t="s">
        <v>690</v>
      </c>
      <c r="L142">
        <v>20.67</v>
      </c>
      <c r="M142">
        <v>0</v>
      </c>
      <c r="N142">
        <v>4.75</v>
      </c>
      <c r="O142">
        <v>7.7600000000000007</v>
      </c>
      <c r="P142">
        <v>3.8100000000000005</v>
      </c>
      <c r="Q142">
        <v>4.3500000000000005</v>
      </c>
      <c r="R142" t="s">
        <v>4545</v>
      </c>
    </row>
  </sheetData>
  <sortState xmlns:xlrd2="http://schemas.microsoft.com/office/spreadsheetml/2017/richdata2" ref="A2:H16">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4"/>
  <sheetViews>
    <sheetView zoomScale="85" zoomScaleNormal="85" workbookViewId="0">
      <selection activeCell="F12" sqref="F12"/>
    </sheetView>
  </sheetViews>
  <sheetFormatPr defaultRowHeight="14.4" x14ac:dyDescent="0.3"/>
  <cols>
    <col min="1" max="1" width="16.109375" bestFit="1" customWidth="1"/>
    <col min="2" max="2" width="11.77734375" customWidth="1"/>
    <col min="3" max="3" width="54.6640625" style="17"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42.77734375" customWidth="1"/>
    <col min="14" max="14" width="34.21875" customWidth="1"/>
    <col min="15" max="15" width="44.109375" customWidth="1"/>
    <col min="16" max="16" width="28.88671875" customWidth="1"/>
    <col min="17" max="17" width="25.5546875" customWidth="1"/>
  </cols>
  <sheetData>
    <row r="1" spans="1:17" x14ac:dyDescent="0.3">
      <c r="A1" s="1" t="s">
        <v>16</v>
      </c>
      <c r="B1" s="1" t="s">
        <v>17</v>
      </c>
      <c r="C1" s="17" t="s">
        <v>18</v>
      </c>
      <c r="D1" s="2" t="s">
        <v>29</v>
      </c>
      <c r="E1" s="2" t="s">
        <v>30</v>
      </c>
      <c r="F1" s="2" t="s">
        <v>31</v>
      </c>
      <c r="G1" s="2" t="s">
        <v>32</v>
      </c>
      <c r="J1" s="1" t="s">
        <v>16</v>
      </c>
      <c r="K1" s="1" t="s">
        <v>4522</v>
      </c>
      <c r="L1" s="17" t="s">
        <v>18</v>
      </c>
      <c r="M1" s="2" t="s">
        <v>29</v>
      </c>
      <c r="N1" s="2" t="s">
        <v>30</v>
      </c>
      <c r="O1" s="2" t="s">
        <v>31</v>
      </c>
      <c r="P1" s="2" t="s">
        <v>32</v>
      </c>
      <c r="Q1" s="2" t="s">
        <v>4516</v>
      </c>
    </row>
    <row r="2" spans="1:17" x14ac:dyDescent="0.3">
      <c r="A2" s="22" t="s">
        <v>21</v>
      </c>
      <c r="B2">
        <v>138.5</v>
      </c>
      <c r="D2" t="s">
        <v>743</v>
      </c>
      <c r="F2" t="s">
        <v>740</v>
      </c>
      <c r="G2" t="s">
        <v>741</v>
      </c>
      <c r="J2" t="s">
        <v>752</v>
      </c>
      <c r="K2">
        <v>168.06</v>
      </c>
      <c r="L2" s="17"/>
      <c r="M2" t="s">
        <v>4606</v>
      </c>
      <c r="N2" t="s">
        <v>4607</v>
      </c>
      <c r="O2" t="s">
        <v>4608</v>
      </c>
      <c r="P2" t="s">
        <v>4609</v>
      </c>
      <c r="Q2" t="s">
        <v>4610</v>
      </c>
    </row>
    <row r="3" spans="1:17" x14ac:dyDescent="0.3">
      <c r="A3" s="22" t="s">
        <v>33</v>
      </c>
      <c r="B3">
        <v>155</v>
      </c>
      <c r="D3" t="s">
        <v>739</v>
      </c>
      <c r="F3" t="s">
        <v>742</v>
      </c>
      <c r="J3" t="s">
        <v>1093</v>
      </c>
      <c r="K3">
        <v>65.16</v>
      </c>
      <c r="L3" s="17"/>
      <c r="M3" t="s">
        <v>4611</v>
      </c>
      <c r="N3" t="s">
        <v>4612</v>
      </c>
      <c r="O3" t="s">
        <v>4613</v>
      </c>
      <c r="P3" t="s">
        <v>4614</v>
      </c>
      <c r="Q3" t="s">
        <v>4615</v>
      </c>
    </row>
    <row r="4" spans="1:17" x14ac:dyDescent="0.3">
      <c r="A4" s="22" t="s">
        <v>876</v>
      </c>
      <c r="B4">
        <v>113.5</v>
      </c>
      <c r="D4" t="s">
        <v>743</v>
      </c>
      <c r="E4" t="s">
        <v>4843</v>
      </c>
      <c r="F4" t="s">
        <v>740</v>
      </c>
      <c r="G4" t="s">
        <v>741</v>
      </c>
      <c r="J4" t="s">
        <v>21</v>
      </c>
      <c r="K4">
        <v>169.17000000000002</v>
      </c>
      <c r="L4" s="17"/>
      <c r="M4" t="s">
        <v>4616</v>
      </c>
      <c r="N4" t="s">
        <v>4617</v>
      </c>
      <c r="O4" t="s">
        <v>4618</v>
      </c>
      <c r="P4" t="s">
        <v>4619</v>
      </c>
      <c r="Q4" t="s">
        <v>4620</v>
      </c>
    </row>
    <row r="5" spans="1:17" x14ac:dyDescent="0.3">
      <c r="A5" s="22" t="s">
        <v>34</v>
      </c>
      <c r="B5">
        <v>160</v>
      </c>
      <c r="J5" t="s">
        <v>783</v>
      </c>
      <c r="K5">
        <v>88.210000000000008</v>
      </c>
      <c r="M5" t="s">
        <v>4621</v>
      </c>
      <c r="N5" t="s">
        <v>4622</v>
      </c>
      <c r="O5" t="s">
        <v>4623</v>
      </c>
      <c r="P5" t="s">
        <v>4827</v>
      </c>
    </row>
    <row r="6" spans="1:17" x14ac:dyDescent="0.3">
      <c r="J6" t="s">
        <v>785</v>
      </c>
      <c r="K6">
        <v>184.1</v>
      </c>
      <c r="M6" t="s">
        <v>4621</v>
      </c>
      <c r="N6" t="s">
        <v>4624</v>
      </c>
      <c r="O6" t="s">
        <v>4625</v>
      </c>
      <c r="P6" t="s">
        <v>4626</v>
      </c>
      <c r="Q6" t="s">
        <v>4627</v>
      </c>
    </row>
    <row r="7" spans="1:17" x14ac:dyDescent="0.3">
      <c r="J7" t="s">
        <v>788</v>
      </c>
      <c r="K7">
        <v>177.5</v>
      </c>
      <c r="M7" t="s">
        <v>4628</v>
      </c>
      <c r="N7" t="s">
        <v>4629</v>
      </c>
      <c r="O7" t="s">
        <v>4630</v>
      </c>
      <c r="P7" t="s">
        <v>4631</v>
      </c>
      <c r="Q7" t="s">
        <v>4632</v>
      </c>
    </row>
    <row r="8" spans="1:17" x14ac:dyDescent="0.3">
      <c r="A8" s="1" t="s">
        <v>19</v>
      </c>
      <c r="B8">
        <f>AVERAGE(B2:B5)</f>
        <v>141.75</v>
      </c>
      <c r="J8" t="s">
        <v>792</v>
      </c>
      <c r="K8">
        <v>175.97</v>
      </c>
      <c r="M8" t="s">
        <v>4633</v>
      </c>
      <c r="N8" t="s">
        <v>4634</v>
      </c>
      <c r="O8" t="s">
        <v>4635</v>
      </c>
      <c r="P8" t="s">
        <v>4636</v>
      </c>
      <c r="Q8" t="s">
        <v>4637</v>
      </c>
    </row>
    <row r="9" spans="1:17" x14ac:dyDescent="0.3">
      <c r="J9" t="s">
        <v>796</v>
      </c>
      <c r="K9">
        <v>106.71000000000001</v>
      </c>
      <c r="M9" t="s">
        <v>4621</v>
      </c>
      <c r="N9" t="s">
        <v>4638</v>
      </c>
      <c r="O9" t="s">
        <v>4639</v>
      </c>
      <c r="P9" t="s">
        <v>4640</v>
      </c>
      <c r="Q9" t="s">
        <v>4828</v>
      </c>
    </row>
    <row r="10" spans="1:17" x14ac:dyDescent="0.3">
      <c r="J10" t="s">
        <v>801</v>
      </c>
      <c r="K10">
        <v>216.65000000000003</v>
      </c>
      <c r="M10" t="s">
        <v>4641</v>
      </c>
      <c r="N10" t="s">
        <v>4642</v>
      </c>
      <c r="O10" t="s">
        <v>4643</v>
      </c>
      <c r="P10" t="s">
        <v>4644</v>
      </c>
      <c r="Q10" t="s">
        <v>4645</v>
      </c>
    </row>
    <row r="11" spans="1:17" x14ac:dyDescent="0.3">
      <c r="J11" t="s">
        <v>803</v>
      </c>
      <c r="K11">
        <v>0.18</v>
      </c>
      <c r="M11" t="s">
        <v>4816</v>
      </c>
      <c r="N11" t="s">
        <v>4817</v>
      </c>
      <c r="O11" t="s">
        <v>4818</v>
      </c>
      <c r="P11" t="s">
        <v>4819</v>
      </c>
      <c r="Q11" t="s">
        <v>4829</v>
      </c>
    </row>
    <row r="12" spans="1:17" x14ac:dyDescent="0.3">
      <c r="J12" t="s">
        <v>806</v>
      </c>
      <c r="K12">
        <v>52</v>
      </c>
      <c r="M12" t="s">
        <v>4646</v>
      </c>
      <c r="N12" t="s">
        <v>4647</v>
      </c>
      <c r="O12" t="s">
        <v>4648</v>
      </c>
      <c r="P12" t="s">
        <v>4649</v>
      </c>
      <c r="Q12" t="s">
        <v>4650</v>
      </c>
    </row>
    <row r="13" spans="1:17" x14ac:dyDescent="0.3">
      <c r="J13" t="s">
        <v>808</v>
      </c>
      <c r="K13">
        <v>191.9</v>
      </c>
      <c r="M13" t="s">
        <v>4651</v>
      </c>
      <c r="N13" t="s">
        <v>4652</v>
      </c>
      <c r="O13" t="s">
        <v>4653</v>
      </c>
      <c r="P13" t="s">
        <v>4654</v>
      </c>
      <c r="Q13" t="s">
        <v>4655</v>
      </c>
    </row>
    <row r="14" spans="1:17" x14ac:dyDescent="0.3">
      <c r="J14" t="s">
        <v>810</v>
      </c>
      <c r="K14">
        <v>167.97000000000003</v>
      </c>
      <c r="M14" t="s">
        <v>4656</v>
      </c>
      <c r="N14" t="s">
        <v>4657</v>
      </c>
      <c r="O14" t="s">
        <v>4658</v>
      </c>
      <c r="P14" t="s">
        <v>4659</v>
      </c>
      <c r="Q14" t="s">
        <v>4660</v>
      </c>
    </row>
    <row r="15" spans="1:17" x14ac:dyDescent="0.3">
      <c r="A15" s="1"/>
      <c r="J15" t="s">
        <v>225</v>
      </c>
      <c r="K15">
        <v>26.25</v>
      </c>
      <c r="M15" t="s">
        <v>4830</v>
      </c>
      <c r="N15" t="s">
        <v>4831</v>
      </c>
      <c r="O15" t="s">
        <v>4832</v>
      </c>
      <c r="P15" t="s">
        <v>4833</v>
      </c>
      <c r="Q15" t="s">
        <v>4834</v>
      </c>
    </row>
    <row r="16" spans="1:17" x14ac:dyDescent="0.3">
      <c r="J16" t="s">
        <v>825</v>
      </c>
      <c r="K16">
        <v>16.490000000000002</v>
      </c>
      <c r="M16" t="s">
        <v>4820</v>
      </c>
      <c r="N16" t="s">
        <v>4821</v>
      </c>
      <c r="O16" t="s">
        <v>4822</v>
      </c>
      <c r="P16" t="s">
        <v>4823</v>
      </c>
      <c r="Q16" t="s">
        <v>4835</v>
      </c>
    </row>
    <row r="17" spans="1:17" x14ac:dyDescent="0.3">
      <c r="J17" t="s">
        <v>829</v>
      </c>
      <c r="K17">
        <v>168.3</v>
      </c>
      <c r="M17" t="s">
        <v>4661</v>
      </c>
      <c r="N17" t="s">
        <v>4662</v>
      </c>
      <c r="O17" t="s">
        <v>4663</v>
      </c>
      <c r="P17" t="s">
        <v>4664</v>
      </c>
      <c r="Q17" t="s">
        <v>4665</v>
      </c>
    </row>
    <row r="18" spans="1:17" x14ac:dyDescent="0.3">
      <c r="A18" s="1"/>
      <c r="J18" t="s">
        <v>840</v>
      </c>
      <c r="K18">
        <v>201.53</v>
      </c>
      <c r="M18" t="s">
        <v>4666</v>
      </c>
      <c r="N18" t="s">
        <v>4667</v>
      </c>
      <c r="O18" t="s">
        <v>4668</v>
      </c>
      <c r="P18" t="s">
        <v>4669</v>
      </c>
      <c r="Q18" t="s">
        <v>4670</v>
      </c>
    </row>
    <row r="19" spans="1:17" x14ac:dyDescent="0.3">
      <c r="J19" t="s">
        <v>843</v>
      </c>
      <c r="K19">
        <v>167.97</v>
      </c>
      <c r="M19" t="s">
        <v>4671</v>
      </c>
      <c r="N19" t="s">
        <v>4672</v>
      </c>
      <c r="O19" t="s">
        <v>4673</v>
      </c>
      <c r="P19" t="s">
        <v>4674</v>
      </c>
      <c r="Q19" t="s">
        <v>4675</v>
      </c>
    </row>
    <row r="20" spans="1:17" x14ac:dyDescent="0.3">
      <c r="J20" t="s">
        <v>856</v>
      </c>
      <c r="K20">
        <v>184.50000000000003</v>
      </c>
      <c r="M20" t="s">
        <v>4676</v>
      </c>
      <c r="N20" t="s">
        <v>4677</v>
      </c>
      <c r="O20" t="s">
        <v>4672</v>
      </c>
      <c r="P20" t="s">
        <v>4678</v>
      </c>
      <c r="Q20" t="s">
        <v>4679</v>
      </c>
    </row>
    <row r="21" spans="1:17" x14ac:dyDescent="0.3">
      <c r="J21" t="s">
        <v>33</v>
      </c>
      <c r="K21">
        <v>169.60000000000005</v>
      </c>
      <c r="M21" t="s">
        <v>4680</v>
      </c>
      <c r="N21" t="s">
        <v>4681</v>
      </c>
      <c r="O21" t="s">
        <v>4682</v>
      </c>
      <c r="P21" t="s">
        <v>4683</v>
      </c>
      <c r="Q21" t="s">
        <v>4684</v>
      </c>
    </row>
    <row r="22" spans="1:17" x14ac:dyDescent="0.3">
      <c r="J22" t="s">
        <v>876</v>
      </c>
      <c r="K22">
        <v>168.51999999999998</v>
      </c>
      <c r="M22" t="s">
        <v>4685</v>
      </c>
      <c r="N22" t="s">
        <v>4686</v>
      </c>
      <c r="O22" t="s">
        <v>4687</v>
      </c>
      <c r="P22" t="s">
        <v>4688</v>
      </c>
      <c r="Q22" t="s">
        <v>4689</v>
      </c>
    </row>
    <row r="23" spans="1:17" x14ac:dyDescent="0.3">
      <c r="J23" t="s">
        <v>877</v>
      </c>
      <c r="K23">
        <v>131.13999999999999</v>
      </c>
      <c r="M23" t="s">
        <v>4690</v>
      </c>
      <c r="N23" t="s">
        <v>4691</v>
      </c>
      <c r="O23" t="s">
        <v>4692</v>
      </c>
      <c r="P23" t="s">
        <v>4693</v>
      </c>
      <c r="Q23" t="s">
        <v>4694</v>
      </c>
    </row>
    <row r="24" spans="1:17" x14ac:dyDescent="0.3">
      <c r="J24" t="s">
        <v>884</v>
      </c>
      <c r="K24">
        <v>170.32</v>
      </c>
      <c r="M24" t="s">
        <v>4695</v>
      </c>
      <c r="N24" t="s">
        <v>4696</v>
      </c>
      <c r="O24" t="s">
        <v>4697</v>
      </c>
      <c r="P24" t="s">
        <v>4698</v>
      </c>
      <c r="Q24" t="s">
        <v>4699</v>
      </c>
    </row>
    <row r="25" spans="1:17" x14ac:dyDescent="0.3">
      <c r="J25" t="s">
        <v>891</v>
      </c>
      <c r="K25">
        <v>168</v>
      </c>
      <c r="M25" t="s">
        <v>4621</v>
      </c>
      <c r="N25" t="s">
        <v>4672</v>
      </c>
      <c r="O25" t="s">
        <v>4672</v>
      </c>
      <c r="P25" t="s">
        <v>4672</v>
      </c>
      <c r="Q25" t="s">
        <v>4700</v>
      </c>
    </row>
    <row r="26" spans="1:17" x14ac:dyDescent="0.3">
      <c r="J26" t="s">
        <v>34</v>
      </c>
      <c r="K26">
        <v>168</v>
      </c>
      <c r="M26" t="s">
        <v>4621</v>
      </c>
      <c r="N26" t="s">
        <v>4672</v>
      </c>
      <c r="O26" t="s">
        <v>4672</v>
      </c>
      <c r="P26" t="s">
        <v>4672</v>
      </c>
      <c r="Q26" t="s">
        <v>4700</v>
      </c>
    </row>
    <row r="27" spans="1:17" x14ac:dyDescent="0.3">
      <c r="J27" t="s">
        <v>893</v>
      </c>
      <c r="K27">
        <v>164</v>
      </c>
      <c r="M27" t="s">
        <v>4701</v>
      </c>
      <c r="N27" t="s">
        <v>4672</v>
      </c>
      <c r="O27" t="s">
        <v>4672</v>
      </c>
      <c r="P27" t="s">
        <v>4672</v>
      </c>
      <c r="Q27" t="s">
        <v>4700</v>
      </c>
    </row>
    <row r="28" spans="1:17" x14ac:dyDescent="0.3">
      <c r="J28" t="s">
        <v>895</v>
      </c>
      <c r="K28">
        <v>172.26</v>
      </c>
      <c r="M28" t="s">
        <v>4702</v>
      </c>
      <c r="N28" t="s">
        <v>4703</v>
      </c>
      <c r="O28" t="s">
        <v>4704</v>
      </c>
      <c r="P28" t="s">
        <v>4705</v>
      </c>
      <c r="Q28" t="s">
        <v>4706</v>
      </c>
    </row>
    <row r="29" spans="1:17" x14ac:dyDescent="0.3">
      <c r="J29" t="s">
        <v>1391</v>
      </c>
      <c r="K29">
        <v>27.220000000000002</v>
      </c>
      <c r="M29" t="s">
        <v>4707</v>
      </c>
      <c r="N29" t="s">
        <v>4708</v>
      </c>
      <c r="O29" t="s">
        <v>4709</v>
      </c>
      <c r="P29" t="s">
        <v>4710</v>
      </c>
      <c r="Q29" t="s">
        <v>4836</v>
      </c>
    </row>
    <row r="30" spans="1:17" x14ac:dyDescent="0.3">
      <c r="J30" t="s">
        <v>929</v>
      </c>
      <c r="K30">
        <v>170.19</v>
      </c>
      <c r="M30" t="s">
        <v>4711</v>
      </c>
      <c r="N30" t="s">
        <v>4712</v>
      </c>
      <c r="O30" t="s">
        <v>4713</v>
      </c>
      <c r="P30" t="s">
        <v>4714</v>
      </c>
      <c r="Q30" t="s">
        <v>4715</v>
      </c>
    </row>
    <row r="31" spans="1:17" x14ac:dyDescent="0.3">
      <c r="J31" t="s">
        <v>959</v>
      </c>
      <c r="K31">
        <v>135.82999999999998</v>
      </c>
      <c r="M31" t="s">
        <v>4824</v>
      </c>
      <c r="N31" t="s">
        <v>4700</v>
      </c>
      <c r="O31" t="s">
        <v>4700</v>
      </c>
      <c r="P31" t="s">
        <v>4825</v>
      </c>
      <c r="Q31" t="s">
        <v>4700</v>
      </c>
    </row>
    <row r="32" spans="1:17" x14ac:dyDescent="0.3">
      <c r="J32" t="s">
        <v>961</v>
      </c>
      <c r="K32">
        <v>174.53</v>
      </c>
      <c r="M32" t="s">
        <v>4716</v>
      </c>
      <c r="N32" t="s">
        <v>4717</v>
      </c>
      <c r="O32" t="s">
        <v>4718</v>
      </c>
      <c r="P32" t="s">
        <v>4719</v>
      </c>
      <c r="Q32" t="s">
        <v>4720</v>
      </c>
    </row>
    <row r="33" spans="10:17" x14ac:dyDescent="0.3">
      <c r="J33" t="s">
        <v>962</v>
      </c>
      <c r="K33">
        <v>13.4</v>
      </c>
      <c r="M33" t="s">
        <v>4721</v>
      </c>
      <c r="N33" t="s">
        <v>4722</v>
      </c>
      <c r="O33" t="s">
        <v>4723</v>
      </c>
      <c r="P33" t="s">
        <v>4724</v>
      </c>
      <c r="Q33" t="s">
        <v>4837</v>
      </c>
    </row>
    <row r="34" spans="10:17" x14ac:dyDescent="0.3">
      <c r="J34" t="s">
        <v>966</v>
      </c>
      <c r="K34">
        <v>168</v>
      </c>
      <c r="M34" t="s">
        <v>4621</v>
      </c>
      <c r="N34" t="s">
        <v>4672</v>
      </c>
      <c r="O34" t="s">
        <v>4672</v>
      </c>
      <c r="P34" t="s">
        <v>4672</v>
      </c>
      <c r="Q34" t="s">
        <v>4700</v>
      </c>
    </row>
    <row r="35" spans="10:17" x14ac:dyDescent="0.3">
      <c r="J35" t="s">
        <v>969</v>
      </c>
      <c r="K35">
        <v>179.14999999999998</v>
      </c>
      <c r="M35" t="s">
        <v>4725</v>
      </c>
      <c r="N35" t="s">
        <v>4726</v>
      </c>
      <c r="O35" t="s">
        <v>4727</v>
      </c>
      <c r="P35" t="s">
        <v>4728</v>
      </c>
      <c r="Q35" t="s">
        <v>4729</v>
      </c>
    </row>
    <row r="36" spans="10:17" x14ac:dyDescent="0.3">
      <c r="J36" t="s">
        <v>977</v>
      </c>
      <c r="K36">
        <v>168.39000000000001</v>
      </c>
      <c r="M36" t="s">
        <v>4621</v>
      </c>
      <c r="N36" t="s">
        <v>4730</v>
      </c>
      <c r="O36" t="s">
        <v>4731</v>
      </c>
      <c r="P36" t="s">
        <v>4732</v>
      </c>
      <c r="Q36" t="s">
        <v>4733</v>
      </c>
    </row>
    <row r="37" spans="10:17" x14ac:dyDescent="0.3">
      <c r="J37" t="s">
        <v>981</v>
      </c>
      <c r="K37">
        <v>185</v>
      </c>
      <c r="M37" t="s">
        <v>4734</v>
      </c>
      <c r="N37" t="s">
        <v>4735</v>
      </c>
      <c r="O37" t="s">
        <v>4736</v>
      </c>
      <c r="P37" t="s">
        <v>4736</v>
      </c>
      <c r="Q37" t="s">
        <v>4737</v>
      </c>
    </row>
    <row r="38" spans="10:17" x14ac:dyDescent="0.3">
      <c r="J38" t="s">
        <v>984</v>
      </c>
      <c r="K38">
        <v>169.45000000000002</v>
      </c>
      <c r="M38" t="s">
        <v>4738</v>
      </c>
      <c r="N38" t="s">
        <v>4739</v>
      </c>
      <c r="O38" t="s">
        <v>4740</v>
      </c>
      <c r="P38" t="s">
        <v>4741</v>
      </c>
      <c r="Q38" t="s">
        <v>4742</v>
      </c>
    </row>
    <row r="39" spans="10:17" x14ac:dyDescent="0.3">
      <c r="J39" t="s">
        <v>991</v>
      </c>
      <c r="K39">
        <v>187.10999999999999</v>
      </c>
      <c r="M39" t="s">
        <v>4743</v>
      </c>
      <c r="N39" t="s">
        <v>4744</v>
      </c>
      <c r="O39" t="s">
        <v>4745</v>
      </c>
      <c r="P39" t="s">
        <v>4746</v>
      </c>
      <c r="Q39" t="s">
        <v>4747</v>
      </c>
    </row>
    <row r="40" spans="10:17" x14ac:dyDescent="0.3">
      <c r="J40" t="s">
        <v>1002</v>
      </c>
      <c r="K40">
        <v>208</v>
      </c>
      <c r="M40" t="s">
        <v>4748</v>
      </c>
      <c r="N40" t="s">
        <v>4749</v>
      </c>
      <c r="O40" t="s">
        <v>4750</v>
      </c>
      <c r="P40" t="s">
        <v>4750</v>
      </c>
      <c r="Q40" t="s">
        <v>4751</v>
      </c>
    </row>
    <row r="41" spans="10:17" x14ac:dyDescent="0.3">
      <c r="J41" t="s">
        <v>1005</v>
      </c>
      <c r="K41">
        <v>105</v>
      </c>
      <c r="M41" t="s">
        <v>4752</v>
      </c>
      <c r="N41" t="s">
        <v>4753</v>
      </c>
      <c r="O41" t="s">
        <v>4754</v>
      </c>
      <c r="P41" t="s">
        <v>4755</v>
      </c>
      <c r="Q41" t="s">
        <v>4756</v>
      </c>
    </row>
    <row r="42" spans="10:17" x14ac:dyDescent="0.3">
      <c r="J42" t="s">
        <v>1006</v>
      </c>
      <c r="K42">
        <v>125.99999999999999</v>
      </c>
      <c r="M42" t="s">
        <v>4757</v>
      </c>
      <c r="N42" t="s">
        <v>4758</v>
      </c>
      <c r="O42" t="s">
        <v>4759</v>
      </c>
      <c r="P42" t="s">
        <v>4760</v>
      </c>
      <c r="Q42" t="s">
        <v>4761</v>
      </c>
    </row>
    <row r="43" spans="10:17" x14ac:dyDescent="0.3">
      <c r="J43" t="s">
        <v>1011</v>
      </c>
      <c r="K43">
        <v>166.71999999999997</v>
      </c>
      <c r="M43" t="s">
        <v>4762</v>
      </c>
      <c r="N43" t="s">
        <v>4763</v>
      </c>
      <c r="O43" t="s">
        <v>4764</v>
      </c>
      <c r="P43" t="s">
        <v>4765</v>
      </c>
      <c r="Q43" t="s">
        <v>4766</v>
      </c>
    </row>
    <row r="44" spans="10:17" x14ac:dyDescent="0.3">
      <c r="J44" t="s">
        <v>1020</v>
      </c>
      <c r="K44">
        <v>183.64</v>
      </c>
      <c r="M44" t="s">
        <v>4767</v>
      </c>
      <c r="N44" t="s">
        <v>4768</v>
      </c>
      <c r="O44" t="s">
        <v>4769</v>
      </c>
      <c r="P44" t="s">
        <v>4770</v>
      </c>
      <c r="Q44" t="s">
        <v>4771</v>
      </c>
    </row>
    <row r="45" spans="10:17" x14ac:dyDescent="0.3">
      <c r="J45" t="s">
        <v>1026</v>
      </c>
      <c r="K45">
        <v>185.35</v>
      </c>
      <c r="M45" t="s">
        <v>4772</v>
      </c>
      <c r="N45" t="s">
        <v>4773</v>
      </c>
      <c r="O45" t="s">
        <v>4774</v>
      </c>
      <c r="P45" t="s">
        <v>4775</v>
      </c>
      <c r="Q45" t="s">
        <v>4776</v>
      </c>
    </row>
    <row r="46" spans="10:17" x14ac:dyDescent="0.3">
      <c r="J46" t="s">
        <v>1032</v>
      </c>
      <c r="K46">
        <v>179.48000000000002</v>
      </c>
      <c r="M46" t="s">
        <v>4777</v>
      </c>
      <c r="N46" t="s">
        <v>4778</v>
      </c>
      <c r="O46" t="s">
        <v>4779</v>
      </c>
      <c r="P46" t="s">
        <v>4780</v>
      </c>
      <c r="Q46" t="s">
        <v>4781</v>
      </c>
    </row>
    <row r="47" spans="10:17" x14ac:dyDescent="0.3">
      <c r="J47" t="s">
        <v>1034</v>
      </c>
      <c r="K47">
        <v>170.25</v>
      </c>
      <c r="M47" t="s">
        <v>4782</v>
      </c>
      <c r="N47" t="s">
        <v>4783</v>
      </c>
      <c r="O47" t="s">
        <v>4784</v>
      </c>
      <c r="P47" t="s">
        <v>4785</v>
      </c>
      <c r="Q47" t="s">
        <v>4786</v>
      </c>
    </row>
    <row r="48" spans="10:17" x14ac:dyDescent="0.3">
      <c r="J48" t="s">
        <v>1043</v>
      </c>
      <c r="K48">
        <v>14.809999999999999</v>
      </c>
      <c r="M48" t="s">
        <v>4787</v>
      </c>
      <c r="N48" t="s">
        <v>4788</v>
      </c>
      <c r="O48" t="s">
        <v>4789</v>
      </c>
      <c r="P48" t="s">
        <v>4790</v>
      </c>
      <c r="Q48" t="s">
        <v>4791</v>
      </c>
    </row>
    <row r="49" spans="10:17" x14ac:dyDescent="0.3">
      <c r="J49" t="s">
        <v>1049</v>
      </c>
      <c r="K49">
        <v>169.89000000000001</v>
      </c>
      <c r="M49" t="s">
        <v>4792</v>
      </c>
      <c r="N49" t="s">
        <v>4793</v>
      </c>
      <c r="O49" t="s">
        <v>4794</v>
      </c>
      <c r="P49" t="s">
        <v>4795</v>
      </c>
      <c r="Q49" t="s">
        <v>4796</v>
      </c>
    </row>
    <row r="50" spans="10:17" x14ac:dyDescent="0.3">
      <c r="J50" t="s">
        <v>1060</v>
      </c>
      <c r="K50">
        <v>162.47000000000006</v>
      </c>
      <c r="M50" t="s">
        <v>4797</v>
      </c>
      <c r="N50" t="s">
        <v>4798</v>
      </c>
      <c r="O50" t="s">
        <v>4799</v>
      </c>
      <c r="P50" t="s">
        <v>4800</v>
      </c>
      <c r="Q50" t="s">
        <v>4801</v>
      </c>
    </row>
    <row r="51" spans="10:17" x14ac:dyDescent="0.3">
      <c r="J51" t="s">
        <v>2945</v>
      </c>
      <c r="K51">
        <v>91.890000000000015</v>
      </c>
      <c r="M51" t="s">
        <v>4802</v>
      </c>
      <c r="N51" t="s">
        <v>4803</v>
      </c>
      <c r="O51" t="s">
        <v>4804</v>
      </c>
      <c r="P51" t="s">
        <v>4838</v>
      </c>
    </row>
    <row r="52" spans="10:17" x14ac:dyDescent="0.3">
      <c r="J52" t="s">
        <v>1288</v>
      </c>
      <c r="K52">
        <v>1</v>
      </c>
      <c r="M52" t="s">
        <v>4839</v>
      </c>
      <c r="N52" t="s">
        <v>4826</v>
      </c>
      <c r="O52" t="s">
        <v>4840</v>
      </c>
    </row>
    <row r="53" spans="10:17" x14ac:dyDescent="0.3">
      <c r="J53" t="s">
        <v>1074</v>
      </c>
      <c r="K53">
        <v>162.01999999999998</v>
      </c>
      <c r="M53" t="s">
        <v>4805</v>
      </c>
      <c r="N53" t="s">
        <v>4806</v>
      </c>
      <c r="O53" t="s">
        <v>4807</v>
      </c>
      <c r="P53" t="s">
        <v>4808</v>
      </c>
      <c r="Q53" t="s">
        <v>4809</v>
      </c>
    </row>
    <row r="54" spans="10:17" x14ac:dyDescent="0.3">
      <c r="J54" t="s">
        <v>1505</v>
      </c>
      <c r="K54">
        <v>24</v>
      </c>
      <c r="M54" t="s">
        <v>4810</v>
      </c>
      <c r="N54" t="s">
        <v>4811</v>
      </c>
      <c r="O54" t="s">
        <v>4812</v>
      </c>
      <c r="P54" t="s">
        <v>4841</v>
      </c>
    </row>
  </sheetData>
  <sortState xmlns:xlrd2="http://schemas.microsoft.com/office/spreadsheetml/2017/richdata2" ref="A2:G5">
    <sortCondition ref="A2"/>
  </sortState>
  <phoneticPr fontId="10" type="noConversion"/>
  <hyperlinks>
    <hyperlink ref="A4" location="'Jeric Rivera'!A2" display="Jeric Rivera" xr:uid="{6B16CFE6-42CE-407B-A5AF-1C93A3768ABB}"/>
    <hyperlink ref="A2" location="'Ann Morei Narag'!A2" display="Ann Morei Narag" xr:uid="{7BB1EB2C-BB44-4934-9589-696AD64414D9}"/>
    <hyperlink ref="A3" location="'Jennica Felipe'!A2" display="Jennica Felipe" xr:uid="{7C6F23B9-3F74-46D4-B9D0-285ADF8B49C8}"/>
    <hyperlink ref="A5" location="'Jordan Martinez'!A2" display="Jordan Martinez" xr:uid="{77253C16-D4CC-4DFD-9D6F-426D27D8897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47"/>
  <sheetViews>
    <sheetView topLeftCell="A125" workbookViewId="0">
      <selection activeCell="A48" sqref="A48:A147"/>
    </sheetView>
  </sheetViews>
  <sheetFormatPr defaultRowHeight="14.4" x14ac:dyDescent="0.3"/>
  <cols>
    <col min="1" max="1" width="41.88671875" bestFit="1" customWidth="1"/>
    <col min="2" max="2" width="15.5546875" bestFit="1" customWidth="1"/>
    <col min="3" max="6" width="8" bestFit="1" customWidth="1"/>
    <col min="7" max="7" width="7" bestFit="1" customWidth="1"/>
    <col min="8" max="8" width="10.77734375" bestFit="1" customWidth="1"/>
    <col min="9" max="9" width="13.21875" bestFit="1" customWidth="1"/>
    <col min="10" max="10" width="13.77734375" bestFit="1" customWidth="1"/>
    <col min="11" max="11" width="15.21875" bestFit="1" customWidth="1"/>
    <col min="12" max="12" width="17.33203125" bestFit="1" customWidth="1"/>
    <col min="13" max="13" width="17.6640625" bestFit="1" customWidth="1"/>
    <col min="14" max="14" width="11.5546875" bestFit="1" customWidth="1"/>
    <col min="15" max="15" width="11.77734375" bestFit="1" customWidth="1"/>
    <col min="16" max="16" width="8.6640625" bestFit="1" customWidth="1"/>
    <col min="17" max="17" width="15.33203125" bestFit="1" customWidth="1"/>
    <col min="18" max="18" width="17" bestFit="1" customWidth="1"/>
    <col min="19" max="19" width="16.33203125" bestFit="1" customWidth="1"/>
    <col min="20" max="20" width="14.6640625" bestFit="1" customWidth="1"/>
    <col min="21" max="21" width="12.5546875" bestFit="1" customWidth="1"/>
    <col min="22" max="22" width="10.33203125" bestFit="1" customWidth="1"/>
    <col min="23" max="23" width="13.109375" bestFit="1" customWidth="1"/>
    <col min="24" max="24" width="13.44140625" bestFit="1" customWidth="1"/>
    <col min="25" max="25" width="14.44140625" bestFit="1" customWidth="1"/>
    <col min="26" max="26" width="14.6640625" bestFit="1" customWidth="1"/>
    <col min="27" max="27" width="17.44140625" bestFit="1" customWidth="1"/>
    <col min="28" max="28" width="9" bestFit="1" customWidth="1"/>
    <col min="29" max="29" width="16.109375" bestFit="1" customWidth="1"/>
    <col min="30" max="30" width="13.77734375" bestFit="1" customWidth="1"/>
    <col min="31" max="31" width="13.5546875" bestFit="1" customWidth="1"/>
    <col min="32" max="32" width="19.44140625" bestFit="1" customWidth="1"/>
    <col min="33" max="33" width="16.109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7" t="s">
        <v>4515</v>
      </c>
      <c r="B3" s="27" t="s">
        <v>4518</v>
      </c>
    </row>
    <row r="4" spans="1:8" x14ac:dyDescent="0.3">
      <c r="A4" s="27" t="s">
        <v>4512</v>
      </c>
      <c r="B4" t="s">
        <v>29</v>
      </c>
      <c r="C4" t="s">
        <v>30</v>
      </c>
      <c r="D4" t="s">
        <v>31</v>
      </c>
      <c r="E4" t="s">
        <v>32</v>
      </c>
      <c r="F4" t="s">
        <v>4516</v>
      </c>
      <c r="G4" t="s">
        <v>4513</v>
      </c>
      <c r="H4" t="s">
        <v>4514</v>
      </c>
    </row>
    <row r="5" spans="1:8" x14ac:dyDescent="0.3">
      <c r="A5" s="20" t="s">
        <v>2525</v>
      </c>
      <c r="B5" s="30"/>
      <c r="C5" s="30"/>
      <c r="D5" s="30">
        <v>0.16</v>
      </c>
      <c r="E5" s="30">
        <v>2.63</v>
      </c>
      <c r="F5" s="30">
        <v>0.1</v>
      </c>
      <c r="G5" s="30"/>
      <c r="H5" s="30">
        <v>2.89</v>
      </c>
    </row>
    <row r="6" spans="1:8" x14ac:dyDescent="0.3">
      <c r="A6" s="20" t="s">
        <v>827</v>
      </c>
      <c r="B6" s="30">
        <v>0.25</v>
      </c>
      <c r="C6" s="30"/>
      <c r="D6" s="30">
        <v>3</v>
      </c>
      <c r="E6" s="30"/>
      <c r="F6" s="30"/>
      <c r="G6" s="30"/>
      <c r="H6" s="30">
        <v>3.25</v>
      </c>
    </row>
    <row r="7" spans="1:8" x14ac:dyDescent="0.3">
      <c r="A7" s="20" t="s">
        <v>47</v>
      </c>
      <c r="B7" s="30"/>
      <c r="C7" s="30">
        <v>1.25</v>
      </c>
      <c r="D7" s="30">
        <v>5</v>
      </c>
      <c r="E7" s="30"/>
      <c r="F7" s="30"/>
      <c r="G7" s="30"/>
      <c r="H7" s="30">
        <v>6.25</v>
      </c>
    </row>
    <row r="8" spans="1:8" x14ac:dyDescent="0.3">
      <c r="A8" s="20" t="s">
        <v>714</v>
      </c>
      <c r="B8" s="30"/>
      <c r="C8" s="30">
        <v>1.1300000000000001</v>
      </c>
      <c r="D8" s="30"/>
      <c r="E8" s="30"/>
      <c r="F8" s="30"/>
      <c r="G8" s="30"/>
      <c r="H8" s="30">
        <v>1.1300000000000001</v>
      </c>
    </row>
    <row r="9" spans="1:8" x14ac:dyDescent="0.3">
      <c r="A9" s="20" t="s">
        <v>715</v>
      </c>
      <c r="B9" s="30"/>
      <c r="C9" s="30">
        <v>1.69</v>
      </c>
      <c r="D9" s="30"/>
      <c r="E9" s="30">
        <v>0.33</v>
      </c>
      <c r="F9" s="30"/>
      <c r="G9" s="30"/>
      <c r="H9" s="30">
        <v>2.02</v>
      </c>
    </row>
    <row r="10" spans="1:8" x14ac:dyDescent="0.3">
      <c r="A10" s="20" t="s">
        <v>713</v>
      </c>
      <c r="B10" s="30"/>
      <c r="C10" s="30">
        <v>0.48</v>
      </c>
      <c r="D10" s="30">
        <v>2.0099999999999998</v>
      </c>
      <c r="E10" s="30">
        <v>0.33</v>
      </c>
      <c r="F10" s="30"/>
      <c r="G10" s="30"/>
      <c r="H10" s="30">
        <v>2.82</v>
      </c>
    </row>
    <row r="11" spans="1:8" x14ac:dyDescent="0.3">
      <c r="A11" s="20" t="s">
        <v>845</v>
      </c>
      <c r="B11" s="30">
        <v>3.07</v>
      </c>
      <c r="C11" s="30">
        <v>4.82</v>
      </c>
      <c r="D11" s="30">
        <v>12.980000000000002</v>
      </c>
      <c r="E11" s="30">
        <v>5.63</v>
      </c>
      <c r="F11" s="30">
        <v>7.9</v>
      </c>
      <c r="G11" s="30"/>
      <c r="H11" s="30">
        <v>34.400000000000006</v>
      </c>
    </row>
    <row r="12" spans="1:8" x14ac:dyDescent="0.3">
      <c r="A12" s="20" t="s">
        <v>790</v>
      </c>
      <c r="B12" s="30">
        <v>64.400000000000006</v>
      </c>
      <c r="C12" s="30">
        <v>133.40999999999997</v>
      </c>
      <c r="D12" s="30">
        <v>169.31</v>
      </c>
      <c r="E12" s="30">
        <v>160.71000000000004</v>
      </c>
      <c r="F12" s="30">
        <v>125.87999999999998</v>
      </c>
      <c r="G12" s="30"/>
      <c r="H12" s="30">
        <v>653.71</v>
      </c>
    </row>
    <row r="13" spans="1:8" x14ac:dyDescent="0.3">
      <c r="A13" s="20" t="s">
        <v>2792</v>
      </c>
      <c r="B13" s="30"/>
      <c r="C13" s="30"/>
      <c r="D13" s="30">
        <v>0.77</v>
      </c>
      <c r="E13" s="30">
        <v>1.71</v>
      </c>
      <c r="F13" s="30"/>
      <c r="G13" s="30"/>
      <c r="H13" s="30">
        <v>2.48</v>
      </c>
    </row>
    <row r="14" spans="1:8" x14ac:dyDescent="0.3">
      <c r="A14" s="20" t="s">
        <v>71</v>
      </c>
      <c r="B14" s="30"/>
      <c r="C14" s="30"/>
      <c r="D14" s="30">
        <v>0.33</v>
      </c>
      <c r="E14" s="30"/>
      <c r="F14" s="30"/>
      <c r="G14" s="30"/>
      <c r="H14" s="30">
        <v>0.33</v>
      </c>
    </row>
    <row r="15" spans="1:8" x14ac:dyDescent="0.3">
      <c r="A15" s="20" t="s">
        <v>79</v>
      </c>
      <c r="B15" s="30"/>
      <c r="C15" s="30">
        <v>0.29000000000000004</v>
      </c>
      <c r="D15" s="30"/>
      <c r="E15" s="30">
        <v>0.23</v>
      </c>
      <c r="F15" s="30"/>
      <c r="G15" s="30"/>
      <c r="H15" s="30">
        <v>0.52</v>
      </c>
    </row>
    <row r="16" spans="1:8" x14ac:dyDescent="0.3">
      <c r="A16" s="20" t="s">
        <v>1631</v>
      </c>
      <c r="B16" s="30"/>
      <c r="C16" s="30">
        <v>0.65</v>
      </c>
      <c r="D16" s="30"/>
      <c r="E16" s="30">
        <v>0.17</v>
      </c>
      <c r="F16" s="30">
        <v>3</v>
      </c>
      <c r="G16" s="30"/>
      <c r="H16" s="30">
        <v>3.8200000000000003</v>
      </c>
    </row>
    <row r="17" spans="1:8" x14ac:dyDescent="0.3">
      <c r="A17" s="20" t="s">
        <v>1438</v>
      </c>
      <c r="B17" s="30"/>
      <c r="C17" s="30">
        <v>8</v>
      </c>
      <c r="D17" s="30">
        <v>5.43</v>
      </c>
      <c r="E17" s="30">
        <v>4.5</v>
      </c>
      <c r="F17" s="30">
        <v>2.1</v>
      </c>
      <c r="G17" s="30"/>
      <c r="H17" s="30">
        <v>20.03</v>
      </c>
    </row>
    <row r="18" spans="1:8" x14ac:dyDescent="0.3">
      <c r="A18" s="20" t="s">
        <v>964</v>
      </c>
      <c r="B18" s="30">
        <v>20.530000000000005</v>
      </c>
      <c r="C18" s="30">
        <v>45.089999999999996</v>
      </c>
      <c r="D18" s="30">
        <v>63.14</v>
      </c>
      <c r="E18" s="30">
        <v>49.429999999999986</v>
      </c>
      <c r="F18" s="30">
        <v>59.820000000000014</v>
      </c>
      <c r="G18" s="30"/>
      <c r="H18" s="30">
        <v>238.01</v>
      </c>
    </row>
    <row r="19" spans="1:8" x14ac:dyDescent="0.3">
      <c r="A19" s="20" t="s">
        <v>1709</v>
      </c>
      <c r="B19" s="30"/>
      <c r="C19" s="30">
        <v>1.64</v>
      </c>
      <c r="D19" s="30">
        <v>0.2</v>
      </c>
      <c r="E19" s="30"/>
      <c r="F19" s="30"/>
      <c r="G19" s="30"/>
      <c r="H19" s="30">
        <v>1.8399999999999999</v>
      </c>
    </row>
    <row r="20" spans="1:8" x14ac:dyDescent="0.3">
      <c r="A20" s="20" t="s">
        <v>978</v>
      </c>
      <c r="B20" s="30">
        <v>16.8</v>
      </c>
      <c r="C20" s="30">
        <v>31.24</v>
      </c>
      <c r="D20" s="30">
        <v>36.380000000000003</v>
      </c>
      <c r="E20" s="30">
        <v>34.03</v>
      </c>
      <c r="F20" s="30">
        <v>27.259999999999998</v>
      </c>
      <c r="G20" s="30"/>
      <c r="H20" s="30">
        <v>145.71</v>
      </c>
    </row>
    <row r="21" spans="1:8" x14ac:dyDescent="0.3">
      <c r="A21" s="20" t="s">
        <v>903</v>
      </c>
      <c r="B21" s="30">
        <v>1.83</v>
      </c>
      <c r="C21" s="30">
        <v>3.6799999999999997</v>
      </c>
      <c r="D21" s="30">
        <v>4.3999999999999995</v>
      </c>
      <c r="E21" s="30">
        <v>7.9600000000000009</v>
      </c>
      <c r="F21" s="30">
        <v>1.55</v>
      </c>
      <c r="G21" s="30"/>
      <c r="H21" s="30">
        <v>19.420000000000002</v>
      </c>
    </row>
    <row r="22" spans="1:8" x14ac:dyDescent="0.3">
      <c r="A22" s="20" t="s">
        <v>131</v>
      </c>
      <c r="B22" s="30"/>
      <c r="C22" s="30"/>
      <c r="D22" s="30">
        <v>0.15</v>
      </c>
      <c r="E22" s="30"/>
      <c r="F22" s="30"/>
      <c r="G22" s="30"/>
      <c r="H22" s="30">
        <v>0.15</v>
      </c>
    </row>
    <row r="23" spans="1:8" x14ac:dyDescent="0.3">
      <c r="A23" s="20" t="s">
        <v>4201</v>
      </c>
      <c r="B23" s="30"/>
      <c r="C23" s="30"/>
      <c r="D23" s="30"/>
      <c r="E23" s="30"/>
      <c r="F23" s="30">
        <v>0.02</v>
      </c>
      <c r="G23" s="30"/>
      <c r="H23" s="30">
        <v>0.02</v>
      </c>
    </row>
    <row r="24" spans="1:8" x14ac:dyDescent="0.3">
      <c r="A24" s="20" t="s">
        <v>1084</v>
      </c>
      <c r="B24" s="30">
        <v>0.38</v>
      </c>
      <c r="C24" s="30">
        <v>2.8100000000000005</v>
      </c>
      <c r="D24" s="30">
        <v>3.28</v>
      </c>
      <c r="E24" s="30">
        <v>1.51</v>
      </c>
      <c r="F24" s="30">
        <v>2.0900000000000003</v>
      </c>
      <c r="G24" s="30"/>
      <c r="H24" s="30">
        <v>10.07</v>
      </c>
    </row>
    <row r="25" spans="1:8" x14ac:dyDescent="0.3">
      <c r="A25" s="20" t="s">
        <v>1096</v>
      </c>
      <c r="B25" s="30">
        <v>1.7699999999999998</v>
      </c>
      <c r="C25" s="30">
        <v>16.79</v>
      </c>
      <c r="D25" s="30">
        <v>9.4499999999999993</v>
      </c>
      <c r="E25" s="30">
        <v>3.8899999999999997</v>
      </c>
      <c r="F25" s="30">
        <v>3.53</v>
      </c>
      <c r="G25" s="30"/>
      <c r="H25" s="30">
        <v>35.43</v>
      </c>
    </row>
    <row r="26" spans="1:8" x14ac:dyDescent="0.3">
      <c r="A26" s="20" t="s">
        <v>141</v>
      </c>
      <c r="B26" s="30"/>
      <c r="C26" s="30">
        <v>0.92</v>
      </c>
      <c r="D26" s="30">
        <v>1.1200000000000001</v>
      </c>
      <c r="E26" s="30">
        <v>1.08</v>
      </c>
      <c r="F26" s="30">
        <v>1</v>
      </c>
      <c r="G26" s="30"/>
      <c r="H26" s="30">
        <v>4.12</v>
      </c>
    </row>
    <row r="27" spans="1:8" x14ac:dyDescent="0.3">
      <c r="A27" s="20" t="s">
        <v>151</v>
      </c>
      <c r="B27" s="30">
        <v>1</v>
      </c>
      <c r="C27" s="30">
        <v>5.7700000000000005</v>
      </c>
      <c r="D27" s="30">
        <v>7.1100000000000012</v>
      </c>
      <c r="E27" s="30">
        <v>6.4499999999999993</v>
      </c>
      <c r="F27" s="30">
        <v>7.42</v>
      </c>
      <c r="G27" s="30"/>
      <c r="H27" s="30">
        <v>27.75</v>
      </c>
    </row>
    <row r="28" spans="1:8" x14ac:dyDescent="0.3">
      <c r="A28" s="20" t="s">
        <v>1543</v>
      </c>
      <c r="B28" s="30"/>
      <c r="C28" s="30">
        <v>1.43</v>
      </c>
      <c r="D28" s="30">
        <v>1.2200000000000002</v>
      </c>
      <c r="E28" s="30">
        <v>1.73</v>
      </c>
      <c r="F28" s="30">
        <v>0.92</v>
      </c>
      <c r="G28" s="30"/>
      <c r="H28" s="30">
        <v>5.3000000000000007</v>
      </c>
    </row>
    <row r="29" spans="1:8" x14ac:dyDescent="0.3">
      <c r="A29" s="20" t="s">
        <v>2604</v>
      </c>
      <c r="B29" s="30"/>
      <c r="C29" s="30"/>
      <c r="D29" s="30">
        <v>0.52</v>
      </c>
      <c r="E29" s="30">
        <v>5.93</v>
      </c>
      <c r="F29" s="30">
        <v>7.75</v>
      </c>
      <c r="G29" s="30"/>
      <c r="H29" s="30">
        <v>14.2</v>
      </c>
    </row>
    <row r="30" spans="1:8" x14ac:dyDescent="0.3">
      <c r="A30" s="20" t="s">
        <v>161</v>
      </c>
      <c r="B30" s="30"/>
      <c r="C30" s="30">
        <v>3.29</v>
      </c>
      <c r="D30" s="30">
        <v>1</v>
      </c>
      <c r="E30" s="30">
        <v>1.75</v>
      </c>
      <c r="F30" s="30">
        <v>0.75</v>
      </c>
      <c r="G30" s="30"/>
      <c r="H30" s="30">
        <v>6.79</v>
      </c>
    </row>
    <row r="31" spans="1:8" x14ac:dyDescent="0.3">
      <c r="A31" s="20" t="s">
        <v>727</v>
      </c>
      <c r="B31" s="30"/>
      <c r="C31" s="30">
        <v>0.75</v>
      </c>
      <c r="D31" s="30">
        <v>0.5</v>
      </c>
      <c r="E31" s="30">
        <v>0.58000000000000007</v>
      </c>
      <c r="F31" s="30"/>
      <c r="G31" s="30"/>
      <c r="H31" s="30">
        <v>1.83</v>
      </c>
    </row>
    <row r="32" spans="1:8" x14ac:dyDescent="0.3">
      <c r="A32" s="20" t="s">
        <v>169</v>
      </c>
      <c r="B32" s="30"/>
      <c r="C32" s="30"/>
      <c r="D32" s="30"/>
      <c r="E32" s="30">
        <v>1.57</v>
      </c>
      <c r="F32" s="30">
        <v>0.43</v>
      </c>
      <c r="G32" s="30"/>
      <c r="H32" s="30">
        <v>2</v>
      </c>
    </row>
    <row r="33" spans="1:8" x14ac:dyDescent="0.3">
      <c r="A33" s="20" t="s">
        <v>170</v>
      </c>
      <c r="B33" s="30"/>
      <c r="C33" s="30">
        <v>12.91</v>
      </c>
      <c r="D33" s="30">
        <v>4.1199999999999992</v>
      </c>
      <c r="E33" s="30">
        <v>1.1000000000000001</v>
      </c>
      <c r="F33" s="30">
        <v>5.4399999999999995</v>
      </c>
      <c r="G33" s="30"/>
      <c r="H33" s="30">
        <v>23.57</v>
      </c>
    </row>
    <row r="34" spans="1:8" x14ac:dyDescent="0.3">
      <c r="A34" s="20" t="s">
        <v>173</v>
      </c>
      <c r="B34" s="30">
        <v>3.74</v>
      </c>
      <c r="C34" s="30">
        <v>7.370000000000001</v>
      </c>
      <c r="D34" s="30">
        <v>0.72</v>
      </c>
      <c r="E34" s="30">
        <v>2.54</v>
      </c>
      <c r="F34" s="30">
        <v>4.68</v>
      </c>
      <c r="G34" s="30"/>
      <c r="H34" s="30">
        <v>19.05</v>
      </c>
    </row>
    <row r="35" spans="1:8" x14ac:dyDescent="0.3">
      <c r="A35" s="20" t="s">
        <v>934</v>
      </c>
      <c r="B35" s="30">
        <v>0.1</v>
      </c>
      <c r="C35" s="30"/>
      <c r="D35" s="30"/>
      <c r="E35" s="30"/>
      <c r="F35" s="30">
        <v>0.75</v>
      </c>
      <c r="G35" s="30"/>
      <c r="H35" s="30">
        <v>0.85</v>
      </c>
    </row>
    <row r="36" spans="1:8" x14ac:dyDescent="0.3">
      <c r="A36" s="20" t="s">
        <v>201</v>
      </c>
      <c r="B36" s="30">
        <v>0.66</v>
      </c>
      <c r="C36" s="30">
        <v>5.71</v>
      </c>
      <c r="D36" s="30">
        <v>6.25</v>
      </c>
      <c r="E36" s="30">
        <v>3.08</v>
      </c>
      <c r="F36" s="30">
        <v>2.5499999999999998</v>
      </c>
      <c r="G36" s="30"/>
      <c r="H36" s="30">
        <v>18.25</v>
      </c>
    </row>
    <row r="37" spans="1:8" x14ac:dyDescent="0.3">
      <c r="A37" s="20" t="s">
        <v>999</v>
      </c>
      <c r="B37" s="30">
        <v>6.8699999999999992</v>
      </c>
      <c r="C37" s="30">
        <v>15.27</v>
      </c>
      <c r="D37" s="30">
        <v>15.71</v>
      </c>
      <c r="E37" s="30">
        <v>20.400000000000002</v>
      </c>
      <c r="F37" s="30">
        <v>17.729999999999997</v>
      </c>
      <c r="G37" s="30"/>
      <c r="H37" s="30">
        <v>75.97999999999999</v>
      </c>
    </row>
    <row r="38" spans="1:8" x14ac:dyDescent="0.3">
      <c r="A38" s="20" t="s">
        <v>7</v>
      </c>
      <c r="B38" s="30">
        <v>349.94999999999993</v>
      </c>
      <c r="C38" s="30">
        <v>965.76000000000056</v>
      </c>
      <c r="D38" s="30">
        <v>934.31</v>
      </c>
      <c r="E38" s="30">
        <v>909.19999999999993</v>
      </c>
      <c r="F38" s="30">
        <v>711.11999999999955</v>
      </c>
      <c r="G38" s="30"/>
      <c r="H38" s="30">
        <v>3870.3399999999997</v>
      </c>
    </row>
    <row r="39" spans="1:8" x14ac:dyDescent="0.3">
      <c r="A39" s="20" t="s">
        <v>206</v>
      </c>
      <c r="B39" s="30">
        <v>0.3</v>
      </c>
      <c r="C39" s="30"/>
      <c r="D39" s="30"/>
      <c r="E39" s="30">
        <v>6.99</v>
      </c>
      <c r="F39" s="30">
        <v>2.72</v>
      </c>
      <c r="G39" s="30"/>
      <c r="H39" s="30">
        <v>10.01</v>
      </c>
    </row>
    <row r="40" spans="1:8" x14ac:dyDescent="0.3">
      <c r="A40" s="20" t="s">
        <v>13</v>
      </c>
      <c r="B40" s="30">
        <v>11.16</v>
      </c>
      <c r="C40" s="30">
        <v>17.28</v>
      </c>
      <c r="D40" s="30">
        <v>30.93</v>
      </c>
      <c r="E40" s="30">
        <v>20.160000000000004</v>
      </c>
      <c r="F40" s="30">
        <v>17.54</v>
      </c>
      <c r="G40" s="30"/>
      <c r="H40" s="30">
        <v>97.07</v>
      </c>
    </row>
    <row r="41" spans="1:8" x14ac:dyDescent="0.3">
      <c r="A41" s="20" t="s">
        <v>210</v>
      </c>
      <c r="B41" s="30">
        <v>0.44000000000000006</v>
      </c>
      <c r="C41" s="30">
        <v>0.57999999999999996</v>
      </c>
      <c r="D41" s="30">
        <v>1.89</v>
      </c>
      <c r="E41" s="30">
        <v>1.81</v>
      </c>
      <c r="F41" s="30">
        <v>0.08</v>
      </c>
      <c r="G41" s="30"/>
      <c r="H41" s="30">
        <v>4.8000000000000007</v>
      </c>
    </row>
    <row r="42" spans="1:8" x14ac:dyDescent="0.3">
      <c r="A42" s="20" t="s">
        <v>2613</v>
      </c>
      <c r="B42" s="30"/>
      <c r="C42" s="30"/>
      <c r="D42" s="30">
        <v>1.97</v>
      </c>
      <c r="E42" s="30">
        <v>2.77</v>
      </c>
      <c r="F42" s="30">
        <v>0.08</v>
      </c>
      <c r="G42" s="30"/>
      <c r="H42" s="30">
        <v>4.82</v>
      </c>
    </row>
    <row r="43" spans="1:8" x14ac:dyDescent="0.3">
      <c r="A43" s="20" t="s">
        <v>226</v>
      </c>
      <c r="B43" s="30"/>
      <c r="C43" s="30">
        <v>4.97</v>
      </c>
      <c r="D43" s="30">
        <v>10.37</v>
      </c>
      <c r="E43" s="30">
        <v>9.7099999999999991</v>
      </c>
      <c r="F43" s="30">
        <v>10.579999999999998</v>
      </c>
      <c r="G43" s="30"/>
      <c r="H43" s="30">
        <v>35.629999999999995</v>
      </c>
    </row>
    <row r="44" spans="1:8" x14ac:dyDescent="0.3">
      <c r="A44" s="20" t="s">
        <v>234</v>
      </c>
      <c r="B44" s="30">
        <v>8.92</v>
      </c>
      <c r="C44" s="30">
        <v>16.61</v>
      </c>
      <c r="D44" s="30">
        <v>9.0399999999999991</v>
      </c>
      <c r="E44" s="30">
        <v>12.770000000000001</v>
      </c>
      <c r="F44" s="30">
        <v>7.7900000000000009</v>
      </c>
      <c r="G44" s="30"/>
      <c r="H44" s="30">
        <v>55.13</v>
      </c>
    </row>
    <row r="45" spans="1:8" x14ac:dyDescent="0.3">
      <c r="A45" s="20" t="s">
        <v>235</v>
      </c>
      <c r="B45" s="30"/>
      <c r="C45" s="30"/>
      <c r="D45" s="30">
        <v>1.33</v>
      </c>
      <c r="E45" s="30"/>
      <c r="F45" s="30"/>
      <c r="G45" s="30"/>
      <c r="H45" s="30">
        <v>1.33</v>
      </c>
    </row>
    <row r="46" spans="1:8" x14ac:dyDescent="0.3">
      <c r="A46" s="20" t="s">
        <v>1046</v>
      </c>
      <c r="B46" s="30">
        <v>0.97</v>
      </c>
      <c r="C46" s="30">
        <v>0.22000000000000003</v>
      </c>
      <c r="D46" s="30">
        <v>2.21</v>
      </c>
      <c r="E46" s="30"/>
      <c r="F46" s="30"/>
      <c r="G46" s="30"/>
      <c r="H46" s="30">
        <v>3.4</v>
      </c>
    </row>
    <row r="47" spans="1:8" x14ac:dyDescent="0.3">
      <c r="A47" s="20" t="s">
        <v>237</v>
      </c>
      <c r="B47" s="30"/>
      <c r="C47" s="30">
        <v>0.30000000000000004</v>
      </c>
      <c r="D47" s="30">
        <v>3.25</v>
      </c>
      <c r="E47" s="30">
        <v>1.9100000000000001</v>
      </c>
      <c r="F47" s="30"/>
      <c r="G47" s="30"/>
      <c r="H47" s="30">
        <v>5.46</v>
      </c>
    </row>
    <row r="48" spans="1:8" x14ac:dyDescent="0.3">
      <c r="A48" s="20" t="s">
        <v>248</v>
      </c>
      <c r="B48" s="30">
        <v>1.5699999999999998</v>
      </c>
      <c r="C48" s="30">
        <v>4.21</v>
      </c>
      <c r="D48" s="30">
        <v>4.2699999999999996</v>
      </c>
      <c r="E48" s="30">
        <v>4.5</v>
      </c>
      <c r="F48" s="30">
        <v>1.72</v>
      </c>
      <c r="G48" s="30"/>
      <c r="H48" s="30">
        <v>16.27</v>
      </c>
    </row>
    <row r="49" spans="1:8" x14ac:dyDescent="0.3">
      <c r="A49" s="20" t="s">
        <v>250</v>
      </c>
      <c r="B49" s="30"/>
      <c r="C49" s="30">
        <v>3</v>
      </c>
      <c r="D49" s="30">
        <v>1.5</v>
      </c>
      <c r="E49" s="30"/>
      <c r="F49" s="30">
        <v>1</v>
      </c>
      <c r="G49" s="30"/>
      <c r="H49" s="30">
        <v>5.5</v>
      </c>
    </row>
    <row r="50" spans="1:8" x14ac:dyDescent="0.3">
      <c r="A50" s="20" t="s">
        <v>259</v>
      </c>
      <c r="B50" s="30">
        <v>4.83</v>
      </c>
      <c r="C50" s="30">
        <v>8.2199999999999989</v>
      </c>
      <c r="D50" s="30">
        <v>11.34</v>
      </c>
      <c r="E50" s="30">
        <v>6.73</v>
      </c>
      <c r="F50" s="30">
        <v>10.810000000000002</v>
      </c>
      <c r="G50" s="30"/>
      <c r="H50" s="30">
        <v>41.930000000000007</v>
      </c>
    </row>
    <row r="51" spans="1:8" x14ac:dyDescent="0.3">
      <c r="A51" s="20" t="s">
        <v>1852</v>
      </c>
      <c r="B51" s="30"/>
      <c r="C51" s="30">
        <v>1.01</v>
      </c>
      <c r="D51" s="30"/>
      <c r="E51" s="30"/>
      <c r="F51" s="30"/>
      <c r="G51" s="30"/>
      <c r="H51" s="30">
        <v>1.01</v>
      </c>
    </row>
    <row r="52" spans="1:8" x14ac:dyDescent="0.3">
      <c r="A52" s="20" t="s">
        <v>857</v>
      </c>
      <c r="B52" s="30">
        <v>8.2999999999999989</v>
      </c>
      <c r="C52" s="30">
        <v>16.530000000000005</v>
      </c>
      <c r="D52" s="30">
        <v>9.39</v>
      </c>
      <c r="E52" s="30">
        <v>15.94</v>
      </c>
      <c r="F52" s="30">
        <v>12.77</v>
      </c>
      <c r="G52" s="30"/>
      <c r="H52" s="30">
        <v>62.930000000000007</v>
      </c>
    </row>
    <row r="53" spans="1:8" x14ac:dyDescent="0.3">
      <c r="A53" s="20" t="s">
        <v>288</v>
      </c>
      <c r="B53" s="30"/>
      <c r="C53" s="30">
        <v>6.87</v>
      </c>
      <c r="D53" s="30">
        <v>4.07</v>
      </c>
      <c r="E53" s="30">
        <v>2.87</v>
      </c>
      <c r="F53" s="30">
        <v>2.46</v>
      </c>
      <c r="G53" s="30"/>
      <c r="H53" s="30">
        <v>16.270000000000003</v>
      </c>
    </row>
    <row r="54" spans="1:8" x14ac:dyDescent="0.3">
      <c r="A54" s="20" t="s">
        <v>11</v>
      </c>
      <c r="B54" s="30">
        <v>35.04</v>
      </c>
      <c r="C54" s="30">
        <v>61.809999999999995</v>
      </c>
      <c r="D54" s="30">
        <v>42.7</v>
      </c>
      <c r="E54" s="30">
        <v>45</v>
      </c>
      <c r="F54" s="30">
        <v>40.669999999999995</v>
      </c>
      <c r="G54" s="30"/>
      <c r="H54" s="30">
        <v>225.22</v>
      </c>
    </row>
    <row r="55" spans="1:8" x14ac:dyDescent="0.3">
      <c r="A55" s="20" t="s">
        <v>296</v>
      </c>
      <c r="B55" s="30"/>
      <c r="C55" s="30"/>
      <c r="D55" s="30">
        <v>0.67</v>
      </c>
      <c r="E55" s="30"/>
      <c r="F55" s="30"/>
      <c r="G55" s="30"/>
      <c r="H55" s="30">
        <v>0.67</v>
      </c>
    </row>
    <row r="56" spans="1:8" x14ac:dyDescent="0.3">
      <c r="A56" s="20" t="s">
        <v>297</v>
      </c>
      <c r="B56" s="30"/>
      <c r="C56" s="30">
        <v>0.57999999999999996</v>
      </c>
      <c r="D56" s="30"/>
      <c r="E56" s="30"/>
      <c r="F56" s="30"/>
      <c r="G56" s="30"/>
      <c r="H56" s="30">
        <v>0.57999999999999996</v>
      </c>
    </row>
    <row r="57" spans="1:8" x14ac:dyDescent="0.3">
      <c r="A57" s="20" t="s">
        <v>3920</v>
      </c>
      <c r="B57" s="30"/>
      <c r="C57" s="30"/>
      <c r="D57" s="30"/>
      <c r="E57" s="30"/>
      <c r="F57" s="30">
        <v>0.02</v>
      </c>
      <c r="G57" s="30"/>
      <c r="H57" s="30">
        <v>0.02</v>
      </c>
    </row>
    <row r="58" spans="1:8" x14ac:dyDescent="0.3">
      <c r="A58" s="20" t="s">
        <v>303</v>
      </c>
      <c r="B58" s="30"/>
      <c r="C58" s="30"/>
      <c r="D58" s="30"/>
      <c r="E58" s="30"/>
      <c r="F58" s="30">
        <v>2.34</v>
      </c>
      <c r="G58" s="30"/>
      <c r="H58" s="30">
        <v>2.34</v>
      </c>
    </row>
    <row r="59" spans="1:8" x14ac:dyDescent="0.3">
      <c r="A59" s="20" t="s">
        <v>1150</v>
      </c>
      <c r="B59" s="30">
        <v>1.7</v>
      </c>
      <c r="C59" s="30">
        <v>1.53</v>
      </c>
      <c r="D59" s="30">
        <v>1.1099999999999999</v>
      </c>
      <c r="E59" s="30"/>
      <c r="F59" s="30"/>
      <c r="G59" s="30"/>
      <c r="H59" s="30">
        <v>4.34</v>
      </c>
    </row>
    <row r="60" spans="1:8" x14ac:dyDescent="0.3">
      <c r="A60" s="20" t="s">
        <v>316</v>
      </c>
      <c r="B60" s="30">
        <v>2.62</v>
      </c>
      <c r="C60" s="30">
        <v>5.9399999999999995</v>
      </c>
      <c r="D60" s="30">
        <v>8.7100000000000009</v>
      </c>
      <c r="E60" s="30">
        <v>5.33</v>
      </c>
      <c r="F60" s="30">
        <v>8.27</v>
      </c>
      <c r="G60" s="30"/>
      <c r="H60" s="30">
        <v>30.87</v>
      </c>
    </row>
    <row r="61" spans="1:8" x14ac:dyDescent="0.3">
      <c r="A61" s="20" t="s">
        <v>336</v>
      </c>
      <c r="B61" s="30"/>
      <c r="C61" s="30"/>
      <c r="D61" s="30"/>
      <c r="E61" s="30">
        <v>6.3100000000000005</v>
      </c>
      <c r="F61" s="30">
        <v>1.2</v>
      </c>
      <c r="G61" s="30"/>
      <c r="H61" s="30">
        <v>7.5100000000000007</v>
      </c>
    </row>
    <row r="62" spans="1:8" x14ac:dyDescent="0.3">
      <c r="A62" s="20" t="s">
        <v>372</v>
      </c>
      <c r="B62" s="30"/>
      <c r="C62" s="30"/>
      <c r="D62" s="30">
        <v>0.33</v>
      </c>
      <c r="E62" s="30"/>
      <c r="F62" s="30"/>
      <c r="G62" s="30"/>
      <c r="H62" s="30">
        <v>0.33</v>
      </c>
    </row>
    <row r="63" spans="1:8" x14ac:dyDescent="0.3">
      <c r="A63" s="20" t="s">
        <v>373</v>
      </c>
      <c r="B63" s="30">
        <v>1.71</v>
      </c>
      <c r="C63" s="30">
        <v>7.0000000000000007E-2</v>
      </c>
      <c r="D63" s="30"/>
      <c r="E63" s="30">
        <v>0.47000000000000003</v>
      </c>
      <c r="F63" s="30"/>
      <c r="G63" s="30"/>
      <c r="H63" s="30">
        <v>2.25</v>
      </c>
    </row>
    <row r="64" spans="1:8" x14ac:dyDescent="0.3">
      <c r="A64" s="20" t="s">
        <v>375</v>
      </c>
      <c r="B64" s="30">
        <v>7.04</v>
      </c>
      <c r="C64" s="30">
        <v>11.16</v>
      </c>
      <c r="D64" s="30">
        <v>17.209999999999997</v>
      </c>
      <c r="E64" s="30">
        <v>15.81</v>
      </c>
      <c r="F64" s="30">
        <v>17.03</v>
      </c>
      <c r="G64" s="30"/>
      <c r="H64" s="30">
        <v>68.25</v>
      </c>
    </row>
    <row r="65" spans="1:8" x14ac:dyDescent="0.3">
      <c r="A65" s="20" t="s">
        <v>2605</v>
      </c>
      <c r="B65" s="30"/>
      <c r="C65" s="30"/>
      <c r="D65" s="30">
        <v>0.42000000000000004</v>
      </c>
      <c r="E65" s="30"/>
      <c r="F65" s="30">
        <v>2.15</v>
      </c>
      <c r="G65" s="30"/>
      <c r="H65" s="30">
        <v>2.57</v>
      </c>
    </row>
    <row r="66" spans="1:8" x14ac:dyDescent="0.3">
      <c r="A66" s="20" t="s">
        <v>2496</v>
      </c>
      <c r="B66" s="30"/>
      <c r="C66" s="30"/>
      <c r="D66" s="30">
        <v>0.71</v>
      </c>
      <c r="E66" s="30">
        <v>2.79</v>
      </c>
      <c r="F66" s="30"/>
      <c r="G66" s="30"/>
      <c r="H66" s="30">
        <v>3.5</v>
      </c>
    </row>
    <row r="67" spans="1:8" x14ac:dyDescent="0.3">
      <c r="A67" s="20" t="s">
        <v>1695</v>
      </c>
      <c r="B67" s="30"/>
      <c r="C67" s="30">
        <v>0.15</v>
      </c>
      <c r="D67" s="30"/>
      <c r="E67" s="30">
        <v>0.3</v>
      </c>
      <c r="F67" s="30"/>
      <c r="G67" s="30"/>
      <c r="H67" s="30">
        <v>0.44999999999999996</v>
      </c>
    </row>
    <row r="68" spans="1:8" x14ac:dyDescent="0.3">
      <c r="A68" s="20" t="s">
        <v>1013</v>
      </c>
      <c r="B68" s="30">
        <v>3.6100000000000003</v>
      </c>
      <c r="C68" s="30">
        <v>21.18</v>
      </c>
      <c r="D68" s="30">
        <v>21.41</v>
      </c>
      <c r="E68" s="30">
        <v>19.619999999999997</v>
      </c>
      <c r="F68" s="30">
        <v>16.800000000000004</v>
      </c>
      <c r="G68" s="30"/>
      <c r="H68" s="30">
        <v>82.62</v>
      </c>
    </row>
    <row r="69" spans="1:8" x14ac:dyDescent="0.3">
      <c r="A69" s="20" t="s">
        <v>1273</v>
      </c>
      <c r="B69" s="30">
        <v>2.4400000000000004</v>
      </c>
      <c r="C69" s="30">
        <v>6.13</v>
      </c>
      <c r="D69" s="30">
        <v>5.1199999999999992</v>
      </c>
      <c r="E69" s="30"/>
      <c r="F69" s="30">
        <v>5.62</v>
      </c>
      <c r="G69" s="30"/>
      <c r="H69" s="30">
        <v>19.309999999999999</v>
      </c>
    </row>
    <row r="70" spans="1:8" x14ac:dyDescent="0.3">
      <c r="A70" s="20" t="s">
        <v>417</v>
      </c>
      <c r="B70" s="30">
        <v>1.48</v>
      </c>
      <c r="C70" s="30"/>
      <c r="D70" s="30">
        <v>2.08</v>
      </c>
      <c r="E70" s="30">
        <v>7.0000000000000007E-2</v>
      </c>
      <c r="F70" s="30"/>
      <c r="G70" s="30"/>
      <c r="H70" s="30">
        <v>3.63</v>
      </c>
    </row>
    <row r="71" spans="1:8" x14ac:dyDescent="0.3">
      <c r="A71" s="20" t="s">
        <v>944</v>
      </c>
      <c r="B71" s="30">
        <v>0.08</v>
      </c>
      <c r="C71" s="30">
        <v>1.34</v>
      </c>
      <c r="D71" s="30"/>
      <c r="E71" s="30">
        <v>0.08</v>
      </c>
      <c r="F71" s="30"/>
      <c r="G71" s="30"/>
      <c r="H71" s="30">
        <v>1.5000000000000002</v>
      </c>
    </row>
    <row r="72" spans="1:8" x14ac:dyDescent="0.3">
      <c r="A72" s="20" t="s">
        <v>430</v>
      </c>
      <c r="B72" s="30">
        <v>20.329999999999998</v>
      </c>
      <c r="C72" s="30">
        <v>51.47</v>
      </c>
      <c r="D72" s="30">
        <v>48.03</v>
      </c>
      <c r="E72" s="30">
        <v>50.900000000000006</v>
      </c>
      <c r="F72" s="30">
        <v>38.57</v>
      </c>
      <c r="G72" s="30"/>
      <c r="H72" s="30">
        <v>209.3</v>
      </c>
    </row>
    <row r="73" spans="1:8" x14ac:dyDescent="0.3">
      <c r="A73" s="20" t="s">
        <v>767</v>
      </c>
      <c r="B73" s="30">
        <v>0.25</v>
      </c>
      <c r="C73" s="30">
        <v>0.08</v>
      </c>
      <c r="D73" s="30">
        <v>0.37</v>
      </c>
      <c r="E73" s="30">
        <v>0.33</v>
      </c>
      <c r="F73" s="30">
        <v>0.35</v>
      </c>
      <c r="G73" s="30"/>
      <c r="H73" s="30">
        <v>1.38</v>
      </c>
    </row>
    <row r="74" spans="1:8" x14ac:dyDescent="0.3">
      <c r="A74" s="20" t="s">
        <v>455</v>
      </c>
      <c r="B74" s="30">
        <v>0.33</v>
      </c>
      <c r="C74" s="30">
        <v>19.03</v>
      </c>
      <c r="D74" s="30">
        <v>32.969999999999985</v>
      </c>
      <c r="E74" s="30">
        <v>18.649999999999999</v>
      </c>
      <c r="F74" s="30">
        <v>13.74</v>
      </c>
      <c r="G74" s="30"/>
      <c r="H74" s="30">
        <v>84.719999999999985</v>
      </c>
    </row>
    <row r="75" spans="1:8" x14ac:dyDescent="0.3">
      <c r="A75" s="20" t="s">
        <v>458</v>
      </c>
      <c r="B75" s="30">
        <v>0.78</v>
      </c>
      <c r="C75" s="30">
        <v>0.80999999999999994</v>
      </c>
      <c r="D75" s="30">
        <v>1.7800000000000002</v>
      </c>
      <c r="E75" s="30">
        <v>2.62</v>
      </c>
      <c r="F75" s="30">
        <v>3.13</v>
      </c>
      <c r="G75" s="30"/>
      <c r="H75" s="30">
        <v>9.120000000000001</v>
      </c>
    </row>
    <row r="76" spans="1:8" x14ac:dyDescent="0.3">
      <c r="A76" s="20" t="s">
        <v>922</v>
      </c>
      <c r="B76" s="30">
        <v>0.87</v>
      </c>
      <c r="C76" s="30">
        <v>0.42000000000000004</v>
      </c>
      <c r="D76" s="30">
        <v>6.14</v>
      </c>
      <c r="E76" s="30">
        <v>0.27</v>
      </c>
      <c r="F76" s="30">
        <v>0.42</v>
      </c>
      <c r="G76" s="30"/>
      <c r="H76" s="30">
        <v>8.1199999999999992</v>
      </c>
    </row>
    <row r="77" spans="1:8" x14ac:dyDescent="0.3">
      <c r="A77" s="20" t="s">
        <v>471</v>
      </c>
      <c r="B77" s="30"/>
      <c r="C77" s="30">
        <v>2.75</v>
      </c>
      <c r="D77" s="30">
        <v>3</v>
      </c>
      <c r="E77" s="30">
        <v>3.75</v>
      </c>
      <c r="F77" s="30">
        <v>3</v>
      </c>
      <c r="G77" s="30"/>
      <c r="H77" s="30">
        <v>12.5</v>
      </c>
    </row>
    <row r="78" spans="1:8" x14ac:dyDescent="0.3">
      <c r="A78" s="20" t="s">
        <v>479</v>
      </c>
      <c r="B78" s="30"/>
      <c r="C78" s="30">
        <v>0.32</v>
      </c>
      <c r="D78" s="30">
        <v>0.05</v>
      </c>
      <c r="E78" s="30"/>
      <c r="F78" s="30">
        <v>1.22</v>
      </c>
      <c r="G78" s="30"/>
      <c r="H78" s="30">
        <v>1.5899999999999999</v>
      </c>
    </row>
    <row r="79" spans="1:8" x14ac:dyDescent="0.3">
      <c r="A79" s="20" t="s">
        <v>805</v>
      </c>
      <c r="B79" s="30">
        <v>0.02</v>
      </c>
      <c r="C79" s="30"/>
      <c r="D79" s="30"/>
      <c r="E79" s="30"/>
      <c r="F79" s="30"/>
      <c r="G79" s="30"/>
      <c r="H79" s="30">
        <v>0.02</v>
      </c>
    </row>
    <row r="80" spans="1:8" x14ac:dyDescent="0.3">
      <c r="A80" s="20" t="s">
        <v>817</v>
      </c>
      <c r="B80" s="30">
        <v>7.0200000000000005</v>
      </c>
      <c r="C80" s="30">
        <v>1.75</v>
      </c>
      <c r="D80" s="30">
        <v>1</v>
      </c>
      <c r="E80" s="30"/>
      <c r="F80" s="30">
        <v>9.5700000000000021</v>
      </c>
      <c r="G80" s="30"/>
      <c r="H80" s="30">
        <v>19.340000000000003</v>
      </c>
    </row>
    <row r="81" spans="1:8" x14ac:dyDescent="0.3">
      <c r="A81" s="20" t="s">
        <v>814</v>
      </c>
      <c r="B81" s="30">
        <v>1.22</v>
      </c>
      <c r="C81" s="30">
        <v>2.5</v>
      </c>
      <c r="D81" s="30">
        <v>1.58</v>
      </c>
      <c r="E81" s="30">
        <v>2.08</v>
      </c>
      <c r="F81" s="30">
        <v>8.99</v>
      </c>
      <c r="G81" s="30"/>
      <c r="H81" s="30">
        <v>16.37</v>
      </c>
    </row>
    <row r="82" spans="1:8" x14ac:dyDescent="0.3">
      <c r="A82" s="20" t="s">
        <v>815</v>
      </c>
      <c r="B82" s="30">
        <v>2.1100000000000003</v>
      </c>
      <c r="C82" s="30">
        <v>3.7199999999999993</v>
      </c>
      <c r="D82" s="30">
        <v>4.7300000000000004</v>
      </c>
      <c r="E82" s="30">
        <v>6.47</v>
      </c>
      <c r="F82" s="30">
        <v>10.190000000000001</v>
      </c>
      <c r="G82" s="30"/>
      <c r="H82" s="30">
        <v>27.220000000000002</v>
      </c>
    </row>
    <row r="83" spans="1:8" x14ac:dyDescent="0.3">
      <c r="A83" s="20" t="s">
        <v>811</v>
      </c>
      <c r="B83" s="30">
        <v>0.95000000000000007</v>
      </c>
      <c r="C83" s="30">
        <v>2.9300000000000006</v>
      </c>
      <c r="D83" s="30">
        <v>9.0500000000000007</v>
      </c>
      <c r="E83" s="30">
        <v>2.4300000000000002</v>
      </c>
      <c r="F83" s="30">
        <v>6.57</v>
      </c>
      <c r="G83" s="30"/>
      <c r="H83" s="30">
        <v>21.93</v>
      </c>
    </row>
    <row r="84" spans="1:8" x14ac:dyDescent="0.3">
      <c r="A84" s="20" t="s">
        <v>813</v>
      </c>
      <c r="B84" s="30">
        <v>1.98</v>
      </c>
      <c r="C84" s="30">
        <v>11.450000000000001</v>
      </c>
      <c r="D84" s="30">
        <v>4.38</v>
      </c>
      <c r="E84" s="30">
        <v>3.9700000000000006</v>
      </c>
      <c r="F84" s="30">
        <v>1.8</v>
      </c>
      <c r="G84" s="30"/>
      <c r="H84" s="30">
        <v>23.580000000000002</v>
      </c>
    </row>
    <row r="85" spans="1:8" x14ac:dyDescent="0.3">
      <c r="A85" s="20" t="s">
        <v>1069</v>
      </c>
      <c r="B85" s="30">
        <v>0.17</v>
      </c>
      <c r="C85" s="30">
        <v>1.41</v>
      </c>
      <c r="D85" s="30">
        <v>0.63</v>
      </c>
      <c r="E85" s="30">
        <v>1.64</v>
      </c>
      <c r="F85" s="30">
        <v>0.89</v>
      </c>
      <c r="G85" s="30"/>
      <c r="H85" s="30">
        <v>4.7399999999999993</v>
      </c>
    </row>
    <row r="86" spans="1:8" x14ac:dyDescent="0.3">
      <c r="A86" s="20" t="s">
        <v>879</v>
      </c>
      <c r="B86" s="30">
        <v>9.51</v>
      </c>
      <c r="C86" s="30">
        <v>58.03</v>
      </c>
      <c r="D86" s="30">
        <v>33.079999999999991</v>
      </c>
      <c r="E86" s="30">
        <v>44.339999999999996</v>
      </c>
      <c r="F86" s="30">
        <v>42.140000000000008</v>
      </c>
      <c r="G86" s="30"/>
      <c r="H86" s="30">
        <v>187.10000000000002</v>
      </c>
    </row>
    <row r="87" spans="1:8" x14ac:dyDescent="0.3">
      <c r="A87" s="20" t="s">
        <v>770</v>
      </c>
      <c r="B87" s="30">
        <v>0.5</v>
      </c>
      <c r="C87" s="30">
        <v>2.5499999999999998</v>
      </c>
      <c r="D87" s="30">
        <v>0.53</v>
      </c>
      <c r="E87" s="30">
        <v>1.07</v>
      </c>
      <c r="F87" s="30">
        <v>0.18</v>
      </c>
      <c r="G87" s="30"/>
      <c r="H87" s="30">
        <v>4.83</v>
      </c>
    </row>
    <row r="88" spans="1:8" x14ac:dyDescent="0.3">
      <c r="A88" s="20" t="s">
        <v>507</v>
      </c>
      <c r="B88" s="30">
        <v>1.38</v>
      </c>
      <c r="C88" s="30">
        <v>1.73</v>
      </c>
      <c r="D88" s="30">
        <v>3.38</v>
      </c>
      <c r="E88" s="30">
        <v>1.5</v>
      </c>
      <c r="F88" s="30"/>
      <c r="G88" s="30"/>
      <c r="H88" s="30">
        <v>7.99</v>
      </c>
    </row>
    <row r="89" spans="1:8" x14ac:dyDescent="0.3">
      <c r="A89" s="20" t="s">
        <v>508</v>
      </c>
      <c r="B89" s="30"/>
      <c r="C89" s="30"/>
      <c r="D89" s="30"/>
      <c r="E89" s="30">
        <v>1.36</v>
      </c>
      <c r="F89" s="30"/>
      <c r="G89" s="30"/>
      <c r="H89" s="30">
        <v>1.36</v>
      </c>
    </row>
    <row r="90" spans="1:8" x14ac:dyDescent="0.3">
      <c r="A90" s="20" t="s">
        <v>10</v>
      </c>
      <c r="B90" s="30">
        <v>0.55000000000000004</v>
      </c>
      <c r="C90" s="30">
        <v>2.75</v>
      </c>
      <c r="D90" s="30">
        <v>0.56000000000000005</v>
      </c>
      <c r="E90" s="30">
        <v>2.0699999999999998</v>
      </c>
      <c r="F90" s="30">
        <v>2.75</v>
      </c>
      <c r="G90" s="30"/>
      <c r="H90" s="30">
        <v>8.68</v>
      </c>
    </row>
    <row r="91" spans="1:8" x14ac:dyDescent="0.3">
      <c r="A91" s="20" t="s">
        <v>511</v>
      </c>
      <c r="B91" s="30"/>
      <c r="C91" s="30"/>
      <c r="D91" s="30"/>
      <c r="E91" s="30"/>
      <c r="F91" s="30">
        <v>0.05</v>
      </c>
      <c r="G91" s="30"/>
      <c r="H91" s="30">
        <v>0.05</v>
      </c>
    </row>
    <row r="92" spans="1:8" x14ac:dyDescent="0.3">
      <c r="A92" s="20" t="s">
        <v>985</v>
      </c>
      <c r="B92" s="30">
        <v>1.02</v>
      </c>
      <c r="C92" s="30">
        <v>11.219999999999999</v>
      </c>
      <c r="D92" s="30">
        <v>8.0100000000000016</v>
      </c>
      <c r="E92" s="30">
        <v>7.66</v>
      </c>
      <c r="F92" s="30">
        <v>6.4399999999999995</v>
      </c>
      <c r="G92" s="30"/>
      <c r="H92" s="30">
        <v>34.35</v>
      </c>
    </row>
    <row r="93" spans="1:8" x14ac:dyDescent="0.3">
      <c r="A93" s="20" t="s">
        <v>516</v>
      </c>
      <c r="B93" s="30">
        <v>5.16</v>
      </c>
      <c r="C93" s="30">
        <v>11.41</v>
      </c>
      <c r="D93" s="30">
        <v>10.42</v>
      </c>
      <c r="E93" s="30">
        <v>16.66</v>
      </c>
      <c r="F93" s="30">
        <v>7.77</v>
      </c>
      <c r="G93" s="30"/>
      <c r="H93" s="30">
        <v>51.42</v>
      </c>
    </row>
    <row r="94" spans="1:8" x14ac:dyDescent="0.3">
      <c r="A94" s="20" t="s">
        <v>519</v>
      </c>
      <c r="B94" s="30"/>
      <c r="C94" s="30">
        <v>0.35</v>
      </c>
      <c r="D94" s="30"/>
      <c r="E94" s="30"/>
      <c r="F94" s="30">
        <v>7.0000000000000007E-2</v>
      </c>
      <c r="G94" s="30"/>
      <c r="H94" s="30">
        <v>0.42</v>
      </c>
    </row>
    <row r="95" spans="1:8" x14ac:dyDescent="0.3">
      <c r="A95" s="20" t="s">
        <v>898</v>
      </c>
      <c r="B95" s="30">
        <v>6.4700000000000006</v>
      </c>
      <c r="C95" s="30">
        <v>24.539999999999996</v>
      </c>
      <c r="D95" s="30">
        <v>11.110000000000001</v>
      </c>
      <c r="E95" s="30">
        <v>10.47</v>
      </c>
      <c r="F95" s="30">
        <v>5.1199999999999992</v>
      </c>
      <c r="G95" s="30"/>
      <c r="H95" s="30">
        <v>57.709999999999994</v>
      </c>
    </row>
    <row r="96" spans="1:8" x14ac:dyDescent="0.3">
      <c r="A96" s="20" t="s">
        <v>1876</v>
      </c>
      <c r="B96" s="30"/>
      <c r="C96" s="30">
        <v>3</v>
      </c>
      <c r="D96" s="30"/>
      <c r="E96" s="30"/>
      <c r="F96" s="30">
        <v>0.5</v>
      </c>
      <c r="G96" s="30"/>
      <c r="H96" s="30">
        <v>3.5</v>
      </c>
    </row>
    <row r="97" spans="1:8" x14ac:dyDescent="0.3">
      <c r="A97" s="20" t="s">
        <v>529</v>
      </c>
      <c r="B97" s="30"/>
      <c r="C97" s="30"/>
      <c r="D97" s="30">
        <v>0.67</v>
      </c>
      <c r="E97" s="30"/>
      <c r="F97" s="30"/>
      <c r="G97" s="30"/>
      <c r="H97" s="30">
        <v>0.67</v>
      </c>
    </row>
    <row r="98" spans="1:8" x14ac:dyDescent="0.3">
      <c r="A98" s="20" t="s">
        <v>531</v>
      </c>
      <c r="B98" s="30"/>
      <c r="C98" s="30">
        <v>0.57999999999999996</v>
      </c>
      <c r="D98" s="30"/>
      <c r="E98" s="30"/>
      <c r="F98" s="30"/>
      <c r="G98" s="30"/>
      <c r="H98" s="30">
        <v>0.57999999999999996</v>
      </c>
    </row>
    <row r="99" spans="1:8" x14ac:dyDescent="0.3">
      <c r="A99" s="20" t="s">
        <v>885</v>
      </c>
      <c r="B99" s="30">
        <v>1.4499999999999997</v>
      </c>
      <c r="C99" s="30">
        <v>2.58</v>
      </c>
      <c r="D99" s="30">
        <v>3.4000000000000004</v>
      </c>
      <c r="E99" s="30">
        <v>4.33</v>
      </c>
      <c r="F99" s="30">
        <v>3.4</v>
      </c>
      <c r="G99" s="30"/>
      <c r="H99" s="30">
        <v>15.16</v>
      </c>
    </row>
    <row r="100" spans="1:8" x14ac:dyDescent="0.3">
      <c r="A100" s="20" t="s">
        <v>882</v>
      </c>
      <c r="B100" s="30">
        <v>5.9300000000000006</v>
      </c>
      <c r="C100" s="30">
        <v>9.370000000000001</v>
      </c>
      <c r="D100" s="30">
        <v>11.35</v>
      </c>
      <c r="E100" s="30">
        <v>2.33</v>
      </c>
      <c r="F100" s="30">
        <v>8.17</v>
      </c>
      <c r="G100" s="30"/>
      <c r="H100" s="30">
        <v>37.15</v>
      </c>
    </row>
    <row r="101" spans="1:8" x14ac:dyDescent="0.3">
      <c r="A101" s="20" t="s">
        <v>553</v>
      </c>
      <c r="B101" s="30">
        <v>1.98</v>
      </c>
      <c r="C101" s="30">
        <v>3.1599999999999997</v>
      </c>
      <c r="D101" s="30">
        <v>1.61</v>
      </c>
      <c r="E101" s="30">
        <v>2.2200000000000002</v>
      </c>
      <c r="F101" s="30">
        <v>0.27</v>
      </c>
      <c r="G101" s="30"/>
      <c r="H101" s="30">
        <v>9.24</v>
      </c>
    </row>
    <row r="102" spans="1:8" x14ac:dyDescent="0.3">
      <c r="A102" s="20" t="s">
        <v>561</v>
      </c>
      <c r="B102" s="30">
        <v>1.53</v>
      </c>
      <c r="C102" s="30">
        <v>1.85</v>
      </c>
      <c r="D102" s="30">
        <v>6.5000000000000009</v>
      </c>
      <c r="E102" s="30">
        <v>5.0999999999999996</v>
      </c>
      <c r="F102" s="30">
        <v>1.22</v>
      </c>
      <c r="G102" s="30"/>
      <c r="H102" s="30">
        <v>16.2</v>
      </c>
    </row>
    <row r="103" spans="1:8" x14ac:dyDescent="0.3">
      <c r="A103" s="20" t="s">
        <v>562</v>
      </c>
      <c r="B103" s="30">
        <v>3.2</v>
      </c>
      <c r="C103" s="30">
        <v>10.580000000000002</v>
      </c>
      <c r="D103" s="30">
        <v>13.4</v>
      </c>
      <c r="E103" s="30">
        <v>11.91</v>
      </c>
      <c r="F103" s="30">
        <v>11.37</v>
      </c>
      <c r="G103" s="30"/>
      <c r="H103" s="30">
        <v>50.46</v>
      </c>
    </row>
    <row r="104" spans="1:8" x14ac:dyDescent="0.3">
      <c r="A104" s="20" t="s">
        <v>910</v>
      </c>
      <c r="B104" s="30">
        <v>0.81</v>
      </c>
      <c r="C104" s="30">
        <v>0.88</v>
      </c>
      <c r="D104" s="30">
        <v>1.22</v>
      </c>
      <c r="E104" s="30">
        <v>6.3100000000000005</v>
      </c>
      <c r="F104" s="30">
        <v>0.66</v>
      </c>
      <c r="G104" s="30"/>
      <c r="H104" s="30">
        <v>9.8800000000000008</v>
      </c>
    </row>
    <row r="105" spans="1:8" x14ac:dyDescent="0.3">
      <c r="A105" s="20" t="s">
        <v>1172</v>
      </c>
      <c r="B105" s="30">
        <v>0.17</v>
      </c>
      <c r="C105" s="30">
        <v>1.9900000000000002</v>
      </c>
      <c r="D105" s="30">
        <v>0.4</v>
      </c>
      <c r="E105" s="30"/>
      <c r="F105" s="30"/>
      <c r="G105" s="30"/>
      <c r="H105" s="30">
        <v>2.56</v>
      </c>
    </row>
    <row r="106" spans="1:8" x14ac:dyDescent="0.3">
      <c r="A106" s="20" t="s">
        <v>2987</v>
      </c>
      <c r="B106" s="30"/>
      <c r="C106" s="30"/>
      <c r="D106" s="30">
        <v>0.17</v>
      </c>
      <c r="E106" s="30">
        <v>0.17</v>
      </c>
      <c r="F106" s="30"/>
      <c r="G106" s="30"/>
      <c r="H106" s="30">
        <v>0.34</v>
      </c>
    </row>
    <row r="107" spans="1:8" x14ac:dyDescent="0.3">
      <c r="A107" s="20" t="s">
        <v>563</v>
      </c>
      <c r="B107" s="30">
        <v>1.46</v>
      </c>
      <c r="C107" s="30">
        <v>1.58</v>
      </c>
      <c r="D107" s="30">
        <v>2.6899999999999995</v>
      </c>
      <c r="E107" s="30">
        <v>6.6500000000000012</v>
      </c>
      <c r="F107" s="30">
        <v>1</v>
      </c>
      <c r="G107" s="30"/>
      <c r="H107" s="30">
        <v>13.38</v>
      </c>
    </row>
    <row r="108" spans="1:8" x14ac:dyDescent="0.3">
      <c r="A108" s="20" t="s">
        <v>564</v>
      </c>
      <c r="B108" s="30"/>
      <c r="C108" s="30">
        <v>5.77</v>
      </c>
      <c r="D108" s="30">
        <v>9.5</v>
      </c>
      <c r="E108" s="30">
        <v>5.37</v>
      </c>
      <c r="F108" s="30">
        <v>6.3100000000000005</v>
      </c>
      <c r="G108" s="30"/>
      <c r="H108" s="30">
        <v>26.950000000000003</v>
      </c>
    </row>
    <row r="109" spans="1:8" x14ac:dyDescent="0.3">
      <c r="A109" s="20" t="s">
        <v>570</v>
      </c>
      <c r="B109" s="30">
        <v>0.1</v>
      </c>
      <c r="C109" s="30"/>
      <c r="D109" s="30"/>
      <c r="E109" s="30"/>
      <c r="F109" s="30"/>
      <c r="G109" s="30"/>
      <c r="H109" s="30">
        <v>0.1</v>
      </c>
    </row>
    <row r="110" spans="1:8" x14ac:dyDescent="0.3">
      <c r="A110" s="20" t="s">
        <v>2261</v>
      </c>
      <c r="B110" s="30"/>
      <c r="C110" s="30"/>
      <c r="D110" s="30">
        <v>2.7199999999999998</v>
      </c>
      <c r="E110" s="30">
        <v>1</v>
      </c>
      <c r="F110" s="30">
        <v>2.2000000000000002</v>
      </c>
      <c r="G110" s="30"/>
      <c r="H110" s="30">
        <v>5.92</v>
      </c>
    </row>
    <row r="111" spans="1:8" x14ac:dyDescent="0.3">
      <c r="A111" s="20" t="s">
        <v>1409</v>
      </c>
      <c r="B111" s="30"/>
      <c r="C111" s="30">
        <v>2.33</v>
      </c>
      <c r="D111" s="30"/>
      <c r="E111" s="30"/>
      <c r="F111" s="30"/>
      <c r="G111" s="30"/>
      <c r="H111" s="30">
        <v>2.33</v>
      </c>
    </row>
    <row r="112" spans="1:8" x14ac:dyDescent="0.3">
      <c r="A112" s="20" t="s">
        <v>717</v>
      </c>
      <c r="B112" s="30">
        <v>1.23</v>
      </c>
      <c r="C112" s="30">
        <v>7.6000000000000005</v>
      </c>
      <c r="D112" s="30">
        <v>1.5699999999999998</v>
      </c>
      <c r="E112" s="30">
        <v>9.14</v>
      </c>
      <c r="F112" s="30">
        <v>4.9000000000000004</v>
      </c>
      <c r="G112" s="30"/>
      <c r="H112" s="30">
        <v>24.439999999999998</v>
      </c>
    </row>
    <row r="113" spans="1:8" x14ac:dyDescent="0.3">
      <c r="A113" s="20" t="s">
        <v>583</v>
      </c>
      <c r="B113" s="30"/>
      <c r="C113" s="30">
        <v>3.89</v>
      </c>
      <c r="D113" s="30"/>
      <c r="E113" s="30">
        <v>23.07</v>
      </c>
      <c r="F113" s="30"/>
      <c r="G113" s="30"/>
      <c r="H113" s="30">
        <v>26.96</v>
      </c>
    </row>
    <row r="114" spans="1:8" x14ac:dyDescent="0.3">
      <c r="A114" s="20" t="s">
        <v>585</v>
      </c>
      <c r="B114" s="30">
        <v>1.58</v>
      </c>
      <c r="C114" s="30">
        <v>4.83</v>
      </c>
      <c r="D114" s="30">
        <v>2.35</v>
      </c>
      <c r="E114" s="30">
        <v>0.48</v>
      </c>
      <c r="F114" s="30">
        <v>0.88000000000000012</v>
      </c>
      <c r="G114" s="30"/>
      <c r="H114" s="30">
        <v>10.120000000000001</v>
      </c>
    </row>
    <row r="115" spans="1:8" x14ac:dyDescent="0.3">
      <c r="A115" s="20" t="s">
        <v>589</v>
      </c>
      <c r="B115" s="30">
        <v>21.439999999999998</v>
      </c>
      <c r="C115" s="30">
        <v>10.53</v>
      </c>
      <c r="D115" s="30">
        <v>12.799999999999997</v>
      </c>
      <c r="E115" s="30">
        <v>21.520000000000003</v>
      </c>
      <c r="F115" s="30">
        <v>19.96</v>
      </c>
      <c r="G115" s="30"/>
      <c r="H115" s="30">
        <v>86.25</v>
      </c>
    </row>
    <row r="116" spans="1:8" x14ac:dyDescent="0.3">
      <c r="A116" s="20" t="s">
        <v>757</v>
      </c>
      <c r="B116" s="30">
        <v>9.4</v>
      </c>
      <c r="C116" s="30">
        <v>22.76</v>
      </c>
      <c r="D116" s="30">
        <v>30.95</v>
      </c>
      <c r="E116" s="30">
        <v>12.100000000000001</v>
      </c>
      <c r="F116" s="30">
        <v>6.0100000000000007</v>
      </c>
      <c r="G116" s="30"/>
      <c r="H116" s="30">
        <v>81.220000000000013</v>
      </c>
    </row>
    <row r="117" spans="1:8" x14ac:dyDescent="0.3">
      <c r="A117" s="20" t="s">
        <v>602</v>
      </c>
      <c r="B117" s="30">
        <v>5.18</v>
      </c>
      <c r="C117" s="30">
        <v>6.0600000000000005</v>
      </c>
      <c r="D117" s="30">
        <v>11.900000000000002</v>
      </c>
      <c r="E117" s="30">
        <v>14.739999999999998</v>
      </c>
      <c r="F117" s="30">
        <v>9.6199999999999992</v>
      </c>
      <c r="G117" s="30"/>
      <c r="H117" s="30">
        <v>47.499999999999993</v>
      </c>
    </row>
    <row r="118" spans="1:8" x14ac:dyDescent="0.3">
      <c r="A118" s="20" t="s">
        <v>606</v>
      </c>
      <c r="B118" s="30"/>
      <c r="C118" s="30"/>
      <c r="D118" s="30"/>
      <c r="E118" s="30">
        <v>0.17</v>
      </c>
      <c r="F118" s="30">
        <v>2.2000000000000002</v>
      </c>
      <c r="G118" s="30"/>
      <c r="H118" s="30">
        <v>2.37</v>
      </c>
    </row>
    <row r="119" spans="1:8" x14ac:dyDescent="0.3">
      <c r="A119" s="20" t="s">
        <v>2435</v>
      </c>
      <c r="B119" s="30"/>
      <c r="C119" s="30"/>
      <c r="D119" s="30">
        <v>9.5</v>
      </c>
      <c r="E119" s="30">
        <v>1.42</v>
      </c>
      <c r="F119" s="30">
        <v>0.25</v>
      </c>
      <c r="G119" s="30"/>
      <c r="H119" s="30">
        <v>11.17</v>
      </c>
    </row>
    <row r="120" spans="1:8" x14ac:dyDescent="0.3">
      <c r="A120" s="20" t="s">
        <v>2867</v>
      </c>
      <c r="B120" s="30"/>
      <c r="C120" s="30"/>
      <c r="D120" s="30">
        <v>0.43</v>
      </c>
      <c r="E120" s="30"/>
      <c r="F120" s="30"/>
      <c r="G120" s="30"/>
      <c r="H120" s="30">
        <v>0.43</v>
      </c>
    </row>
    <row r="121" spans="1:8" x14ac:dyDescent="0.3">
      <c r="A121" s="20" t="s">
        <v>623</v>
      </c>
      <c r="B121" s="30"/>
      <c r="C121" s="30">
        <v>2.0900000000000003</v>
      </c>
      <c r="D121" s="30">
        <v>7.5</v>
      </c>
      <c r="E121" s="30">
        <v>1.65</v>
      </c>
      <c r="F121" s="30">
        <v>0.5</v>
      </c>
      <c r="G121" s="30"/>
      <c r="H121" s="30">
        <v>11.74</v>
      </c>
    </row>
    <row r="122" spans="1:8" x14ac:dyDescent="0.3">
      <c r="A122" s="20" t="s">
        <v>2797</v>
      </c>
      <c r="B122" s="30"/>
      <c r="C122" s="30"/>
      <c r="D122" s="30">
        <v>0.92</v>
      </c>
      <c r="E122" s="30">
        <v>3.77</v>
      </c>
      <c r="F122" s="30">
        <v>0.88000000000000012</v>
      </c>
      <c r="G122" s="30"/>
      <c r="H122" s="30">
        <v>5.57</v>
      </c>
    </row>
    <row r="123" spans="1:8" x14ac:dyDescent="0.3">
      <c r="A123" s="20" t="s">
        <v>624</v>
      </c>
      <c r="B123" s="30"/>
      <c r="C123" s="30"/>
      <c r="D123" s="30"/>
      <c r="E123" s="30">
        <v>1.33</v>
      </c>
      <c r="F123" s="30">
        <v>1.6</v>
      </c>
      <c r="G123" s="30"/>
      <c r="H123" s="30">
        <v>2.93</v>
      </c>
    </row>
    <row r="124" spans="1:8" x14ac:dyDescent="0.3">
      <c r="A124" s="20" t="s">
        <v>3357</v>
      </c>
      <c r="B124" s="30"/>
      <c r="C124" s="30"/>
      <c r="D124" s="30"/>
      <c r="E124" s="30">
        <v>1.2</v>
      </c>
      <c r="F124" s="30">
        <v>0.08</v>
      </c>
      <c r="G124" s="30"/>
      <c r="H124" s="30">
        <v>1.28</v>
      </c>
    </row>
    <row r="125" spans="1:8" x14ac:dyDescent="0.3">
      <c r="A125" s="20" t="s">
        <v>626</v>
      </c>
      <c r="B125" s="30"/>
      <c r="C125" s="30">
        <v>0.32</v>
      </c>
      <c r="D125" s="30">
        <v>7.0000000000000007E-2</v>
      </c>
      <c r="E125" s="30"/>
      <c r="F125" s="30">
        <v>0.55000000000000004</v>
      </c>
      <c r="G125" s="30"/>
      <c r="H125" s="30">
        <v>0.94000000000000006</v>
      </c>
    </row>
    <row r="126" spans="1:8" x14ac:dyDescent="0.3">
      <c r="A126" s="20" t="s">
        <v>1340</v>
      </c>
      <c r="B126" s="30"/>
      <c r="C126" s="30">
        <v>0.17</v>
      </c>
      <c r="D126" s="30"/>
      <c r="E126" s="30">
        <v>0.25</v>
      </c>
      <c r="F126" s="30"/>
      <c r="G126" s="30"/>
      <c r="H126" s="30">
        <v>0.42000000000000004</v>
      </c>
    </row>
    <row r="127" spans="1:8" x14ac:dyDescent="0.3">
      <c r="A127" s="20" t="s">
        <v>1342</v>
      </c>
      <c r="B127" s="30"/>
      <c r="C127" s="30">
        <v>0.25</v>
      </c>
      <c r="D127" s="30">
        <v>0.33</v>
      </c>
      <c r="E127" s="30">
        <v>0.57999999999999996</v>
      </c>
      <c r="F127" s="30"/>
      <c r="G127" s="30"/>
      <c r="H127" s="30">
        <v>1.1600000000000001</v>
      </c>
    </row>
    <row r="128" spans="1:8" x14ac:dyDescent="0.3">
      <c r="A128" s="20" t="s">
        <v>1343</v>
      </c>
      <c r="B128" s="30"/>
      <c r="C128" s="30">
        <v>0.25</v>
      </c>
      <c r="D128" s="30">
        <v>0.17</v>
      </c>
      <c r="E128" s="30">
        <v>0.17</v>
      </c>
      <c r="F128" s="30"/>
      <c r="G128" s="30"/>
      <c r="H128" s="30">
        <v>0.59000000000000008</v>
      </c>
    </row>
    <row r="129" spans="1:8" x14ac:dyDescent="0.3">
      <c r="A129" s="20" t="s">
        <v>628</v>
      </c>
      <c r="B129" s="30">
        <v>0.47</v>
      </c>
      <c r="C129" s="30">
        <v>1.53</v>
      </c>
      <c r="D129" s="30">
        <v>1.9500000000000002</v>
      </c>
      <c r="E129" s="30">
        <v>4.2299999999999995</v>
      </c>
      <c r="F129" s="30">
        <v>3.1799999999999997</v>
      </c>
      <c r="G129" s="30"/>
      <c r="H129" s="30">
        <v>11.36</v>
      </c>
    </row>
    <row r="130" spans="1:8" x14ac:dyDescent="0.3">
      <c r="A130" s="20" t="s">
        <v>630</v>
      </c>
      <c r="B130" s="30">
        <v>0.44999999999999996</v>
      </c>
      <c r="C130" s="30">
        <v>7.6</v>
      </c>
      <c r="D130" s="30">
        <v>1.7</v>
      </c>
      <c r="E130" s="30">
        <v>3</v>
      </c>
      <c r="F130" s="30">
        <v>3.15</v>
      </c>
      <c r="G130" s="30"/>
      <c r="H130" s="30">
        <v>15.899999999999999</v>
      </c>
    </row>
    <row r="131" spans="1:8" x14ac:dyDescent="0.3">
      <c r="A131" s="20" t="s">
        <v>632</v>
      </c>
      <c r="B131" s="30"/>
      <c r="C131" s="30"/>
      <c r="D131" s="30"/>
      <c r="E131" s="30">
        <v>1.4300000000000002</v>
      </c>
      <c r="F131" s="30"/>
      <c r="G131" s="30"/>
      <c r="H131" s="30">
        <v>1.4300000000000002</v>
      </c>
    </row>
    <row r="132" spans="1:8" x14ac:dyDescent="0.3">
      <c r="A132" s="20" t="s">
        <v>4202</v>
      </c>
      <c r="B132" s="30"/>
      <c r="C132" s="30"/>
      <c r="D132" s="30"/>
      <c r="E132" s="30"/>
      <c r="F132" s="30">
        <v>0.02</v>
      </c>
      <c r="G132" s="30"/>
      <c r="H132" s="30">
        <v>0.02</v>
      </c>
    </row>
    <row r="133" spans="1:8" x14ac:dyDescent="0.3">
      <c r="A133" s="20" t="s">
        <v>640</v>
      </c>
      <c r="B133" s="30"/>
      <c r="C133" s="30"/>
      <c r="D133" s="30">
        <v>1.5</v>
      </c>
      <c r="E133" s="30">
        <v>0.02</v>
      </c>
      <c r="F133" s="30"/>
      <c r="G133" s="30"/>
      <c r="H133" s="30">
        <v>1.52</v>
      </c>
    </row>
    <row r="134" spans="1:8" x14ac:dyDescent="0.3">
      <c r="A134" s="20" t="s">
        <v>644</v>
      </c>
      <c r="B134" s="30">
        <v>1.53</v>
      </c>
      <c r="C134" s="30"/>
      <c r="D134" s="30">
        <v>1.0499999999999998</v>
      </c>
      <c r="E134" s="30">
        <v>1.76</v>
      </c>
      <c r="F134" s="30">
        <v>0.18</v>
      </c>
      <c r="G134" s="30"/>
      <c r="H134" s="30">
        <v>4.5199999999999996</v>
      </c>
    </row>
    <row r="135" spans="1:8" x14ac:dyDescent="0.3">
      <c r="A135" s="20" t="s">
        <v>646</v>
      </c>
      <c r="B135" s="30">
        <v>0.83000000000000007</v>
      </c>
      <c r="C135" s="30">
        <v>0.23</v>
      </c>
      <c r="D135" s="30">
        <v>0.91</v>
      </c>
      <c r="E135" s="30">
        <v>0.67</v>
      </c>
      <c r="F135" s="30">
        <v>0.3</v>
      </c>
      <c r="G135" s="30"/>
      <c r="H135" s="30">
        <v>2.94</v>
      </c>
    </row>
    <row r="136" spans="1:8" x14ac:dyDescent="0.3">
      <c r="A136" s="20" t="s">
        <v>654</v>
      </c>
      <c r="B136" s="30"/>
      <c r="C136" s="30">
        <v>0.23</v>
      </c>
      <c r="D136" s="30">
        <v>0.30000000000000004</v>
      </c>
      <c r="E136" s="30">
        <v>0.22999999999999998</v>
      </c>
      <c r="F136" s="30"/>
      <c r="G136" s="30"/>
      <c r="H136" s="30">
        <v>0.76</v>
      </c>
    </row>
    <row r="137" spans="1:8" x14ac:dyDescent="0.3">
      <c r="A137" s="20" t="s">
        <v>655</v>
      </c>
      <c r="B137" s="30">
        <v>2.2599999999999998</v>
      </c>
      <c r="C137" s="30">
        <v>2.5299999999999998</v>
      </c>
      <c r="D137" s="30">
        <v>9.4799999999999986</v>
      </c>
      <c r="E137" s="30">
        <v>5.66</v>
      </c>
      <c r="F137" s="30">
        <v>8.27</v>
      </c>
      <c r="G137" s="30"/>
      <c r="H137" s="30">
        <v>28.2</v>
      </c>
    </row>
    <row r="138" spans="1:8" x14ac:dyDescent="0.3">
      <c r="A138" s="20" t="s">
        <v>657</v>
      </c>
      <c r="B138" s="30"/>
      <c r="C138" s="30">
        <v>1.1299999999999999</v>
      </c>
      <c r="D138" s="30">
        <v>0.13</v>
      </c>
      <c r="E138" s="30">
        <v>0.47</v>
      </c>
      <c r="F138" s="30"/>
      <c r="G138" s="30"/>
      <c r="H138" s="30">
        <v>1.7299999999999998</v>
      </c>
    </row>
    <row r="139" spans="1:8" x14ac:dyDescent="0.3">
      <c r="A139" s="20" t="s">
        <v>659</v>
      </c>
      <c r="B139" s="30">
        <v>1.27</v>
      </c>
      <c r="C139" s="30">
        <v>5.5399999999999991</v>
      </c>
      <c r="D139" s="30">
        <v>3.86</v>
      </c>
      <c r="E139" s="30">
        <v>5.03</v>
      </c>
      <c r="F139" s="30">
        <v>1.86</v>
      </c>
      <c r="G139" s="30"/>
      <c r="H139" s="30">
        <v>17.559999999999999</v>
      </c>
    </row>
    <row r="140" spans="1:8" x14ac:dyDescent="0.3">
      <c r="A140" s="20" t="s">
        <v>664</v>
      </c>
      <c r="B140" s="30">
        <v>1.1800000000000002</v>
      </c>
      <c r="C140" s="30">
        <v>10.25</v>
      </c>
      <c r="D140" s="30">
        <v>9.08</v>
      </c>
      <c r="E140" s="30">
        <v>9.0300000000000011</v>
      </c>
      <c r="F140" s="30">
        <v>10.54</v>
      </c>
      <c r="G140" s="30"/>
      <c r="H140" s="30">
        <v>40.08</v>
      </c>
    </row>
    <row r="141" spans="1:8" x14ac:dyDescent="0.3">
      <c r="A141" s="20" t="s">
        <v>917</v>
      </c>
      <c r="B141" s="30">
        <v>1.8800000000000001</v>
      </c>
      <c r="C141" s="30">
        <v>0.55000000000000004</v>
      </c>
      <c r="D141" s="30">
        <v>1.23</v>
      </c>
      <c r="E141" s="30">
        <v>1.37</v>
      </c>
      <c r="F141" s="30">
        <v>1.55</v>
      </c>
      <c r="G141" s="30"/>
      <c r="H141" s="30">
        <v>6.58</v>
      </c>
    </row>
    <row r="142" spans="1:8" x14ac:dyDescent="0.3">
      <c r="A142" s="20" t="s">
        <v>671</v>
      </c>
      <c r="B142" s="30"/>
      <c r="C142" s="30"/>
      <c r="D142" s="30">
        <v>0.25</v>
      </c>
      <c r="E142" s="30"/>
      <c r="F142" s="30">
        <v>0.5</v>
      </c>
      <c r="G142" s="30"/>
      <c r="H142" s="30">
        <v>0.75</v>
      </c>
    </row>
    <row r="143" spans="1:8" x14ac:dyDescent="0.3">
      <c r="A143" s="20" t="s">
        <v>1989</v>
      </c>
      <c r="B143" s="30"/>
      <c r="C143" s="30">
        <v>2.8600000000000003</v>
      </c>
      <c r="D143" s="30"/>
      <c r="E143" s="30"/>
      <c r="F143" s="30">
        <v>1.4300000000000002</v>
      </c>
      <c r="G143" s="30"/>
      <c r="H143" s="30">
        <v>4.2900000000000009</v>
      </c>
    </row>
    <row r="144" spans="1:8" x14ac:dyDescent="0.3">
      <c r="A144" s="20" t="s">
        <v>687</v>
      </c>
      <c r="B144" s="30"/>
      <c r="C144" s="30"/>
      <c r="D144" s="30">
        <v>2.16</v>
      </c>
      <c r="E144" s="30">
        <v>1.58</v>
      </c>
      <c r="F144" s="30"/>
      <c r="G144" s="30"/>
      <c r="H144" s="30">
        <v>3.74</v>
      </c>
    </row>
    <row r="145" spans="1:8" x14ac:dyDescent="0.3">
      <c r="A145" s="20" t="s">
        <v>690</v>
      </c>
      <c r="B145" s="30"/>
      <c r="C145" s="30">
        <v>4.75</v>
      </c>
      <c r="D145" s="30">
        <v>7.7600000000000007</v>
      </c>
      <c r="E145" s="30">
        <v>3.8100000000000005</v>
      </c>
      <c r="F145" s="30">
        <v>4.3500000000000005</v>
      </c>
      <c r="G145" s="30"/>
      <c r="H145" s="30">
        <v>20.67</v>
      </c>
    </row>
    <row r="146" spans="1:8" x14ac:dyDescent="0.3">
      <c r="A146" s="20" t="s">
        <v>4513</v>
      </c>
      <c r="B146" s="30"/>
      <c r="C146" s="30"/>
      <c r="D146" s="30"/>
      <c r="E146" s="30"/>
      <c r="F146" s="30"/>
      <c r="G146" s="30"/>
      <c r="H146" s="30"/>
    </row>
    <row r="147" spans="1:8" x14ac:dyDescent="0.3">
      <c r="A147" s="20" t="s">
        <v>4514</v>
      </c>
      <c r="B147" s="30">
        <v>689.5100000000001</v>
      </c>
      <c r="C147" s="30">
        <v>1812.6799999999996</v>
      </c>
      <c r="D147" s="30">
        <v>1834.8800000000003</v>
      </c>
      <c r="E147" s="30">
        <v>1763.9199999999994</v>
      </c>
      <c r="F147" s="30">
        <v>1436.2599999999998</v>
      </c>
      <c r="G147" s="30"/>
      <c r="H147" s="30">
        <v>7537.2500000000036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zoomScale="85" zoomScaleNormal="85" workbookViewId="0">
      <selection activeCell="E31" sqref="E31"/>
    </sheetView>
  </sheetViews>
  <sheetFormatPr defaultRowHeight="14.4" x14ac:dyDescent="0.3"/>
  <cols>
    <col min="1" max="1" width="33.109375" customWidth="1"/>
    <col min="2" max="2" width="22.44140625" bestFit="1"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28" customWidth="1"/>
  </cols>
  <sheetData>
    <row r="1" spans="1:9" ht="27" customHeight="1" x14ac:dyDescent="0.3">
      <c r="A1" t="s">
        <v>745</v>
      </c>
      <c r="B1" t="s">
        <v>746</v>
      </c>
      <c r="C1" t="s">
        <v>747</v>
      </c>
      <c r="D1" t="s">
        <v>748</v>
      </c>
      <c r="E1" t="s">
        <v>749</v>
      </c>
      <c r="F1" t="s">
        <v>750</v>
      </c>
      <c r="G1" t="s">
        <v>751</v>
      </c>
      <c r="H1" t="s">
        <v>4517</v>
      </c>
      <c r="I1" s="28" t="s">
        <v>4519</v>
      </c>
    </row>
    <row r="2" spans="1:9" x14ac:dyDescent="0.3">
      <c r="A2" s="26">
        <v>45323</v>
      </c>
      <c r="B2" t="s">
        <v>752</v>
      </c>
      <c r="C2" t="s">
        <v>753</v>
      </c>
      <c r="D2">
        <v>0.03</v>
      </c>
      <c r="E2" t="s">
        <v>417</v>
      </c>
      <c r="F2" t="s">
        <v>754</v>
      </c>
      <c r="G2" t="s">
        <v>755</v>
      </c>
      <c r="H2" t="s">
        <v>29</v>
      </c>
      <c r="I2" s="28" t="s">
        <v>27</v>
      </c>
    </row>
    <row r="3" spans="1:9" x14ac:dyDescent="0.3">
      <c r="A3" s="26">
        <v>45323</v>
      </c>
      <c r="B3" t="s">
        <v>752</v>
      </c>
      <c r="C3" t="s">
        <v>753</v>
      </c>
      <c r="D3">
        <v>0.05</v>
      </c>
      <c r="E3" t="s">
        <v>630</v>
      </c>
      <c r="F3" t="s">
        <v>754</v>
      </c>
      <c r="G3" t="s">
        <v>756</v>
      </c>
      <c r="H3" t="s">
        <v>29</v>
      </c>
      <c r="I3" s="28" t="s">
        <v>27</v>
      </c>
    </row>
    <row r="4" spans="1:9" x14ac:dyDescent="0.3">
      <c r="A4" s="26">
        <v>45323</v>
      </c>
      <c r="B4" t="s">
        <v>752</v>
      </c>
      <c r="C4" t="s">
        <v>753</v>
      </c>
      <c r="D4">
        <v>7.0000000000000007E-2</v>
      </c>
      <c r="E4" t="s">
        <v>757</v>
      </c>
      <c r="F4" t="s">
        <v>754</v>
      </c>
      <c r="G4" t="s">
        <v>758</v>
      </c>
      <c r="H4" t="s">
        <v>29</v>
      </c>
      <c r="I4" s="28" t="s">
        <v>27</v>
      </c>
    </row>
    <row r="5" spans="1:9" x14ac:dyDescent="0.3">
      <c r="A5" s="26">
        <v>45323</v>
      </c>
      <c r="B5" t="s">
        <v>752</v>
      </c>
      <c r="C5" t="s">
        <v>753</v>
      </c>
      <c r="D5">
        <v>7.0000000000000007E-2</v>
      </c>
      <c r="E5" t="s">
        <v>664</v>
      </c>
      <c r="F5" t="s">
        <v>754</v>
      </c>
      <c r="G5" t="s">
        <v>759</v>
      </c>
      <c r="H5" t="s">
        <v>29</v>
      </c>
      <c r="I5" s="28" t="s">
        <v>27</v>
      </c>
    </row>
    <row r="6" spans="1:9" x14ac:dyDescent="0.3">
      <c r="A6" s="26">
        <v>45323</v>
      </c>
      <c r="B6" t="s">
        <v>752</v>
      </c>
      <c r="C6" t="s">
        <v>753</v>
      </c>
      <c r="D6">
        <v>0.08</v>
      </c>
      <c r="E6" t="s">
        <v>417</v>
      </c>
      <c r="F6" t="s">
        <v>754</v>
      </c>
      <c r="G6" t="s">
        <v>760</v>
      </c>
      <c r="H6" t="s">
        <v>29</v>
      </c>
      <c r="I6" s="28" t="s">
        <v>27</v>
      </c>
    </row>
    <row r="7" spans="1:9" x14ac:dyDescent="0.3">
      <c r="A7" s="26">
        <v>45323</v>
      </c>
      <c r="B7" t="s">
        <v>752</v>
      </c>
      <c r="C7" t="s">
        <v>753</v>
      </c>
      <c r="D7">
        <v>0.08</v>
      </c>
      <c r="E7" t="s">
        <v>561</v>
      </c>
      <c r="F7" t="s">
        <v>754</v>
      </c>
      <c r="G7" t="s">
        <v>758</v>
      </c>
      <c r="H7" t="s">
        <v>29</v>
      </c>
      <c r="I7" s="28" t="s">
        <v>27</v>
      </c>
    </row>
    <row r="8" spans="1:9" x14ac:dyDescent="0.3">
      <c r="A8" s="26">
        <v>45323</v>
      </c>
      <c r="B8" t="s">
        <v>752</v>
      </c>
      <c r="C8" t="s">
        <v>753</v>
      </c>
      <c r="D8">
        <v>0.08</v>
      </c>
      <c r="E8" t="s">
        <v>664</v>
      </c>
      <c r="F8" t="s">
        <v>754</v>
      </c>
      <c r="G8" t="s">
        <v>761</v>
      </c>
      <c r="H8" t="s">
        <v>29</v>
      </c>
      <c r="I8" s="28" t="s">
        <v>27</v>
      </c>
    </row>
    <row r="9" spans="1:9" x14ac:dyDescent="0.3">
      <c r="A9" s="26">
        <v>45323</v>
      </c>
      <c r="B9" t="s">
        <v>752</v>
      </c>
      <c r="C9" t="s">
        <v>753</v>
      </c>
      <c r="D9">
        <v>0.1</v>
      </c>
      <c r="E9" t="s">
        <v>210</v>
      </c>
      <c r="F9" t="s">
        <v>754</v>
      </c>
      <c r="G9" t="s">
        <v>760</v>
      </c>
      <c r="H9" t="s">
        <v>29</v>
      </c>
      <c r="I9" s="28" t="s">
        <v>27</v>
      </c>
    </row>
    <row r="10" spans="1:9" x14ac:dyDescent="0.3">
      <c r="A10" s="26">
        <v>45323</v>
      </c>
      <c r="B10" t="s">
        <v>752</v>
      </c>
      <c r="C10" t="s">
        <v>753</v>
      </c>
      <c r="D10">
        <v>0.15</v>
      </c>
      <c r="E10" t="s">
        <v>561</v>
      </c>
      <c r="F10" t="s">
        <v>754</v>
      </c>
      <c r="G10" t="s">
        <v>762</v>
      </c>
      <c r="H10" t="s">
        <v>29</v>
      </c>
      <c r="I10" s="28" t="s">
        <v>27</v>
      </c>
    </row>
    <row r="11" spans="1:9" x14ac:dyDescent="0.3">
      <c r="A11" s="26">
        <v>45323</v>
      </c>
      <c r="B11" t="s">
        <v>752</v>
      </c>
      <c r="C11" t="s">
        <v>753</v>
      </c>
      <c r="D11">
        <v>0.15</v>
      </c>
      <c r="E11" t="s">
        <v>602</v>
      </c>
      <c r="F11" t="s">
        <v>754</v>
      </c>
      <c r="G11" t="s">
        <v>763</v>
      </c>
      <c r="H11" t="s">
        <v>29</v>
      </c>
      <c r="I11" s="28" t="s">
        <v>27</v>
      </c>
    </row>
    <row r="12" spans="1:9" x14ac:dyDescent="0.3">
      <c r="A12" s="26">
        <v>45323</v>
      </c>
      <c r="B12" t="s">
        <v>752</v>
      </c>
      <c r="C12" t="s">
        <v>753</v>
      </c>
      <c r="D12">
        <v>0.17</v>
      </c>
      <c r="E12" t="s">
        <v>210</v>
      </c>
      <c r="F12" t="s">
        <v>754</v>
      </c>
      <c r="G12" t="s">
        <v>764</v>
      </c>
      <c r="H12" t="s">
        <v>29</v>
      </c>
      <c r="I12" s="28" t="s">
        <v>27</v>
      </c>
    </row>
    <row r="13" spans="1:9" x14ac:dyDescent="0.3">
      <c r="A13" s="26">
        <v>45323</v>
      </c>
      <c r="B13" t="s">
        <v>752</v>
      </c>
      <c r="C13" t="s">
        <v>753</v>
      </c>
      <c r="D13">
        <v>0.17</v>
      </c>
      <c r="E13" t="s">
        <v>210</v>
      </c>
      <c r="F13" t="s">
        <v>754</v>
      </c>
      <c r="G13" t="s">
        <v>765</v>
      </c>
      <c r="H13" t="s">
        <v>29</v>
      </c>
      <c r="I13" s="28" t="s">
        <v>27</v>
      </c>
    </row>
    <row r="14" spans="1:9" x14ac:dyDescent="0.3">
      <c r="A14" s="26">
        <v>45323</v>
      </c>
      <c r="B14" t="s">
        <v>752</v>
      </c>
      <c r="C14" t="s">
        <v>753</v>
      </c>
      <c r="D14">
        <v>0.2</v>
      </c>
      <c r="E14" t="s">
        <v>602</v>
      </c>
      <c r="F14" t="s">
        <v>754</v>
      </c>
      <c r="G14" t="s">
        <v>760</v>
      </c>
      <c r="H14" t="s">
        <v>29</v>
      </c>
      <c r="I14" s="28" t="s">
        <v>27</v>
      </c>
    </row>
    <row r="15" spans="1:9" x14ac:dyDescent="0.3">
      <c r="A15" s="26">
        <v>45323</v>
      </c>
      <c r="B15" t="s">
        <v>752</v>
      </c>
      <c r="C15" t="s">
        <v>753</v>
      </c>
      <c r="D15">
        <v>0.23</v>
      </c>
      <c r="E15" t="s">
        <v>602</v>
      </c>
      <c r="F15" t="s">
        <v>754</v>
      </c>
      <c r="G15" t="s">
        <v>766</v>
      </c>
      <c r="H15" t="s">
        <v>29</v>
      </c>
      <c r="I15" s="28" t="s">
        <v>27</v>
      </c>
    </row>
    <row r="16" spans="1:9" x14ac:dyDescent="0.3">
      <c r="A16" s="26">
        <v>45323</v>
      </c>
      <c r="B16" t="s">
        <v>752</v>
      </c>
      <c r="C16" t="s">
        <v>753</v>
      </c>
      <c r="D16">
        <v>0.25</v>
      </c>
      <c r="E16" t="s">
        <v>767</v>
      </c>
      <c r="F16" t="s">
        <v>754</v>
      </c>
      <c r="G16" t="s">
        <v>765</v>
      </c>
      <c r="H16" t="s">
        <v>29</v>
      </c>
      <c r="I16" s="28" t="s">
        <v>27</v>
      </c>
    </row>
    <row r="17" spans="1:9" x14ac:dyDescent="0.3">
      <c r="A17" s="26">
        <v>45323</v>
      </c>
      <c r="B17" t="s">
        <v>752</v>
      </c>
      <c r="C17" t="s">
        <v>753</v>
      </c>
      <c r="D17">
        <v>0.27</v>
      </c>
      <c r="E17" t="s">
        <v>561</v>
      </c>
      <c r="F17" t="s">
        <v>754</v>
      </c>
      <c r="G17" t="s">
        <v>755</v>
      </c>
      <c r="H17" t="s">
        <v>29</v>
      </c>
      <c r="I17" s="28" t="s">
        <v>27</v>
      </c>
    </row>
    <row r="18" spans="1:9" x14ac:dyDescent="0.3">
      <c r="A18" s="26">
        <v>45323</v>
      </c>
      <c r="B18" t="s">
        <v>752</v>
      </c>
      <c r="C18" t="s">
        <v>753</v>
      </c>
      <c r="D18">
        <v>0.32</v>
      </c>
      <c r="E18" t="s">
        <v>553</v>
      </c>
      <c r="F18" t="s">
        <v>754</v>
      </c>
      <c r="G18" t="s">
        <v>765</v>
      </c>
      <c r="H18" t="s">
        <v>29</v>
      </c>
      <c r="I18" s="28" t="s">
        <v>27</v>
      </c>
    </row>
    <row r="19" spans="1:9" x14ac:dyDescent="0.3">
      <c r="A19" s="26">
        <v>45323</v>
      </c>
      <c r="B19" t="s">
        <v>752</v>
      </c>
      <c r="C19" t="s">
        <v>753</v>
      </c>
      <c r="D19">
        <v>0.32</v>
      </c>
      <c r="E19" t="s">
        <v>602</v>
      </c>
      <c r="F19" t="s">
        <v>754</v>
      </c>
      <c r="G19" t="s">
        <v>768</v>
      </c>
      <c r="H19" t="s">
        <v>29</v>
      </c>
      <c r="I19" s="28" t="s">
        <v>27</v>
      </c>
    </row>
    <row r="20" spans="1:9" x14ac:dyDescent="0.3">
      <c r="A20" s="26">
        <v>45323</v>
      </c>
      <c r="B20" t="s">
        <v>752</v>
      </c>
      <c r="C20" t="s">
        <v>753</v>
      </c>
      <c r="D20">
        <v>0.47</v>
      </c>
      <c r="E20" t="s">
        <v>417</v>
      </c>
      <c r="F20" t="s">
        <v>754</v>
      </c>
      <c r="G20" t="s">
        <v>765</v>
      </c>
      <c r="H20" t="s">
        <v>29</v>
      </c>
      <c r="I20" s="28" t="s">
        <v>27</v>
      </c>
    </row>
    <row r="21" spans="1:9" x14ac:dyDescent="0.3">
      <c r="A21" s="26">
        <v>45323</v>
      </c>
      <c r="B21" t="s">
        <v>752</v>
      </c>
      <c r="C21" t="s">
        <v>753</v>
      </c>
      <c r="D21">
        <v>0.47</v>
      </c>
      <c r="E21" t="s">
        <v>561</v>
      </c>
      <c r="F21" t="s">
        <v>754</v>
      </c>
      <c r="G21" t="s">
        <v>769</v>
      </c>
      <c r="H21" t="s">
        <v>29</v>
      </c>
      <c r="I21" s="28" t="s">
        <v>27</v>
      </c>
    </row>
    <row r="22" spans="1:9" x14ac:dyDescent="0.3">
      <c r="A22" s="26">
        <v>45323</v>
      </c>
      <c r="B22" t="s">
        <v>752</v>
      </c>
      <c r="C22" t="s">
        <v>753</v>
      </c>
      <c r="D22">
        <v>0.5</v>
      </c>
      <c r="E22" t="s">
        <v>770</v>
      </c>
      <c r="F22" t="s">
        <v>754</v>
      </c>
      <c r="G22" t="s">
        <v>765</v>
      </c>
      <c r="H22" t="s">
        <v>29</v>
      </c>
      <c r="I22" s="28" t="s">
        <v>27</v>
      </c>
    </row>
    <row r="23" spans="1:9" x14ac:dyDescent="0.3">
      <c r="A23" s="26">
        <v>45323</v>
      </c>
      <c r="B23" t="s">
        <v>752</v>
      </c>
      <c r="C23" t="s">
        <v>753</v>
      </c>
      <c r="D23">
        <v>0.53</v>
      </c>
      <c r="E23" t="s">
        <v>757</v>
      </c>
      <c r="F23" t="s">
        <v>754</v>
      </c>
      <c r="G23" t="s">
        <v>765</v>
      </c>
      <c r="H23" t="s">
        <v>29</v>
      </c>
      <c r="I23" s="28" t="s">
        <v>27</v>
      </c>
    </row>
    <row r="24" spans="1:9" x14ac:dyDescent="0.3">
      <c r="A24" s="26">
        <v>45323</v>
      </c>
      <c r="B24" t="s">
        <v>752</v>
      </c>
      <c r="C24" t="s">
        <v>753</v>
      </c>
      <c r="D24">
        <v>0.7</v>
      </c>
      <c r="E24" t="s">
        <v>373</v>
      </c>
      <c r="F24" t="s">
        <v>754</v>
      </c>
      <c r="G24" t="s">
        <v>765</v>
      </c>
      <c r="H24" t="s">
        <v>29</v>
      </c>
      <c r="I24" s="28" t="s">
        <v>27</v>
      </c>
    </row>
    <row r="25" spans="1:9" x14ac:dyDescent="0.3">
      <c r="A25" s="26">
        <v>45323</v>
      </c>
      <c r="B25" t="s">
        <v>752</v>
      </c>
      <c r="C25" t="s">
        <v>753</v>
      </c>
      <c r="D25">
        <v>0.77</v>
      </c>
      <c r="E25" t="s">
        <v>659</v>
      </c>
      <c r="F25" t="s">
        <v>754</v>
      </c>
      <c r="G25" t="s">
        <v>765</v>
      </c>
      <c r="H25" t="s">
        <v>29</v>
      </c>
      <c r="I25" s="28" t="s">
        <v>27</v>
      </c>
    </row>
    <row r="26" spans="1:9" x14ac:dyDescent="0.3">
      <c r="A26" s="26">
        <v>45323</v>
      </c>
      <c r="B26" t="s">
        <v>752</v>
      </c>
      <c r="C26" t="s">
        <v>753</v>
      </c>
      <c r="D26">
        <v>0.83</v>
      </c>
      <c r="E26" t="s">
        <v>417</v>
      </c>
      <c r="F26" t="s">
        <v>754</v>
      </c>
      <c r="G26" t="s">
        <v>764</v>
      </c>
      <c r="H26" t="s">
        <v>29</v>
      </c>
      <c r="I26" s="28" t="s">
        <v>27</v>
      </c>
    </row>
    <row r="27" spans="1:9" x14ac:dyDescent="0.3">
      <c r="A27" s="26">
        <v>45323</v>
      </c>
      <c r="B27" t="s">
        <v>752</v>
      </c>
      <c r="C27" t="s">
        <v>771</v>
      </c>
      <c r="D27">
        <v>0.03</v>
      </c>
      <c r="E27" t="s">
        <v>7</v>
      </c>
      <c r="F27" t="s">
        <v>772</v>
      </c>
      <c r="G27" t="s">
        <v>773</v>
      </c>
      <c r="H27" t="s">
        <v>29</v>
      </c>
      <c r="I27" s="28" t="s">
        <v>27</v>
      </c>
    </row>
    <row r="28" spans="1:9" x14ac:dyDescent="0.3">
      <c r="A28" s="26">
        <v>45323</v>
      </c>
      <c r="B28" t="s">
        <v>752</v>
      </c>
      <c r="C28" t="s">
        <v>771</v>
      </c>
      <c r="D28">
        <v>0.25</v>
      </c>
      <c r="E28" t="s">
        <v>7</v>
      </c>
      <c r="F28" t="s">
        <v>772</v>
      </c>
      <c r="G28" t="s">
        <v>774</v>
      </c>
      <c r="H28" t="s">
        <v>29</v>
      </c>
      <c r="I28" s="28" t="s">
        <v>27</v>
      </c>
    </row>
    <row r="29" spans="1:9" x14ac:dyDescent="0.3">
      <c r="A29" s="26">
        <v>45323</v>
      </c>
      <c r="B29" t="s">
        <v>752</v>
      </c>
      <c r="C29" t="s">
        <v>771</v>
      </c>
      <c r="D29">
        <v>0.25</v>
      </c>
      <c r="E29" t="s">
        <v>7</v>
      </c>
      <c r="F29" t="s">
        <v>772</v>
      </c>
      <c r="G29" t="s">
        <v>775</v>
      </c>
      <c r="H29" t="s">
        <v>29</v>
      </c>
      <c r="I29" s="28" t="s">
        <v>27</v>
      </c>
    </row>
    <row r="30" spans="1:9" x14ac:dyDescent="0.3">
      <c r="A30" s="26">
        <v>45323</v>
      </c>
      <c r="B30" t="s">
        <v>752</v>
      </c>
      <c r="C30" t="s">
        <v>776</v>
      </c>
      <c r="D30">
        <v>0.05</v>
      </c>
      <c r="E30" t="s">
        <v>458</v>
      </c>
      <c r="F30" t="s">
        <v>754</v>
      </c>
      <c r="H30" t="s">
        <v>29</v>
      </c>
      <c r="I30" s="28" t="s">
        <v>27</v>
      </c>
    </row>
    <row r="31" spans="1:9" x14ac:dyDescent="0.3">
      <c r="A31" s="26">
        <v>45323</v>
      </c>
      <c r="B31" t="s">
        <v>752</v>
      </c>
      <c r="C31" t="s">
        <v>776</v>
      </c>
      <c r="D31">
        <v>0.17</v>
      </c>
      <c r="E31" t="s">
        <v>373</v>
      </c>
      <c r="F31" t="s">
        <v>754</v>
      </c>
      <c r="H31" t="s">
        <v>29</v>
      </c>
      <c r="I31" s="28" t="s">
        <v>27</v>
      </c>
    </row>
    <row r="32" spans="1:9" x14ac:dyDescent="0.3">
      <c r="A32" s="26">
        <v>45323</v>
      </c>
      <c r="B32" t="s">
        <v>752</v>
      </c>
      <c r="C32" t="s">
        <v>776</v>
      </c>
      <c r="D32">
        <v>0.2</v>
      </c>
      <c r="E32" t="s">
        <v>458</v>
      </c>
      <c r="F32" t="s">
        <v>754</v>
      </c>
      <c r="G32" t="s">
        <v>777</v>
      </c>
      <c r="H32" t="s">
        <v>29</v>
      </c>
      <c r="I32" s="28" t="s">
        <v>27</v>
      </c>
    </row>
    <row r="33" spans="1:9" x14ac:dyDescent="0.3">
      <c r="A33" s="26">
        <v>45323</v>
      </c>
      <c r="B33" t="s">
        <v>21</v>
      </c>
      <c r="C33" t="s">
        <v>753</v>
      </c>
      <c r="D33">
        <v>0.05</v>
      </c>
      <c r="E33" t="s">
        <v>589</v>
      </c>
      <c r="F33" t="s">
        <v>754</v>
      </c>
      <c r="H33" t="s">
        <v>29</v>
      </c>
      <c r="I33" s="28" t="s">
        <v>27</v>
      </c>
    </row>
    <row r="34" spans="1:9" x14ac:dyDescent="0.3">
      <c r="A34" s="26">
        <v>45323</v>
      </c>
      <c r="B34" t="s">
        <v>21</v>
      </c>
      <c r="C34" t="s">
        <v>771</v>
      </c>
      <c r="D34">
        <v>0.2</v>
      </c>
      <c r="E34" t="s">
        <v>7</v>
      </c>
      <c r="F34" t="s">
        <v>772</v>
      </c>
      <c r="G34" t="s">
        <v>778</v>
      </c>
      <c r="H34" t="s">
        <v>29</v>
      </c>
      <c r="I34" s="28" t="s">
        <v>27</v>
      </c>
    </row>
    <row r="35" spans="1:9" x14ac:dyDescent="0.3">
      <c r="A35" s="26">
        <v>45323</v>
      </c>
      <c r="B35" t="s">
        <v>21</v>
      </c>
      <c r="C35" t="s">
        <v>771</v>
      </c>
      <c r="D35">
        <v>0.32</v>
      </c>
      <c r="E35" t="s">
        <v>7</v>
      </c>
      <c r="F35" t="s">
        <v>772</v>
      </c>
      <c r="G35" t="s">
        <v>779</v>
      </c>
      <c r="H35" t="s">
        <v>29</v>
      </c>
      <c r="I35" s="28" t="s">
        <v>27</v>
      </c>
    </row>
    <row r="36" spans="1:9" x14ac:dyDescent="0.3">
      <c r="A36" s="26">
        <v>45323</v>
      </c>
      <c r="B36" t="s">
        <v>21</v>
      </c>
      <c r="C36" t="s">
        <v>771</v>
      </c>
      <c r="D36">
        <v>0.37</v>
      </c>
      <c r="E36" t="s">
        <v>7</v>
      </c>
      <c r="F36" t="s">
        <v>772</v>
      </c>
      <c r="G36" t="s">
        <v>780</v>
      </c>
      <c r="H36" t="s">
        <v>29</v>
      </c>
      <c r="I36" s="28" t="s">
        <v>27</v>
      </c>
    </row>
    <row r="37" spans="1:9" x14ac:dyDescent="0.3">
      <c r="A37" s="26">
        <v>45323</v>
      </c>
      <c r="B37" t="s">
        <v>21</v>
      </c>
      <c r="C37" t="s">
        <v>771</v>
      </c>
      <c r="D37">
        <v>0.38</v>
      </c>
      <c r="E37" t="s">
        <v>7</v>
      </c>
      <c r="F37" t="s">
        <v>772</v>
      </c>
      <c r="G37" t="s">
        <v>781</v>
      </c>
      <c r="H37" t="s">
        <v>29</v>
      </c>
      <c r="I37" s="28" t="s">
        <v>27</v>
      </c>
    </row>
    <row r="38" spans="1:9" x14ac:dyDescent="0.3">
      <c r="A38" s="26">
        <v>45323</v>
      </c>
      <c r="B38" t="s">
        <v>21</v>
      </c>
      <c r="C38" t="s">
        <v>771</v>
      </c>
      <c r="D38">
        <v>0.97</v>
      </c>
      <c r="E38" t="s">
        <v>7</v>
      </c>
      <c r="F38" t="s">
        <v>772</v>
      </c>
      <c r="G38" t="s">
        <v>782</v>
      </c>
      <c r="H38" t="s">
        <v>29</v>
      </c>
      <c r="I38" s="28" t="s">
        <v>27</v>
      </c>
    </row>
    <row r="39" spans="1:9" x14ac:dyDescent="0.3">
      <c r="A39" s="26">
        <v>45323</v>
      </c>
      <c r="B39" t="s">
        <v>21</v>
      </c>
      <c r="C39" t="s">
        <v>776</v>
      </c>
      <c r="D39">
        <v>2.83</v>
      </c>
      <c r="E39" t="s">
        <v>13</v>
      </c>
      <c r="F39" t="s">
        <v>754</v>
      </c>
      <c r="H39" t="s">
        <v>29</v>
      </c>
      <c r="I39" s="28" t="s">
        <v>27</v>
      </c>
    </row>
    <row r="40" spans="1:9" x14ac:dyDescent="0.3">
      <c r="A40" s="26">
        <v>45323</v>
      </c>
      <c r="B40" t="s">
        <v>21</v>
      </c>
      <c r="C40" t="s">
        <v>776</v>
      </c>
      <c r="D40">
        <v>3.02</v>
      </c>
      <c r="E40" t="s">
        <v>589</v>
      </c>
      <c r="F40" t="s">
        <v>754</v>
      </c>
      <c r="H40" t="s">
        <v>29</v>
      </c>
      <c r="I40" s="28" t="s">
        <v>27</v>
      </c>
    </row>
    <row r="41" spans="1:9" x14ac:dyDescent="0.3">
      <c r="A41" s="26">
        <v>45323</v>
      </c>
      <c r="B41" t="s">
        <v>783</v>
      </c>
      <c r="C41" t="s">
        <v>784</v>
      </c>
      <c r="D41">
        <v>8</v>
      </c>
      <c r="E41" t="s">
        <v>7</v>
      </c>
      <c r="F41" t="s">
        <v>772</v>
      </c>
      <c r="G41" t="s">
        <v>784</v>
      </c>
      <c r="H41" t="s">
        <v>29</v>
      </c>
      <c r="I41" s="28" t="s">
        <v>27</v>
      </c>
    </row>
    <row r="42" spans="1:9" x14ac:dyDescent="0.3">
      <c r="A42" s="26">
        <v>45323</v>
      </c>
      <c r="B42" t="s">
        <v>785</v>
      </c>
      <c r="C42" t="s">
        <v>786</v>
      </c>
      <c r="D42">
        <v>8</v>
      </c>
      <c r="E42" t="s">
        <v>7</v>
      </c>
      <c r="F42" t="s">
        <v>772</v>
      </c>
      <c r="G42" t="s">
        <v>787</v>
      </c>
      <c r="H42" t="s">
        <v>29</v>
      </c>
      <c r="I42" s="28" t="s">
        <v>27</v>
      </c>
    </row>
    <row r="43" spans="1:9" x14ac:dyDescent="0.3">
      <c r="A43" s="26">
        <v>45323</v>
      </c>
      <c r="B43" t="s">
        <v>788</v>
      </c>
      <c r="C43" t="s">
        <v>789</v>
      </c>
      <c r="D43">
        <v>3.5</v>
      </c>
      <c r="E43" t="s">
        <v>790</v>
      </c>
      <c r="F43" t="s">
        <v>772</v>
      </c>
      <c r="G43" t="s">
        <v>791</v>
      </c>
      <c r="H43" t="s">
        <v>29</v>
      </c>
      <c r="I43" s="28" t="s">
        <v>27</v>
      </c>
    </row>
    <row r="44" spans="1:9" x14ac:dyDescent="0.3">
      <c r="A44" s="26">
        <v>45323</v>
      </c>
      <c r="B44" t="s">
        <v>788</v>
      </c>
      <c r="C44" t="s">
        <v>771</v>
      </c>
      <c r="D44">
        <v>3.5</v>
      </c>
      <c r="E44" t="s">
        <v>7</v>
      </c>
      <c r="F44" t="s">
        <v>772</v>
      </c>
      <c r="H44" t="s">
        <v>29</v>
      </c>
      <c r="I44" s="28" t="s">
        <v>27</v>
      </c>
    </row>
    <row r="45" spans="1:9" x14ac:dyDescent="0.3">
      <c r="A45" s="26">
        <v>45323</v>
      </c>
      <c r="B45" t="s">
        <v>792</v>
      </c>
      <c r="C45" t="s">
        <v>753</v>
      </c>
      <c r="D45">
        <v>1.93</v>
      </c>
      <c r="E45" t="s">
        <v>790</v>
      </c>
      <c r="F45" t="s">
        <v>754</v>
      </c>
      <c r="G45" t="s">
        <v>793</v>
      </c>
      <c r="H45" t="s">
        <v>29</v>
      </c>
      <c r="I45" s="28" t="s">
        <v>27</v>
      </c>
    </row>
    <row r="46" spans="1:9" x14ac:dyDescent="0.3">
      <c r="A46" s="26">
        <v>45323</v>
      </c>
      <c r="B46" t="s">
        <v>792</v>
      </c>
      <c r="C46" t="s">
        <v>753</v>
      </c>
      <c r="D46">
        <v>2.57</v>
      </c>
      <c r="E46" t="s">
        <v>790</v>
      </c>
      <c r="F46" t="s">
        <v>754</v>
      </c>
      <c r="G46" t="s">
        <v>794</v>
      </c>
      <c r="H46" t="s">
        <v>29</v>
      </c>
      <c r="I46" s="28" t="s">
        <v>27</v>
      </c>
    </row>
    <row r="47" spans="1:9" x14ac:dyDescent="0.3">
      <c r="A47" s="26">
        <v>45323</v>
      </c>
      <c r="B47" t="s">
        <v>792</v>
      </c>
      <c r="C47" t="s">
        <v>753</v>
      </c>
      <c r="D47">
        <v>3.77</v>
      </c>
      <c r="E47" t="s">
        <v>790</v>
      </c>
      <c r="F47" t="s">
        <v>754</v>
      </c>
      <c r="G47" t="s">
        <v>795</v>
      </c>
      <c r="H47" t="s">
        <v>29</v>
      </c>
      <c r="I47" s="28" t="s">
        <v>27</v>
      </c>
    </row>
    <row r="48" spans="1:9" x14ac:dyDescent="0.3">
      <c r="A48" s="26">
        <v>45323</v>
      </c>
      <c r="B48" t="s">
        <v>796</v>
      </c>
      <c r="C48" t="s">
        <v>753</v>
      </c>
      <c r="D48">
        <v>0.57999999999999996</v>
      </c>
      <c r="E48" t="s">
        <v>585</v>
      </c>
      <c r="F48" t="s">
        <v>754</v>
      </c>
      <c r="G48" t="s">
        <v>797</v>
      </c>
      <c r="H48" t="s">
        <v>29</v>
      </c>
      <c r="I48" s="28" t="s">
        <v>27</v>
      </c>
    </row>
    <row r="49" spans="1:9" x14ac:dyDescent="0.3">
      <c r="A49" s="26">
        <v>45323</v>
      </c>
      <c r="B49" t="s">
        <v>796</v>
      </c>
      <c r="C49" t="s">
        <v>753</v>
      </c>
      <c r="D49">
        <v>1.25</v>
      </c>
      <c r="E49" t="s">
        <v>655</v>
      </c>
      <c r="F49" t="s">
        <v>754</v>
      </c>
      <c r="G49" t="s">
        <v>798</v>
      </c>
      <c r="H49" t="s">
        <v>29</v>
      </c>
      <c r="I49" s="28" t="s">
        <v>27</v>
      </c>
    </row>
    <row r="50" spans="1:9" x14ac:dyDescent="0.3">
      <c r="A50" s="26">
        <v>45323</v>
      </c>
      <c r="B50" t="s">
        <v>796</v>
      </c>
      <c r="C50" t="s">
        <v>753</v>
      </c>
      <c r="D50">
        <v>5.75</v>
      </c>
      <c r="E50" t="s">
        <v>430</v>
      </c>
      <c r="F50" t="s">
        <v>754</v>
      </c>
      <c r="G50" t="s">
        <v>799</v>
      </c>
      <c r="H50" t="s">
        <v>29</v>
      </c>
      <c r="I50" s="28" t="s">
        <v>27</v>
      </c>
    </row>
    <row r="51" spans="1:9" x14ac:dyDescent="0.3">
      <c r="A51" s="26">
        <v>45323</v>
      </c>
      <c r="B51" t="s">
        <v>796</v>
      </c>
      <c r="C51" t="s">
        <v>771</v>
      </c>
      <c r="D51">
        <v>0.42</v>
      </c>
      <c r="E51" t="s">
        <v>7</v>
      </c>
      <c r="F51" t="s">
        <v>772</v>
      </c>
      <c r="G51" t="s">
        <v>800</v>
      </c>
      <c r="H51" t="s">
        <v>29</v>
      </c>
      <c r="I51" s="28" t="s">
        <v>27</v>
      </c>
    </row>
    <row r="52" spans="1:9" x14ac:dyDescent="0.3">
      <c r="A52" s="26">
        <v>45323</v>
      </c>
      <c r="B52" t="s">
        <v>801</v>
      </c>
      <c r="C52" t="s">
        <v>802</v>
      </c>
      <c r="D52">
        <v>9.6</v>
      </c>
      <c r="E52" t="s">
        <v>7</v>
      </c>
      <c r="F52" t="s">
        <v>772</v>
      </c>
      <c r="H52" t="s">
        <v>29</v>
      </c>
      <c r="I52" s="28" t="s">
        <v>27</v>
      </c>
    </row>
    <row r="53" spans="1:9" x14ac:dyDescent="0.3">
      <c r="A53" s="26">
        <v>45323</v>
      </c>
      <c r="B53" t="s">
        <v>803</v>
      </c>
      <c r="C53" t="s">
        <v>804</v>
      </c>
      <c r="D53">
        <v>0.02</v>
      </c>
      <c r="E53" t="s">
        <v>805</v>
      </c>
      <c r="F53" t="s">
        <v>772</v>
      </c>
      <c r="H53" t="s">
        <v>29</v>
      </c>
      <c r="I53" s="28" t="s">
        <v>27</v>
      </c>
    </row>
    <row r="54" spans="1:9" x14ac:dyDescent="0.3">
      <c r="A54" s="26">
        <v>45323</v>
      </c>
      <c r="B54" t="s">
        <v>806</v>
      </c>
      <c r="C54" t="s">
        <v>802</v>
      </c>
      <c r="D54">
        <v>3</v>
      </c>
      <c r="E54" t="s">
        <v>7</v>
      </c>
      <c r="F54" t="s">
        <v>772</v>
      </c>
      <c r="G54" t="s">
        <v>807</v>
      </c>
      <c r="H54" t="s">
        <v>29</v>
      </c>
      <c r="I54" s="28" t="s">
        <v>27</v>
      </c>
    </row>
    <row r="55" spans="1:9" x14ac:dyDescent="0.3">
      <c r="A55" s="26">
        <v>45323</v>
      </c>
      <c r="B55" t="s">
        <v>808</v>
      </c>
      <c r="C55" t="s">
        <v>802</v>
      </c>
      <c r="D55">
        <v>9.4700000000000006</v>
      </c>
      <c r="E55" t="s">
        <v>7</v>
      </c>
      <c r="F55" t="s">
        <v>772</v>
      </c>
      <c r="G55" t="s">
        <v>809</v>
      </c>
      <c r="H55" t="s">
        <v>29</v>
      </c>
      <c r="I55" s="28" t="s">
        <v>27</v>
      </c>
    </row>
    <row r="56" spans="1:9" x14ac:dyDescent="0.3">
      <c r="A56" s="26">
        <v>45323</v>
      </c>
      <c r="B56" t="s">
        <v>810</v>
      </c>
      <c r="C56" t="s">
        <v>753</v>
      </c>
      <c r="D56">
        <v>0.5</v>
      </c>
      <c r="E56" t="s">
        <v>811</v>
      </c>
      <c r="F56" t="s">
        <v>754</v>
      </c>
      <c r="G56" t="s">
        <v>812</v>
      </c>
      <c r="H56" t="s">
        <v>29</v>
      </c>
      <c r="I56" s="28" t="s">
        <v>27</v>
      </c>
    </row>
    <row r="57" spans="1:9" x14ac:dyDescent="0.3">
      <c r="A57" s="26">
        <v>45323</v>
      </c>
      <c r="B57" t="s">
        <v>810</v>
      </c>
      <c r="C57" t="s">
        <v>753</v>
      </c>
      <c r="D57">
        <v>0.57999999999999996</v>
      </c>
      <c r="E57" t="s">
        <v>813</v>
      </c>
      <c r="F57" t="s">
        <v>754</v>
      </c>
      <c r="G57" t="s">
        <v>812</v>
      </c>
      <c r="H57" t="s">
        <v>29</v>
      </c>
      <c r="I57" s="28" t="s">
        <v>27</v>
      </c>
    </row>
    <row r="58" spans="1:9" x14ac:dyDescent="0.3">
      <c r="A58" s="26">
        <v>45323</v>
      </c>
      <c r="B58" t="s">
        <v>810</v>
      </c>
      <c r="C58" t="s">
        <v>753</v>
      </c>
      <c r="D58">
        <v>0.75</v>
      </c>
      <c r="E58" t="s">
        <v>814</v>
      </c>
      <c r="F58" t="s">
        <v>754</v>
      </c>
      <c r="G58" t="s">
        <v>812</v>
      </c>
      <c r="H58" t="s">
        <v>29</v>
      </c>
      <c r="I58" s="28" t="s">
        <v>27</v>
      </c>
    </row>
    <row r="59" spans="1:9" x14ac:dyDescent="0.3">
      <c r="A59" s="26">
        <v>45323</v>
      </c>
      <c r="B59" t="s">
        <v>810</v>
      </c>
      <c r="C59" t="s">
        <v>753</v>
      </c>
      <c r="D59">
        <v>0.75</v>
      </c>
      <c r="E59" t="s">
        <v>815</v>
      </c>
      <c r="F59" t="s">
        <v>754</v>
      </c>
      <c r="G59" t="s">
        <v>812</v>
      </c>
      <c r="H59" t="s">
        <v>29</v>
      </c>
      <c r="I59" s="28" t="s">
        <v>27</v>
      </c>
    </row>
    <row r="60" spans="1:9" x14ac:dyDescent="0.3">
      <c r="A60" s="26">
        <v>45323</v>
      </c>
      <c r="B60" t="s">
        <v>810</v>
      </c>
      <c r="C60" t="s">
        <v>753</v>
      </c>
      <c r="D60">
        <v>0.83</v>
      </c>
      <c r="E60" t="s">
        <v>516</v>
      </c>
      <c r="F60" t="s">
        <v>772</v>
      </c>
      <c r="G60" t="s">
        <v>816</v>
      </c>
      <c r="H60" t="s">
        <v>29</v>
      </c>
      <c r="I60" s="28" t="s">
        <v>27</v>
      </c>
    </row>
    <row r="61" spans="1:9" x14ac:dyDescent="0.3">
      <c r="A61" s="26">
        <v>45323</v>
      </c>
      <c r="B61" t="s">
        <v>810</v>
      </c>
      <c r="C61" t="s">
        <v>753</v>
      </c>
      <c r="D61">
        <v>1.08</v>
      </c>
      <c r="E61" t="s">
        <v>817</v>
      </c>
      <c r="F61" t="s">
        <v>754</v>
      </c>
      <c r="G61" t="s">
        <v>818</v>
      </c>
      <c r="H61" t="s">
        <v>29</v>
      </c>
      <c r="I61" s="28" t="s">
        <v>27</v>
      </c>
    </row>
    <row r="62" spans="1:9" x14ac:dyDescent="0.3">
      <c r="A62" s="26">
        <v>45323</v>
      </c>
      <c r="B62" t="s">
        <v>810</v>
      </c>
      <c r="C62" t="s">
        <v>753</v>
      </c>
      <c r="D62">
        <v>3</v>
      </c>
      <c r="E62" t="s">
        <v>516</v>
      </c>
      <c r="F62" t="s">
        <v>754</v>
      </c>
      <c r="G62" t="s">
        <v>819</v>
      </c>
      <c r="H62" t="s">
        <v>29</v>
      </c>
      <c r="I62" s="28" t="s">
        <v>27</v>
      </c>
    </row>
    <row r="63" spans="1:9" x14ac:dyDescent="0.3">
      <c r="A63" s="26">
        <v>45323</v>
      </c>
      <c r="B63" t="s">
        <v>810</v>
      </c>
      <c r="C63" t="s">
        <v>771</v>
      </c>
      <c r="D63">
        <v>0.5</v>
      </c>
      <c r="E63" t="s">
        <v>7</v>
      </c>
      <c r="F63" t="s">
        <v>772</v>
      </c>
      <c r="G63" t="s">
        <v>820</v>
      </c>
      <c r="H63" t="s">
        <v>29</v>
      </c>
      <c r="I63" s="28" t="s">
        <v>27</v>
      </c>
    </row>
    <row r="64" spans="1:9" x14ac:dyDescent="0.3">
      <c r="A64" s="26">
        <v>45323</v>
      </c>
      <c r="B64" t="s">
        <v>225</v>
      </c>
      <c r="C64" t="s">
        <v>821</v>
      </c>
      <c r="D64">
        <v>0.25</v>
      </c>
      <c r="E64" t="s">
        <v>630</v>
      </c>
      <c r="F64" t="s">
        <v>754</v>
      </c>
      <c r="G64" t="s">
        <v>822</v>
      </c>
      <c r="H64" t="s">
        <v>29</v>
      </c>
      <c r="I64" s="28" t="s">
        <v>27</v>
      </c>
    </row>
    <row r="65" spans="1:9" x14ac:dyDescent="0.3">
      <c r="A65" s="26">
        <v>45323</v>
      </c>
      <c r="B65" t="s">
        <v>225</v>
      </c>
      <c r="C65" t="s">
        <v>823</v>
      </c>
      <c r="D65">
        <v>1.25</v>
      </c>
      <c r="E65" t="s">
        <v>602</v>
      </c>
      <c r="F65" t="s">
        <v>754</v>
      </c>
      <c r="G65" t="s">
        <v>824</v>
      </c>
      <c r="H65" t="s">
        <v>29</v>
      </c>
      <c r="I65" s="28" t="s">
        <v>27</v>
      </c>
    </row>
    <row r="66" spans="1:9" x14ac:dyDescent="0.3">
      <c r="A66" s="26">
        <v>45323</v>
      </c>
      <c r="B66" t="s">
        <v>825</v>
      </c>
      <c r="C66" t="s">
        <v>826</v>
      </c>
      <c r="D66">
        <v>0.25</v>
      </c>
      <c r="E66" t="s">
        <v>827</v>
      </c>
      <c r="F66" t="s">
        <v>754</v>
      </c>
      <c r="G66" t="s">
        <v>828</v>
      </c>
      <c r="H66" t="s">
        <v>29</v>
      </c>
      <c r="I66" s="28" t="s">
        <v>27</v>
      </c>
    </row>
    <row r="67" spans="1:9" x14ac:dyDescent="0.3">
      <c r="A67" s="26">
        <v>45323</v>
      </c>
      <c r="B67" t="s">
        <v>829</v>
      </c>
      <c r="C67" t="s">
        <v>753</v>
      </c>
      <c r="D67">
        <v>0.32</v>
      </c>
      <c r="E67" t="s">
        <v>375</v>
      </c>
      <c r="F67" t="s">
        <v>754</v>
      </c>
      <c r="G67" t="s">
        <v>830</v>
      </c>
      <c r="H67" t="s">
        <v>29</v>
      </c>
      <c r="I67" s="28" t="s">
        <v>27</v>
      </c>
    </row>
    <row r="68" spans="1:9" x14ac:dyDescent="0.3">
      <c r="A68" s="26">
        <v>45323</v>
      </c>
      <c r="B68" t="s">
        <v>829</v>
      </c>
      <c r="C68" t="s">
        <v>786</v>
      </c>
      <c r="D68">
        <v>0.28000000000000003</v>
      </c>
      <c r="E68" t="s">
        <v>7</v>
      </c>
      <c r="F68" t="s">
        <v>754</v>
      </c>
      <c r="G68" t="s">
        <v>831</v>
      </c>
      <c r="H68" t="s">
        <v>29</v>
      </c>
      <c r="I68" s="28" t="s">
        <v>27</v>
      </c>
    </row>
    <row r="69" spans="1:9" x14ac:dyDescent="0.3">
      <c r="A69" s="26">
        <v>45323</v>
      </c>
      <c r="B69" t="s">
        <v>829</v>
      </c>
      <c r="C69" t="s">
        <v>771</v>
      </c>
      <c r="D69">
        <v>0.22</v>
      </c>
      <c r="E69" t="s">
        <v>7</v>
      </c>
      <c r="F69" t="s">
        <v>772</v>
      </c>
      <c r="G69" t="s">
        <v>832</v>
      </c>
      <c r="H69" t="s">
        <v>29</v>
      </c>
      <c r="I69" s="28" t="s">
        <v>27</v>
      </c>
    </row>
    <row r="70" spans="1:9" x14ac:dyDescent="0.3">
      <c r="A70" s="26">
        <v>45323</v>
      </c>
      <c r="B70" t="s">
        <v>829</v>
      </c>
      <c r="C70" t="s">
        <v>771</v>
      </c>
      <c r="D70">
        <v>0.38</v>
      </c>
      <c r="E70" t="s">
        <v>7</v>
      </c>
      <c r="F70" t="s">
        <v>772</v>
      </c>
      <c r="G70" t="s">
        <v>833</v>
      </c>
      <c r="H70" t="s">
        <v>29</v>
      </c>
      <c r="I70" s="28" t="s">
        <v>27</v>
      </c>
    </row>
    <row r="71" spans="1:9" x14ac:dyDescent="0.3">
      <c r="A71" s="26">
        <v>45323</v>
      </c>
      <c r="B71" t="s">
        <v>829</v>
      </c>
      <c r="C71" t="s">
        <v>834</v>
      </c>
      <c r="D71">
        <v>0.52</v>
      </c>
      <c r="E71" t="s">
        <v>7</v>
      </c>
      <c r="F71" t="s">
        <v>772</v>
      </c>
      <c r="G71" t="s">
        <v>835</v>
      </c>
      <c r="H71" t="s">
        <v>29</v>
      </c>
      <c r="I71" s="28" t="s">
        <v>27</v>
      </c>
    </row>
    <row r="72" spans="1:9" x14ac:dyDescent="0.3">
      <c r="A72" s="26">
        <v>45323</v>
      </c>
      <c r="B72" t="s">
        <v>829</v>
      </c>
      <c r="C72" t="s">
        <v>834</v>
      </c>
      <c r="D72">
        <v>0.55000000000000004</v>
      </c>
      <c r="E72" t="s">
        <v>7</v>
      </c>
      <c r="F72" t="s">
        <v>772</v>
      </c>
      <c r="G72" t="s">
        <v>836</v>
      </c>
      <c r="H72" t="s">
        <v>29</v>
      </c>
      <c r="I72" s="28" t="s">
        <v>27</v>
      </c>
    </row>
    <row r="73" spans="1:9" x14ac:dyDescent="0.3">
      <c r="A73" s="26">
        <v>45323</v>
      </c>
      <c r="B73" t="s">
        <v>829</v>
      </c>
      <c r="C73" t="s">
        <v>776</v>
      </c>
      <c r="D73">
        <v>0.5</v>
      </c>
      <c r="E73" t="s">
        <v>790</v>
      </c>
      <c r="F73" t="s">
        <v>754</v>
      </c>
      <c r="G73" t="s">
        <v>837</v>
      </c>
      <c r="H73" t="s">
        <v>29</v>
      </c>
      <c r="I73" s="28" t="s">
        <v>27</v>
      </c>
    </row>
    <row r="74" spans="1:9" x14ac:dyDescent="0.3">
      <c r="A74" s="26">
        <v>45323</v>
      </c>
      <c r="B74" t="s">
        <v>829</v>
      </c>
      <c r="C74" t="s">
        <v>776</v>
      </c>
      <c r="D74">
        <v>1.08</v>
      </c>
      <c r="E74" t="s">
        <v>790</v>
      </c>
      <c r="F74" t="s">
        <v>754</v>
      </c>
      <c r="G74" t="s">
        <v>838</v>
      </c>
      <c r="H74" t="s">
        <v>29</v>
      </c>
      <c r="I74" s="28" t="s">
        <v>27</v>
      </c>
    </row>
    <row r="75" spans="1:9" x14ac:dyDescent="0.3">
      <c r="A75" s="26">
        <v>45323</v>
      </c>
      <c r="B75" t="s">
        <v>829</v>
      </c>
      <c r="C75" t="s">
        <v>776</v>
      </c>
      <c r="D75">
        <v>4.1500000000000004</v>
      </c>
      <c r="E75" t="s">
        <v>790</v>
      </c>
      <c r="F75" t="s">
        <v>754</v>
      </c>
      <c r="G75" t="s">
        <v>839</v>
      </c>
      <c r="H75" t="s">
        <v>29</v>
      </c>
      <c r="I75" s="28" t="s">
        <v>27</v>
      </c>
    </row>
    <row r="76" spans="1:9" x14ac:dyDescent="0.3">
      <c r="A76" s="26">
        <v>45323</v>
      </c>
      <c r="B76" t="s">
        <v>840</v>
      </c>
      <c r="C76" t="s">
        <v>753</v>
      </c>
      <c r="D76">
        <v>0.53</v>
      </c>
      <c r="E76" t="s">
        <v>790</v>
      </c>
      <c r="F76" t="s">
        <v>754</v>
      </c>
      <c r="G76" t="s">
        <v>841</v>
      </c>
      <c r="H76" t="s">
        <v>29</v>
      </c>
      <c r="I76" s="28" t="s">
        <v>27</v>
      </c>
    </row>
    <row r="77" spans="1:9" x14ac:dyDescent="0.3">
      <c r="A77" s="26">
        <v>45323</v>
      </c>
      <c r="B77" t="s">
        <v>840</v>
      </c>
      <c r="C77" t="s">
        <v>771</v>
      </c>
      <c r="D77">
        <v>8.9700000000000006</v>
      </c>
      <c r="E77" t="s">
        <v>7</v>
      </c>
      <c r="F77" t="s">
        <v>772</v>
      </c>
      <c r="G77" t="s">
        <v>842</v>
      </c>
      <c r="H77" t="s">
        <v>29</v>
      </c>
      <c r="I77" s="28" t="s">
        <v>27</v>
      </c>
    </row>
    <row r="78" spans="1:9" x14ac:dyDescent="0.3">
      <c r="A78" s="26">
        <v>45323</v>
      </c>
      <c r="B78" t="s">
        <v>843</v>
      </c>
      <c r="C78" t="s">
        <v>753</v>
      </c>
      <c r="D78">
        <v>0.33</v>
      </c>
      <c r="E78" t="s">
        <v>563</v>
      </c>
      <c r="F78" t="s">
        <v>754</v>
      </c>
      <c r="G78" t="s">
        <v>844</v>
      </c>
      <c r="H78" t="s">
        <v>29</v>
      </c>
      <c r="I78" s="28" t="s">
        <v>27</v>
      </c>
    </row>
    <row r="79" spans="1:9" x14ac:dyDescent="0.3">
      <c r="A79" s="26">
        <v>45323</v>
      </c>
      <c r="B79" t="s">
        <v>843</v>
      </c>
      <c r="C79" t="s">
        <v>753</v>
      </c>
      <c r="D79">
        <v>0.38</v>
      </c>
      <c r="E79" t="s">
        <v>845</v>
      </c>
      <c r="F79" t="s">
        <v>754</v>
      </c>
      <c r="G79" t="s">
        <v>846</v>
      </c>
      <c r="H79" t="s">
        <v>29</v>
      </c>
      <c r="I79" s="28" t="s">
        <v>27</v>
      </c>
    </row>
    <row r="80" spans="1:9" x14ac:dyDescent="0.3">
      <c r="A80" s="26">
        <v>45323</v>
      </c>
      <c r="B80" t="s">
        <v>843</v>
      </c>
      <c r="C80" t="s">
        <v>753</v>
      </c>
      <c r="D80">
        <v>0.38</v>
      </c>
      <c r="E80" t="s">
        <v>563</v>
      </c>
      <c r="F80" t="s">
        <v>772</v>
      </c>
      <c r="G80" t="s">
        <v>847</v>
      </c>
      <c r="H80" t="s">
        <v>29</v>
      </c>
      <c r="I80" s="28" t="s">
        <v>27</v>
      </c>
    </row>
    <row r="81" spans="1:9" x14ac:dyDescent="0.3">
      <c r="A81" s="26">
        <v>45323</v>
      </c>
      <c r="B81" t="s">
        <v>843</v>
      </c>
      <c r="C81" t="s">
        <v>753</v>
      </c>
      <c r="D81">
        <v>0.42</v>
      </c>
      <c r="E81" t="s">
        <v>845</v>
      </c>
      <c r="F81" t="s">
        <v>754</v>
      </c>
      <c r="G81" t="s">
        <v>848</v>
      </c>
      <c r="H81" t="s">
        <v>29</v>
      </c>
      <c r="I81" s="28" t="s">
        <v>27</v>
      </c>
    </row>
    <row r="82" spans="1:9" x14ac:dyDescent="0.3">
      <c r="A82" s="26">
        <v>45323</v>
      </c>
      <c r="B82" t="s">
        <v>843</v>
      </c>
      <c r="C82" t="s">
        <v>753</v>
      </c>
      <c r="D82">
        <v>0.47</v>
      </c>
      <c r="E82" t="s">
        <v>628</v>
      </c>
      <c r="F82" t="s">
        <v>754</v>
      </c>
      <c r="G82" t="s">
        <v>849</v>
      </c>
      <c r="H82" t="s">
        <v>29</v>
      </c>
      <c r="I82" s="28" t="s">
        <v>27</v>
      </c>
    </row>
    <row r="83" spans="1:9" x14ac:dyDescent="0.3">
      <c r="A83" s="26">
        <v>45323</v>
      </c>
      <c r="B83" t="s">
        <v>843</v>
      </c>
      <c r="C83" t="s">
        <v>753</v>
      </c>
      <c r="D83">
        <v>0.92</v>
      </c>
      <c r="E83" t="s">
        <v>234</v>
      </c>
      <c r="F83" t="s">
        <v>772</v>
      </c>
      <c r="G83" t="s">
        <v>850</v>
      </c>
      <c r="H83" t="s">
        <v>29</v>
      </c>
      <c r="I83" s="28" t="s">
        <v>27</v>
      </c>
    </row>
    <row r="84" spans="1:9" x14ac:dyDescent="0.3">
      <c r="A84" s="26">
        <v>45323</v>
      </c>
      <c r="B84" t="s">
        <v>843</v>
      </c>
      <c r="C84" t="s">
        <v>753</v>
      </c>
      <c r="D84">
        <v>0.98</v>
      </c>
      <c r="E84" t="s">
        <v>234</v>
      </c>
      <c r="F84" t="s">
        <v>754</v>
      </c>
      <c r="G84" t="s">
        <v>851</v>
      </c>
      <c r="H84" t="s">
        <v>29</v>
      </c>
      <c r="I84" s="28" t="s">
        <v>27</v>
      </c>
    </row>
    <row r="85" spans="1:9" x14ac:dyDescent="0.3">
      <c r="A85" s="26">
        <v>45323</v>
      </c>
      <c r="B85" t="s">
        <v>843</v>
      </c>
      <c r="C85" t="s">
        <v>753</v>
      </c>
      <c r="D85">
        <v>1.63</v>
      </c>
      <c r="E85" t="s">
        <v>234</v>
      </c>
      <c r="F85" t="s">
        <v>754</v>
      </c>
      <c r="G85" t="s">
        <v>852</v>
      </c>
      <c r="H85" t="s">
        <v>29</v>
      </c>
      <c r="I85" s="28" t="s">
        <v>27</v>
      </c>
    </row>
    <row r="86" spans="1:9" x14ac:dyDescent="0.3">
      <c r="A86" s="26">
        <v>45323</v>
      </c>
      <c r="B86" t="s">
        <v>843</v>
      </c>
      <c r="C86" t="s">
        <v>853</v>
      </c>
      <c r="D86">
        <v>0.75</v>
      </c>
      <c r="E86" t="s">
        <v>259</v>
      </c>
      <c r="F86" t="s">
        <v>754</v>
      </c>
      <c r="G86" t="s">
        <v>854</v>
      </c>
      <c r="H86" t="s">
        <v>29</v>
      </c>
      <c r="I86" s="28" t="s">
        <v>27</v>
      </c>
    </row>
    <row r="87" spans="1:9" x14ac:dyDescent="0.3">
      <c r="A87" s="26">
        <v>45323</v>
      </c>
      <c r="B87" t="s">
        <v>843</v>
      </c>
      <c r="C87" t="s">
        <v>853</v>
      </c>
      <c r="D87">
        <v>1.23</v>
      </c>
      <c r="E87" t="s">
        <v>259</v>
      </c>
      <c r="F87" t="s">
        <v>754</v>
      </c>
      <c r="G87" t="s">
        <v>855</v>
      </c>
      <c r="H87" t="s">
        <v>29</v>
      </c>
      <c r="I87" s="28" t="s">
        <v>27</v>
      </c>
    </row>
    <row r="88" spans="1:9" x14ac:dyDescent="0.3">
      <c r="A88" s="26">
        <v>45323</v>
      </c>
      <c r="B88" t="s">
        <v>843</v>
      </c>
      <c r="C88" t="s">
        <v>771</v>
      </c>
      <c r="D88">
        <v>0.5</v>
      </c>
      <c r="E88" t="s">
        <v>7</v>
      </c>
      <c r="F88" t="s">
        <v>772</v>
      </c>
      <c r="G88" t="s">
        <v>781</v>
      </c>
      <c r="H88" t="s">
        <v>29</v>
      </c>
      <c r="I88" s="28" t="s">
        <v>27</v>
      </c>
    </row>
    <row r="89" spans="1:9" x14ac:dyDescent="0.3">
      <c r="A89" s="26">
        <v>45323</v>
      </c>
      <c r="B89" t="s">
        <v>856</v>
      </c>
      <c r="C89" t="s">
        <v>753</v>
      </c>
      <c r="D89">
        <v>0.37</v>
      </c>
      <c r="E89" t="s">
        <v>857</v>
      </c>
      <c r="F89" t="s">
        <v>754</v>
      </c>
      <c r="G89" t="s">
        <v>858</v>
      </c>
      <c r="H89" t="s">
        <v>29</v>
      </c>
      <c r="I89" s="28" t="s">
        <v>27</v>
      </c>
    </row>
    <row r="90" spans="1:9" x14ac:dyDescent="0.3">
      <c r="A90" s="26">
        <v>45323</v>
      </c>
      <c r="B90" t="s">
        <v>856</v>
      </c>
      <c r="C90" t="s">
        <v>753</v>
      </c>
      <c r="D90">
        <v>0.38</v>
      </c>
      <c r="E90" t="s">
        <v>857</v>
      </c>
      <c r="F90" t="s">
        <v>754</v>
      </c>
      <c r="G90" t="s">
        <v>859</v>
      </c>
      <c r="H90" t="s">
        <v>29</v>
      </c>
      <c r="I90" s="28" t="s">
        <v>27</v>
      </c>
    </row>
    <row r="91" spans="1:9" x14ac:dyDescent="0.3">
      <c r="A91" s="26">
        <v>45323</v>
      </c>
      <c r="B91" t="s">
        <v>856</v>
      </c>
      <c r="C91" t="s">
        <v>753</v>
      </c>
      <c r="D91">
        <v>0.42</v>
      </c>
      <c r="E91" t="s">
        <v>857</v>
      </c>
      <c r="F91" t="s">
        <v>754</v>
      </c>
      <c r="G91" t="s">
        <v>860</v>
      </c>
      <c r="H91" t="s">
        <v>29</v>
      </c>
      <c r="I91" s="28" t="s">
        <v>27</v>
      </c>
    </row>
    <row r="92" spans="1:9" x14ac:dyDescent="0.3">
      <c r="A92" s="26">
        <v>45323</v>
      </c>
      <c r="B92" t="s">
        <v>856</v>
      </c>
      <c r="C92" t="s">
        <v>753</v>
      </c>
      <c r="D92">
        <v>0.5</v>
      </c>
      <c r="E92" t="s">
        <v>857</v>
      </c>
      <c r="F92" t="s">
        <v>754</v>
      </c>
      <c r="G92" t="s">
        <v>861</v>
      </c>
      <c r="H92" t="s">
        <v>29</v>
      </c>
      <c r="I92" s="28" t="s">
        <v>27</v>
      </c>
    </row>
    <row r="93" spans="1:9" x14ac:dyDescent="0.3">
      <c r="A93" s="26">
        <v>45323</v>
      </c>
      <c r="B93" t="s">
        <v>856</v>
      </c>
      <c r="C93" t="s">
        <v>753</v>
      </c>
      <c r="D93">
        <v>0.87</v>
      </c>
      <c r="E93" t="s">
        <v>173</v>
      </c>
      <c r="F93" t="s">
        <v>754</v>
      </c>
      <c r="G93" t="s">
        <v>862</v>
      </c>
      <c r="H93" t="s">
        <v>29</v>
      </c>
      <c r="I93" s="28" t="s">
        <v>27</v>
      </c>
    </row>
    <row r="94" spans="1:9" x14ac:dyDescent="0.3">
      <c r="A94" s="26">
        <v>45323</v>
      </c>
      <c r="B94" t="s">
        <v>856</v>
      </c>
      <c r="C94" t="s">
        <v>753</v>
      </c>
      <c r="D94">
        <v>1.25</v>
      </c>
      <c r="E94" t="s">
        <v>857</v>
      </c>
      <c r="F94" t="s">
        <v>754</v>
      </c>
      <c r="G94" t="s">
        <v>863</v>
      </c>
      <c r="H94" t="s">
        <v>29</v>
      </c>
      <c r="I94" s="28" t="s">
        <v>27</v>
      </c>
    </row>
    <row r="95" spans="1:9" x14ac:dyDescent="0.3">
      <c r="A95" s="26">
        <v>45323</v>
      </c>
      <c r="B95" t="s">
        <v>856</v>
      </c>
      <c r="C95" t="s">
        <v>776</v>
      </c>
      <c r="D95">
        <v>0.2</v>
      </c>
      <c r="E95" t="s">
        <v>589</v>
      </c>
      <c r="F95" t="s">
        <v>754</v>
      </c>
      <c r="G95" t="s">
        <v>864</v>
      </c>
      <c r="H95" t="s">
        <v>29</v>
      </c>
      <c r="I95" s="28" t="s">
        <v>27</v>
      </c>
    </row>
    <row r="96" spans="1:9" x14ac:dyDescent="0.3">
      <c r="A96" s="26">
        <v>45323</v>
      </c>
      <c r="B96" t="s">
        <v>856</v>
      </c>
      <c r="C96" t="s">
        <v>776</v>
      </c>
      <c r="D96">
        <v>0.6</v>
      </c>
      <c r="E96" t="s">
        <v>589</v>
      </c>
      <c r="F96" t="s">
        <v>754</v>
      </c>
      <c r="G96" t="s">
        <v>865</v>
      </c>
      <c r="H96" t="s">
        <v>29</v>
      </c>
      <c r="I96" s="28" t="s">
        <v>27</v>
      </c>
    </row>
    <row r="97" spans="1:9" x14ac:dyDescent="0.3">
      <c r="A97" s="26">
        <v>45323</v>
      </c>
      <c r="B97" t="s">
        <v>856</v>
      </c>
      <c r="C97" t="s">
        <v>776</v>
      </c>
      <c r="D97">
        <v>5.18</v>
      </c>
      <c r="E97" t="s">
        <v>589</v>
      </c>
      <c r="F97" t="s">
        <v>754</v>
      </c>
      <c r="G97" t="s">
        <v>866</v>
      </c>
      <c r="H97" t="s">
        <v>29</v>
      </c>
      <c r="I97" s="28" t="s">
        <v>27</v>
      </c>
    </row>
    <row r="98" spans="1:9" x14ac:dyDescent="0.3">
      <c r="A98" s="26">
        <v>45323</v>
      </c>
      <c r="B98" t="s">
        <v>33</v>
      </c>
      <c r="C98" t="s">
        <v>753</v>
      </c>
      <c r="D98">
        <v>0.43</v>
      </c>
      <c r="E98" t="s">
        <v>817</v>
      </c>
      <c r="F98" t="s">
        <v>754</v>
      </c>
      <c r="G98" t="s">
        <v>867</v>
      </c>
      <c r="H98" t="s">
        <v>29</v>
      </c>
      <c r="I98" s="28" t="s">
        <v>27</v>
      </c>
    </row>
    <row r="99" spans="1:9" x14ac:dyDescent="0.3">
      <c r="A99" s="26">
        <v>45323</v>
      </c>
      <c r="B99" t="s">
        <v>33</v>
      </c>
      <c r="C99" t="s">
        <v>753</v>
      </c>
      <c r="D99">
        <v>0.56999999999999995</v>
      </c>
      <c r="E99" t="s">
        <v>817</v>
      </c>
      <c r="F99" t="s">
        <v>754</v>
      </c>
      <c r="G99" t="s">
        <v>868</v>
      </c>
      <c r="H99" t="s">
        <v>29</v>
      </c>
      <c r="I99" s="28" t="s">
        <v>27</v>
      </c>
    </row>
    <row r="100" spans="1:9" x14ac:dyDescent="0.3">
      <c r="A100" s="26">
        <v>45323</v>
      </c>
      <c r="B100" t="s">
        <v>33</v>
      </c>
      <c r="C100" t="s">
        <v>753</v>
      </c>
      <c r="D100">
        <v>0.85</v>
      </c>
      <c r="E100" t="s">
        <v>817</v>
      </c>
      <c r="F100" t="s">
        <v>754</v>
      </c>
      <c r="G100" t="s">
        <v>869</v>
      </c>
      <c r="H100" t="s">
        <v>29</v>
      </c>
      <c r="I100" s="28" t="s">
        <v>27</v>
      </c>
    </row>
    <row r="101" spans="1:9" x14ac:dyDescent="0.3">
      <c r="A101" s="26">
        <v>45323</v>
      </c>
      <c r="B101" t="s">
        <v>33</v>
      </c>
      <c r="C101" t="s">
        <v>753</v>
      </c>
      <c r="D101">
        <v>2.82</v>
      </c>
      <c r="E101" t="s">
        <v>817</v>
      </c>
      <c r="F101" t="s">
        <v>754</v>
      </c>
      <c r="H101" t="s">
        <v>29</v>
      </c>
      <c r="I101" s="28" t="s">
        <v>27</v>
      </c>
    </row>
    <row r="102" spans="1:9" x14ac:dyDescent="0.3">
      <c r="A102" s="26">
        <v>45323</v>
      </c>
      <c r="B102" t="s">
        <v>33</v>
      </c>
      <c r="C102" t="s">
        <v>771</v>
      </c>
      <c r="D102">
        <v>0.82</v>
      </c>
      <c r="E102" t="s">
        <v>7</v>
      </c>
      <c r="F102" t="s">
        <v>772</v>
      </c>
      <c r="G102" t="s">
        <v>870</v>
      </c>
      <c r="H102" t="s">
        <v>29</v>
      </c>
      <c r="I102" s="28" t="s">
        <v>27</v>
      </c>
    </row>
    <row r="103" spans="1:9" x14ac:dyDescent="0.3">
      <c r="A103" s="26">
        <v>45323</v>
      </c>
      <c r="B103" t="s">
        <v>33</v>
      </c>
      <c r="C103" t="s">
        <v>835</v>
      </c>
      <c r="D103">
        <v>0.12</v>
      </c>
      <c r="E103" t="s">
        <v>11</v>
      </c>
      <c r="F103" t="s">
        <v>754</v>
      </c>
      <c r="G103" t="s">
        <v>871</v>
      </c>
      <c r="H103" t="s">
        <v>29</v>
      </c>
      <c r="I103" s="28" t="s">
        <v>27</v>
      </c>
    </row>
    <row r="104" spans="1:9" x14ac:dyDescent="0.3">
      <c r="A104" s="26">
        <v>45323</v>
      </c>
      <c r="B104" t="s">
        <v>33</v>
      </c>
      <c r="C104" t="s">
        <v>835</v>
      </c>
      <c r="D104">
        <v>0.32</v>
      </c>
      <c r="E104" t="s">
        <v>11</v>
      </c>
      <c r="F104" t="s">
        <v>754</v>
      </c>
      <c r="G104" t="s">
        <v>872</v>
      </c>
      <c r="H104" t="s">
        <v>29</v>
      </c>
      <c r="I104" s="28" t="s">
        <v>27</v>
      </c>
    </row>
    <row r="105" spans="1:9" x14ac:dyDescent="0.3">
      <c r="A105" s="26">
        <v>45323</v>
      </c>
      <c r="B105" t="s">
        <v>33</v>
      </c>
      <c r="C105" t="s">
        <v>835</v>
      </c>
      <c r="D105">
        <v>0.7</v>
      </c>
      <c r="E105" t="s">
        <v>11</v>
      </c>
      <c r="F105" t="s">
        <v>772</v>
      </c>
      <c r="G105" t="s">
        <v>873</v>
      </c>
      <c r="H105" t="s">
        <v>29</v>
      </c>
      <c r="I105" s="28" t="s">
        <v>27</v>
      </c>
    </row>
    <row r="106" spans="1:9" x14ac:dyDescent="0.3">
      <c r="A106" s="26">
        <v>45323</v>
      </c>
      <c r="B106" t="s">
        <v>33</v>
      </c>
      <c r="C106" t="s">
        <v>874</v>
      </c>
      <c r="D106">
        <v>0.93</v>
      </c>
      <c r="E106" t="s">
        <v>7</v>
      </c>
      <c r="F106" t="s">
        <v>772</v>
      </c>
      <c r="G106" t="s">
        <v>875</v>
      </c>
      <c r="H106" t="s">
        <v>29</v>
      </c>
      <c r="I106" s="28" t="s">
        <v>27</v>
      </c>
    </row>
    <row r="107" spans="1:9" x14ac:dyDescent="0.3">
      <c r="A107" s="26">
        <v>45323</v>
      </c>
      <c r="B107" t="s">
        <v>876</v>
      </c>
      <c r="C107" t="s">
        <v>753</v>
      </c>
      <c r="D107">
        <v>8.0500000000000007</v>
      </c>
      <c r="E107" t="s">
        <v>11</v>
      </c>
      <c r="F107" t="s">
        <v>754</v>
      </c>
      <c r="H107" t="s">
        <v>29</v>
      </c>
      <c r="I107" s="28" t="s">
        <v>27</v>
      </c>
    </row>
    <row r="108" spans="1:9" x14ac:dyDescent="0.3">
      <c r="A108" s="26">
        <v>45323</v>
      </c>
      <c r="B108" t="s">
        <v>877</v>
      </c>
      <c r="C108" t="s">
        <v>878</v>
      </c>
      <c r="D108">
        <v>1.18</v>
      </c>
      <c r="E108" t="s">
        <v>879</v>
      </c>
      <c r="F108" t="s">
        <v>754</v>
      </c>
      <c r="G108" t="s">
        <v>880</v>
      </c>
      <c r="H108" t="s">
        <v>29</v>
      </c>
      <c r="I108" s="28" t="s">
        <v>27</v>
      </c>
    </row>
    <row r="109" spans="1:9" x14ac:dyDescent="0.3">
      <c r="A109" s="26">
        <v>45323</v>
      </c>
      <c r="B109" t="s">
        <v>877</v>
      </c>
      <c r="C109" t="s">
        <v>878</v>
      </c>
      <c r="D109">
        <v>2.0299999999999998</v>
      </c>
      <c r="E109" t="s">
        <v>879</v>
      </c>
      <c r="F109" t="s">
        <v>754</v>
      </c>
      <c r="G109" t="s">
        <v>881</v>
      </c>
      <c r="H109" t="s">
        <v>29</v>
      </c>
      <c r="I109" s="28" t="s">
        <v>27</v>
      </c>
    </row>
    <row r="110" spans="1:9" x14ac:dyDescent="0.3">
      <c r="A110" s="26">
        <v>45323</v>
      </c>
      <c r="B110" t="s">
        <v>877</v>
      </c>
      <c r="C110" t="s">
        <v>878</v>
      </c>
      <c r="D110">
        <v>5.48</v>
      </c>
      <c r="E110" t="s">
        <v>882</v>
      </c>
      <c r="F110" t="s">
        <v>754</v>
      </c>
      <c r="G110" t="s">
        <v>883</v>
      </c>
      <c r="H110" t="s">
        <v>29</v>
      </c>
      <c r="I110" s="28" t="s">
        <v>27</v>
      </c>
    </row>
    <row r="111" spans="1:9" x14ac:dyDescent="0.3">
      <c r="A111" s="26">
        <v>45323</v>
      </c>
      <c r="B111" t="s">
        <v>884</v>
      </c>
      <c r="C111" t="s">
        <v>753</v>
      </c>
      <c r="D111">
        <v>0.57999999999999996</v>
      </c>
      <c r="E111" t="s">
        <v>885</v>
      </c>
      <c r="F111" t="s">
        <v>754</v>
      </c>
      <c r="G111" t="s">
        <v>886</v>
      </c>
      <c r="H111" t="s">
        <v>29</v>
      </c>
      <c r="I111" s="28" t="s">
        <v>27</v>
      </c>
    </row>
    <row r="112" spans="1:9" x14ac:dyDescent="0.3">
      <c r="A112" s="26">
        <v>45323</v>
      </c>
      <c r="B112" t="s">
        <v>884</v>
      </c>
      <c r="C112" t="s">
        <v>753</v>
      </c>
      <c r="D112">
        <v>0.6</v>
      </c>
      <c r="E112" t="s">
        <v>248</v>
      </c>
      <c r="F112" t="s">
        <v>754</v>
      </c>
      <c r="H112" t="s">
        <v>29</v>
      </c>
      <c r="I112" s="28" t="s">
        <v>27</v>
      </c>
    </row>
    <row r="113" spans="1:9" x14ac:dyDescent="0.3">
      <c r="A113" s="26">
        <v>45323</v>
      </c>
      <c r="B113" t="s">
        <v>884</v>
      </c>
      <c r="C113" t="s">
        <v>753</v>
      </c>
      <c r="D113">
        <v>1</v>
      </c>
      <c r="E113" t="s">
        <v>562</v>
      </c>
      <c r="F113" t="s">
        <v>754</v>
      </c>
      <c r="G113" t="s">
        <v>887</v>
      </c>
      <c r="H113" t="s">
        <v>29</v>
      </c>
      <c r="I113" s="28" t="s">
        <v>27</v>
      </c>
    </row>
    <row r="114" spans="1:9" x14ac:dyDescent="0.3">
      <c r="A114" s="26">
        <v>45323</v>
      </c>
      <c r="B114" t="s">
        <v>884</v>
      </c>
      <c r="C114" t="s">
        <v>753</v>
      </c>
      <c r="D114">
        <v>1.1000000000000001</v>
      </c>
      <c r="E114" t="s">
        <v>562</v>
      </c>
      <c r="F114" t="s">
        <v>754</v>
      </c>
      <c r="G114" t="s">
        <v>888</v>
      </c>
      <c r="H114" t="s">
        <v>29</v>
      </c>
      <c r="I114" s="28" t="s">
        <v>27</v>
      </c>
    </row>
    <row r="115" spans="1:9" x14ac:dyDescent="0.3">
      <c r="A115" s="26">
        <v>45323</v>
      </c>
      <c r="B115" t="s">
        <v>884</v>
      </c>
      <c r="C115" t="s">
        <v>753</v>
      </c>
      <c r="D115">
        <v>1.1200000000000001</v>
      </c>
      <c r="E115" t="s">
        <v>375</v>
      </c>
      <c r="F115" t="s">
        <v>754</v>
      </c>
      <c r="G115" t="s">
        <v>889</v>
      </c>
      <c r="H115" t="s">
        <v>29</v>
      </c>
      <c r="I115" s="28" t="s">
        <v>27</v>
      </c>
    </row>
    <row r="116" spans="1:9" x14ac:dyDescent="0.3">
      <c r="A116" s="26">
        <v>45323</v>
      </c>
      <c r="B116" t="s">
        <v>884</v>
      </c>
      <c r="C116" t="s">
        <v>753</v>
      </c>
      <c r="D116">
        <v>1.47</v>
      </c>
      <c r="E116" t="s">
        <v>375</v>
      </c>
      <c r="F116" t="s">
        <v>754</v>
      </c>
      <c r="H116" t="s">
        <v>29</v>
      </c>
      <c r="I116" s="28" t="s">
        <v>27</v>
      </c>
    </row>
    <row r="117" spans="1:9" x14ac:dyDescent="0.3">
      <c r="A117" s="26">
        <v>45323</v>
      </c>
      <c r="B117" t="s">
        <v>884</v>
      </c>
      <c r="C117" t="s">
        <v>753</v>
      </c>
      <c r="D117">
        <v>2.13</v>
      </c>
      <c r="E117" t="s">
        <v>11</v>
      </c>
      <c r="F117" t="s">
        <v>754</v>
      </c>
      <c r="G117" t="s">
        <v>890</v>
      </c>
      <c r="H117" t="s">
        <v>29</v>
      </c>
      <c r="I117" s="28" t="s">
        <v>27</v>
      </c>
    </row>
    <row r="118" spans="1:9" x14ac:dyDescent="0.3">
      <c r="A118" s="26">
        <v>45323</v>
      </c>
      <c r="B118" t="s">
        <v>891</v>
      </c>
      <c r="C118" t="s">
        <v>802</v>
      </c>
      <c r="D118">
        <v>8</v>
      </c>
      <c r="E118" t="s">
        <v>7</v>
      </c>
      <c r="F118" t="s">
        <v>772</v>
      </c>
      <c r="G118" t="s">
        <v>892</v>
      </c>
      <c r="H118" t="s">
        <v>29</v>
      </c>
      <c r="I118" s="28" t="s">
        <v>27</v>
      </c>
    </row>
    <row r="119" spans="1:9" x14ac:dyDescent="0.3">
      <c r="A119" s="26">
        <v>45323</v>
      </c>
      <c r="B119" t="s">
        <v>34</v>
      </c>
      <c r="C119" t="s">
        <v>802</v>
      </c>
      <c r="D119">
        <v>8</v>
      </c>
      <c r="E119" t="s">
        <v>7</v>
      </c>
      <c r="F119" t="s">
        <v>772</v>
      </c>
      <c r="H119" t="s">
        <v>29</v>
      </c>
      <c r="I119" s="28" t="s">
        <v>27</v>
      </c>
    </row>
    <row r="120" spans="1:9" x14ac:dyDescent="0.3">
      <c r="A120" s="26">
        <v>45323</v>
      </c>
      <c r="B120" t="s">
        <v>893</v>
      </c>
      <c r="C120" t="s">
        <v>802</v>
      </c>
      <c r="D120">
        <v>8</v>
      </c>
      <c r="E120" t="s">
        <v>7</v>
      </c>
      <c r="F120" t="s">
        <v>772</v>
      </c>
      <c r="G120" t="s">
        <v>894</v>
      </c>
      <c r="H120" t="s">
        <v>29</v>
      </c>
      <c r="I120" s="28" t="s">
        <v>27</v>
      </c>
    </row>
    <row r="121" spans="1:9" x14ac:dyDescent="0.3">
      <c r="A121" s="26">
        <v>45323</v>
      </c>
      <c r="B121" t="s">
        <v>895</v>
      </c>
      <c r="C121" t="s">
        <v>753</v>
      </c>
      <c r="D121">
        <v>0.23</v>
      </c>
      <c r="E121" t="s">
        <v>813</v>
      </c>
      <c r="F121" t="s">
        <v>754</v>
      </c>
      <c r="G121" t="s">
        <v>896</v>
      </c>
      <c r="H121" t="s">
        <v>29</v>
      </c>
      <c r="I121" s="28" t="s">
        <v>27</v>
      </c>
    </row>
    <row r="122" spans="1:9" x14ac:dyDescent="0.3">
      <c r="A122" s="26">
        <v>45323</v>
      </c>
      <c r="B122" t="s">
        <v>895</v>
      </c>
      <c r="C122" t="s">
        <v>753</v>
      </c>
      <c r="D122">
        <v>0.28000000000000003</v>
      </c>
      <c r="E122" t="s">
        <v>811</v>
      </c>
      <c r="F122" t="s">
        <v>754</v>
      </c>
      <c r="G122" t="s">
        <v>897</v>
      </c>
      <c r="H122" t="s">
        <v>29</v>
      </c>
      <c r="I122" s="28" t="s">
        <v>27</v>
      </c>
    </row>
    <row r="123" spans="1:9" x14ac:dyDescent="0.3">
      <c r="A123" s="26">
        <v>45323</v>
      </c>
      <c r="B123" t="s">
        <v>895</v>
      </c>
      <c r="C123" t="s">
        <v>753</v>
      </c>
      <c r="D123">
        <v>0.33</v>
      </c>
      <c r="E123" t="s">
        <v>898</v>
      </c>
      <c r="F123" t="s">
        <v>754</v>
      </c>
      <c r="G123" t="s">
        <v>899</v>
      </c>
      <c r="H123" t="s">
        <v>29</v>
      </c>
      <c r="I123" s="28" t="s">
        <v>27</v>
      </c>
    </row>
    <row r="124" spans="1:9" x14ac:dyDescent="0.3">
      <c r="A124" s="26">
        <v>45323</v>
      </c>
      <c r="B124" t="s">
        <v>895</v>
      </c>
      <c r="C124" t="s">
        <v>753</v>
      </c>
      <c r="D124">
        <v>0.42</v>
      </c>
      <c r="E124" t="s">
        <v>817</v>
      </c>
      <c r="F124" t="s">
        <v>754</v>
      </c>
      <c r="G124" t="s">
        <v>900</v>
      </c>
      <c r="H124" t="s">
        <v>29</v>
      </c>
      <c r="I124" s="28" t="s">
        <v>27</v>
      </c>
    </row>
    <row r="125" spans="1:9" x14ac:dyDescent="0.3">
      <c r="A125" s="26">
        <v>45323</v>
      </c>
      <c r="B125" t="s">
        <v>895</v>
      </c>
      <c r="C125" t="s">
        <v>753</v>
      </c>
      <c r="D125">
        <v>0.57999999999999996</v>
      </c>
      <c r="E125" t="s">
        <v>815</v>
      </c>
      <c r="F125" t="s">
        <v>754</v>
      </c>
      <c r="G125" t="s">
        <v>901</v>
      </c>
      <c r="H125" t="s">
        <v>29</v>
      </c>
      <c r="I125" s="28" t="s">
        <v>27</v>
      </c>
    </row>
    <row r="126" spans="1:9" x14ac:dyDescent="0.3">
      <c r="A126" s="26">
        <v>45323</v>
      </c>
      <c r="B126" t="s">
        <v>895</v>
      </c>
      <c r="C126" t="s">
        <v>753</v>
      </c>
      <c r="D126">
        <v>0.62</v>
      </c>
      <c r="E126" t="s">
        <v>817</v>
      </c>
      <c r="F126" t="s">
        <v>754</v>
      </c>
      <c r="G126" t="s">
        <v>902</v>
      </c>
      <c r="H126" t="s">
        <v>29</v>
      </c>
      <c r="I126" s="28" t="s">
        <v>27</v>
      </c>
    </row>
    <row r="127" spans="1:9" x14ac:dyDescent="0.3">
      <c r="A127" s="26">
        <v>45323</v>
      </c>
      <c r="B127" t="s">
        <v>895</v>
      </c>
      <c r="C127" t="s">
        <v>753</v>
      </c>
      <c r="D127">
        <v>0.63</v>
      </c>
      <c r="E127" t="s">
        <v>903</v>
      </c>
      <c r="F127" t="s">
        <v>754</v>
      </c>
      <c r="G127" t="s">
        <v>904</v>
      </c>
      <c r="H127" t="s">
        <v>29</v>
      </c>
      <c r="I127" s="28" t="s">
        <v>27</v>
      </c>
    </row>
    <row r="128" spans="1:9" x14ac:dyDescent="0.3">
      <c r="A128" s="26">
        <v>45323</v>
      </c>
      <c r="B128" t="s">
        <v>895</v>
      </c>
      <c r="C128" t="s">
        <v>786</v>
      </c>
      <c r="D128">
        <v>0.18</v>
      </c>
      <c r="E128" t="s">
        <v>7</v>
      </c>
      <c r="F128" t="s">
        <v>772</v>
      </c>
      <c r="G128" t="s">
        <v>905</v>
      </c>
      <c r="H128" t="s">
        <v>29</v>
      </c>
      <c r="I128" s="28" t="s">
        <v>27</v>
      </c>
    </row>
    <row r="129" spans="1:9" x14ac:dyDescent="0.3">
      <c r="A129" s="26">
        <v>45323</v>
      </c>
      <c r="B129" t="s">
        <v>895</v>
      </c>
      <c r="C129" t="s">
        <v>906</v>
      </c>
      <c r="D129">
        <v>0.03</v>
      </c>
      <c r="E129" t="s">
        <v>7</v>
      </c>
      <c r="F129" t="s">
        <v>772</v>
      </c>
      <c r="G129" t="s">
        <v>907</v>
      </c>
      <c r="H129" t="s">
        <v>29</v>
      </c>
      <c r="I129" s="28" t="s">
        <v>27</v>
      </c>
    </row>
    <row r="130" spans="1:9" x14ac:dyDescent="0.3">
      <c r="A130" s="26">
        <v>45323</v>
      </c>
      <c r="B130" t="s">
        <v>895</v>
      </c>
      <c r="C130" t="s">
        <v>906</v>
      </c>
      <c r="D130">
        <v>0.35</v>
      </c>
      <c r="E130" t="s">
        <v>7</v>
      </c>
      <c r="F130" t="s">
        <v>772</v>
      </c>
      <c r="G130" t="s">
        <v>908</v>
      </c>
      <c r="H130" t="s">
        <v>29</v>
      </c>
      <c r="I130" s="28" t="s">
        <v>27</v>
      </c>
    </row>
    <row r="131" spans="1:9" x14ac:dyDescent="0.3">
      <c r="A131" s="26">
        <v>45323</v>
      </c>
      <c r="B131" t="s">
        <v>895</v>
      </c>
      <c r="C131" t="s">
        <v>909</v>
      </c>
      <c r="D131">
        <v>0.15</v>
      </c>
      <c r="E131" t="s">
        <v>910</v>
      </c>
      <c r="F131" t="s">
        <v>754</v>
      </c>
      <c r="G131" t="s">
        <v>911</v>
      </c>
      <c r="H131" t="s">
        <v>29</v>
      </c>
      <c r="I131" s="28" t="s">
        <v>27</v>
      </c>
    </row>
    <row r="132" spans="1:9" x14ac:dyDescent="0.3">
      <c r="A132" s="26">
        <v>45323</v>
      </c>
      <c r="B132" t="s">
        <v>895</v>
      </c>
      <c r="C132" t="s">
        <v>789</v>
      </c>
      <c r="D132">
        <v>0.33</v>
      </c>
      <c r="E132" t="s">
        <v>898</v>
      </c>
      <c r="F132" t="s">
        <v>754</v>
      </c>
      <c r="G132" t="s">
        <v>912</v>
      </c>
      <c r="H132" t="s">
        <v>29</v>
      </c>
      <c r="I132" s="28" t="s">
        <v>27</v>
      </c>
    </row>
    <row r="133" spans="1:9" x14ac:dyDescent="0.3">
      <c r="A133" s="26">
        <v>45323</v>
      </c>
      <c r="B133" t="s">
        <v>895</v>
      </c>
      <c r="C133" t="s">
        <v>771</v>
      </c>
      <c r="D133">
        <v>0.13</v>
      </c>
      <c r="E133" t="s">
        <v>7</v>
      </c>
      <c r="F133" t="s">
        <v>772</v>
      </c>
      <c r="G133" t="s">
        <v>913</v>
      </c>
      <c r="H133" t="s">
        <v>29</v>
      </c>
      <c r="I133" s="28" t="s">
        <v>27</v>
      </c>
    </row>
    <row r="134" spans="1:9" x14ac:dyDescent="0.3">
      <c r="A134" s="26">
        <v>45323</v>
      </c>
      <c r="B134" t="s">
        <v>895</v>
      </c>
      <c r="C134" t="s">
        <v>771</v>
      </c>
      <c r="D134">
        <v>0.25</v>
      </c>
      <c r="E134" t="s">
        <v>7</v>
      </c>
      <c r="F134" t="s">
        <v>772</v>
      </c>
      <c r="G134" t="s">
        <v>914</v>
      </c>
      <c r="H134" t="s">
        <v>29</v>
      </c>
      <c r="I134" s="28" t="s">
        <v>27</v>
      </c>
    </row>
    <row r="135" spans="1:9" x14ac:dyDescent="0.3">
      <c r="A135" s="26">
        <v>45323</v>
      </c>
      <c r="B135" t="s">
        <v>895</v>
      </c>
      <c r="C135" t="s">
        <v>771</v>
      </c>
      <c r="D135">
        <v>0.53</v>
      </c>
      <c r="E135" t="s">
        <v>7</v>
      </c>
      <c r="F135" t="s">
        <v>772</v>
      </c>
      <c r="G135" t="s">
        <v>915</v>
      </c>
      <c r="H135" t="s">
        <v>29</v>
      </c>
      <c r="I135" s="28" t="s">
        <v>27</v>
      </c>
    </row>
    <row r="136" spans="1:9" x14ac:dyDescent="0.3">
      <c r="A136" s="26">
        <v>45323</v>
      </c>
      <c r="B136" t="s">
        <v>895</v>
      </c>
      <c r="C136" t="s">
        <v>916</v>
      </c>
      <c r="D136">
        <v>0.48</v>
      </c>
      <c r="E136" t="s">
        <v>917</v>
      </c>
      <c r="F136" t="s">
        <v>754</v>
      </c>
      <c r="G136" t="s">
        <v>918</v>
      </c>
      <c r="H136" t="s">
        <v>29</v>
      </c>
      <c r="I136" s="28" t="s">
        <v>27</v>
      </c>
    </row>
    <row r="137" spans="1:9" x14ac:dyDescent="0.3">
      <c r="A137" s="26">
        <v>45323</v>
      </c>
      <c r="B137" t="s">
        <v>895</v>
      </c>
      <c r="C137" t="s">
        <v>919</v>
      </c>
      <c r="D137">
        <v>0.22</v>
      </c>
      <c r="E137" t="s">
        <v>814</v>
      </c>
      <c r="F137" t="s">
        <v>754</v>
      </c>
      <c r="G137" t="s">
        <v>920</v>
      </c>
      <c r="H137" t="s">
        <v>29</v>
      </c>
      <c r="I137" s="28" t="s">
        <v>27</v>
      </c>
    </row>
    <row r="138" spans="1:9" x14ac:dyDescent="0.3">
      <c r="A138" s="26">
        <v>45323</v>
      </c>
      <c r="B138" t="s">
        <v>895</v>
      </c>
      <c r="C138" t="s">
        <v>776</v>
      </c>
      <c r="D138">
        <v>0.17</v>
      </c>
      <c r="E138" t="s">
        <v>811</v>
      </c>
      <c r="F138" t="s">
        <v>754</v>
      </c>
      <c r="G138" t="s">
        <v>921</v>
      </c>
      <c r="H138" t="s">
        <v>29</v>
      </c>
      <c r="I138" s="28" t="s">
        <v>27</v>
      </c>
    </row>
    <row r="139" spans="1:9" x14ac:dyDescent="0.3">
      <c r="A139" s="26">
        <v>45323</v>
      </c>
      <c r="B139" t="s">
        <v>895</v>
      </c>
      <c r="C139" t="s">
        <v>776</v>
      </c>
      <c r="D139">
        <v>0.37</v>
      </c>
      <c r="E139" t="s">
        <v>922</v>
      </c>
      <c r="F139" t="s">
        <v>754</v>
      </c>
      <c r="G139" t="s">
        <v>923</v>
      </c>
      <c r="H139" t="s">
        <v>29</v>
      </c>
      <c r="I139" s="28" t="s">
        <v>27</v>
      </c>
    </row>
    <row r="140" spans="1:9" x14ac:dyDescent="0.3">
      <c r="A140" s="26">
        <v>45323</v>
      </c>
      <c r="B140" t="s">
        <v>895</v>
      </c>
      <c r="C140" t="s">
        <v>776</v>
      </c>
      <c r="D140">
        <v>0.37</v>
      </c>
      <c r="E140" t="s">
        <v>879</v>
      </c>
      <c r="F140" t="s">
        <v>754</v>
      </c>
      <c r="G140" t="s">
        <v>924</v>
      </c>
      <c r="H140" t="s">
        <v>29</v>
      </c>
      <c r="I140" s="28" t="s">
        <v>27</v>
      </c>
    </row>
    <row r="141" spans="1:9" x14ac:dyDescent="0.3">
      <c r="A141" s="26">
        <v>45323</v>
      </c>
      <c r="B141" t="s">
        <v>895</v>
      </c>
      <c r="C141" t="s">
        <v>776</v>
      </c>
      <c r="D141">
        <v>0.45</v>
      </c>
      <c r="E141" t="s">
        <v>879</v>
      </c>
      <c r="F141" t="s">
        <v>754</v>
      </c>
      <c r="G141" t="s">
        <v>925</v>
      </c>
      <c r="H141" t="s">
        <v>29</v>
      </c>
      <c r="I141" s="28" t="s">
        <v>27</v>
      </c>
    </row>
    <row r="142" spans="1:9" x14ac:dyDescent="0.3">
      <c r="A142" s="26">
        <v>45323</v>
      </c>
      <c r="B142" t="s">
        <v>895</v>
      </c>
      <c r="C142" t="s">
        <v>776</v>
      </c>
      <c r="D142">
        <v>0.5</v>
      </c>
      <c r="E142" t="s">
        <v>879</v>
      </c>
      <c r="F142" t="s">
        <v>754</v>
      </c>
      <c r="G142" t="s">
        <v>926</v>
      </c>
      <c r="H142" t="s">
        <v>29</v>
      </c>
      <c r="I142" s="28" t="s">
        <v>27</v>
      </c>
    </row>
    <row r="143" spans="1:9" x14ac:dyDescent="0.3">
      <c r="A143" s="26">
        <v>45323</v>
      </c>
      <c r="B143" t="s">
        <v>895</v>
      </c>
      <c r="C143" t="s">
        <v>776</v>
      </c>
      <c r="D143">
        <v>1.07</v>
      </c>
      <c r="E143" t="s">
        <v>879</v>
      </c>
      <c r="F143" t="s">
        <v>754</v>
      </c>
      <c r="G143" t="s">
        <v>927</v>
      </c>
      <c r="H143" t="s">
        <v>29</v>
      </c>
      <c r="I143" s="28" t="s">
        <v>27</v>
      </c>
    </row>
    <row r="144" spans="1:9" x14ac:dyDescent="0.3">
      <c r="A144" s="26">
        <v>45323</v>
      </c>
      <c r="B144" t="s">
        <v>895</v>
      </c>
      <c r="C144" t="s">
        <v>776</v>
      </c>
      <c r="D144">
        <v>2</v>
      </c>
      <c r="E144" t="s">
        <v>879</v>
      </c>
      <c r="F144" t="s">
        <v>754</v>
      </c>
      <c r="G144" t="s">
        <v>928</v>
      </c>
      <c r="H144" t="s">
        <v>29</v>
      </c>
      <c r="I144" s="28" t="s">
        <v>27</v>
      </c>
    </row>
    <row r="145" spans="1:9" x14ac:dyDescent="0.3">
      <c r="A145" s="26">
        <v>45323</v>
      </c>
      <c r="B145" t="s">
        <v>929</v>
      </c>
      <c r="C145" t="s">
        <v>786</v>
      </c>
      <c r="D145">
        <v>0.63</v>
      </c>
      <c r="E145" t="s">
        <v>7</v>
      </c>
      <c r="F145" t="s">
        <v>754</v>
      </c>
      <c r="G145" t="s">
        <v>930</v>
      </c>
      <c r="H145" t="s">
        <v>29</v>
      </c>
      <c r="I145" s="28" t="s">
        <v>27</v>
      </c>
    </row>
    <row r="146" spans="1:9" x14ac:dyDescent="0.3">
      <c r="A146" s="26">
        <v>45323</v>
      </c>
      <c r="B146" t="s">
        <v>929</v>
      </c>
      <c r="C146" t="s">
        <v>789</v>
      </c>
      <c r="D146">
        <v>0.08</v>
      </c>
      <c r="E146" t="s">
        <v>7</v>
      </c>
      <c r="F146" t="s">
        <v>772</v>
      </c>
      <c r="G146" t="s">
        <v>931</v>
      </c>
      <c r="H146" t="s">
        <v>29</v>
      </c>
      <c r="I146" s="28" t="s">
        <v>27</v>
      </c>
    </row>
    <row r="147" spans="1:9" x14ac:dyDescent="0.3">
      <c r="A147" s="26">
        <v>45323</v>
      </c>
      <c r="B147" t="s">
        <v>929</v>
      </c>
      <c r="C147" t="s">
        <v>789</v>
      </c>
      <c r="D147">
        <v>0.08</v>
      </c>
      <c r="E147" t="s">
        <v>7</v>
      </c>
      <c r="F147" t="s">
        <v>772</v>
      </c>
      <c r="G147" t="s">
        <v>932</v>
      </c>
      <c r="H147" t="s">
        <v>29</v>
      </c>
      <c r="I147" s="28" t="s">
        <v>27</v>
      </c>
    </row>
    <row r="148" spans="1:9" x14ac:dyDescent="0.3">
      <c r="A148" s="26">
        <v>45323</v>
      </c>
      <c r="B148" t="s">
        <v>929</v>
      </c>
      <c r="C148" t="s">
        <v>789</v>
      </c>
      <c r="D148">
        <v>0.08</v>
      </c>
      <c r="E148" t="s">
        <v>7</v>
      </c>
      <c r="F148" t="s">
        <v>772</v>
      </c>
      <c r="G148" t="s">
        <v>933</v>
      </c>
      <c r="H148" t="s">
        <v>29</v>
      </c>
      <c r="I148" s="28" t="s">
        <v>27</v>
      </c>
    </row>
    <row r="149" spans="1:9" x14ac:dyDescent="0.3">
      <c r="A149" s="26">
        <v>45323</v>
      </c>
      <c r="B149" t="s">
        <v>929</v>
      </c>
      <c r="C149" t="s">
        <v>789</v>
      </c>
      <c r="D149">
        <v>0.1</v>
      </c>
      <c r="E149" t="s">
        <v>934</v>
      </c>
      <c r="F149" t="s">
        <v>754</v>
      </c>
      <c r="G149" t="s">
        <v>935</v>
      </c>
      <c r="H149" t="s">
        <v>29</v>
      </c>
      <c r="I149" s="28" t="s">
        <v>27</v>
      </c>
    </row>
    <row r="150" spans="1:9" x14ac:dyDescent="0.3">
      <c r="A150" s="26">
        <v>45323</v>
      </c>
      <c r="B150" t="s">
        <v>929</v>
      </c>
      <c r="C150" t="s">
        <v>789</v>
      </c>
      <c r="D150">
        <v>0.12</v>
      </c>
      <c r="E150" t="s">
        <v>589</v>
      </c>
      <c r="F150" t="s">
        <v>754</v>
      </c>
      <c r="G150" t="s">
        <v>936</v>
      </c>
      <c r="H150" t="s">
        <v>29</v>
      </c>
      <c r="I150" s="28" t="s">
        <v>27</v>
      </c>
    </row>
    <row r="151" spans="1:9" x14ac:dyDescent="0.3">
      <c r="A151" s="26">
        <v>45323</v>
      </c>
      <c r="B151" t="s">
        <v>929</v>
      </c>
      <c r="C151" t="s">
        <v>789</v>
      </c>
      <c r="D151">
        <v>0.18</v>
      </c>
      <c r="E151" t="s">
        <v>7</v>
      </c>
      <c r="F151" t="s">
        <v>772</v>
      </c>
      <c r="G151" t="s">
        <v>937</v>
      </c>
      <c r="H151" t="s">
        <v>29</v>
      </c>
      <c r="I151" s="28" t="s">
        <v>27</v>
      </c>
    </row>
    <row r="152" spans="1:9" x14ac:dyDescent="0.3">
      <c r="A152" s="26">
        <v>45323</v>
      </c>
      <c r="B152" t="s">
        <v>929</v>
      </c>
      <c r="C152" t="s">
        <v>789</v>
      </c>
      <c r="D152">
        <v>0.22</v>
      </c>
      <c r="E152" t="s">
        <v>589</v>
      </c>
      <c r="F152" t="s">
        <v>754</v>
      </c>
      <c r="G152" t="s">
        <v>938</v>
      </c>
      <c r="H152" t="s">
        <v>29</v>
      </c>
      <c r="I152" s="28" t="s">
        <v>27</v>
      </c>
    </row>
    <row r="153" spans="1:9" x14ac:dyDescent="0.3">
      <c r="A153" s="26">
        <v>45323</v>
      </c>
      <c r="B153" t="s">
        <v>929</v>
      </c>
      <c r="C153" t="s">
        <v>789</v>
      </c>
      <c r="D153">
        <v>0.37</v>
      </c>
      <c r="E153" t="s">
        <v>7</v>
      </c>
      <c r="F153" t="s">
        <v>772</v>
      </c>
      <c r="G153" t="s">
        <v>939</v>
      </c>
      <c r="H153" t="s">
        <v>29</v>
      </c>
      <c r="I153" s="28" t="s">
        <v>27</v>
      </c>
    </row>
    <row r="154" spans="1:9" x14ac:dyDescent="0.3">
      <c r="A154" s="26">
        <v>45323</v>
      </c>
      <c r="B154" t="s">
        <v>929</v>
      </c>
      <c r="C154" t="s">
        <v>771</v>
      </c>
      <c r="D154">
        <v>0.25</v>
      </c>
      <c r="E154" t="s">
        <v>7</v>
      </c>
      <c r="F154" t="s">
        <v>772</v>
      </c>
      <c r="G154" t="s">
        <v>940</v>
      </c>
      <c r="H154" t="s">
        <v>29</v>
      </c>
      <c r="I154" s="28" t="s">
        <v>27</v>
      </c>
    </row>
    <row r="155" spans="1:9" x14ac:dyDescent="0.3">
      <c r="A155" s="26">
        <v>45323</v>
      </c>
      <c r="B155" t="s">
        <v>929</v>
      </c>
      <c r="C155" t="s">
        <v>771</v>
      </c>
      <c r="D155">
        <v>0.25</v>
      </c>
      <c r="E155" t="s">
        <v>7</v>
      </c>
      <c r="F155" t="s">
        <v>772</v>
      </c>
      <c r="G155" t="s">
        <v>941</v>
      </c>
      <c r="H155" t="s">
        <v>29</v>
      </c>
      <c r="I155" s="28" t="s">
        <v>27</v>
      </c>
    </row>
    <row r="156" spans="1:9" x14ac:dyDescent="0.3">
      <c r="A156" s="26">
        <v>45323</v>
      </c>
      <c r="B156" t="s">
        <v>929</v>
      </c>
      <c r="C156" t="s">
        <v>942</v>
      </c>
      <c r="D156">
        <v>0.28000000000000003</v>
      </c>
      <c r="E156" t="s">
        <v>7</v>
      </c>
      <c r="F156" t="s">
        <v>772</v>
      </c>
      <c r="G156" t="s">
        <v>943</v>
      </c>
      <c r="H156" t="s">
        <v>29</v>
      </c>
      <c r="I156" s="28" t="s">
        <v>27</v>
      </c>
    </row>
    <row r="157" spans="1:9" x14ac:dyDescent="0.3">
      <c r="A157" s="26">
        <v>45323</v>
      </c>
      <c r="B157" t="s">
        <v>929</v>
      </c>
      <c r="C157" t="s">
        <v>916</v>
      </c>
      <c r="D157">
        <v>0.08</v>
      </c>
      <c r="E157" t="s">
        <v>944</v>
      </c>
      <c r="F157" t="s">
        <v>772</v>
      </c>
      <c r="G157" t="s">
        <v>945</v>
      </c>
      <c r="H157" t="s">
        <v>29</v>
      </c>
      <c r="I157" s="28" t="s">
        <v>27</v>
      </c>
    </row>
    <row r="158" spans="1:9" x14ac:dyDescent="0.3">
      <c r="A158" s="26">
        <v>45323</v>
      </c>
      <c r="B158" t="s">
        <v>929</v>
      </c>
      <c r="C158" t="s">
        <v>916</v>
      </c>
      <c r="D158">
        <v>0.18</v>
      </c>
      <c r="E158" t="s">
        <v>553</v>
      </c>
      <c r="F158" t="s">
        <v>772</v>
      </c>
      <c r="G158" t="s">
        <v>946</v>
      </c>
      <c r="H158" t="s">
        <v>29</v>
      </c>
      <c r="I158" s="28" t="s">
        <v>27</v>
      </c>
    </row>
    <row r="159" spans="1:9" x14ac:dyDescent="0.3">
      <c r="A159" s="26">
        <v>45323</v>
      </c>
      <c r="B159" t="s">
        <v>929</v>
      </c>
      <c r="C159" t="s">
        <v>916</v>
      </c>
      <c r="D159">
        <v>0.23</v>
      </c>
      <c r="E159" t="s">
        <v>7</v>
      </c>
      <c r="F159" t="s">
        <v>754</v>
      </c>
      <c r="G159" t="s">
        <v>947</v>
      </c>
      <c r="H159" t="s">
        <v>29</v>
      </c>
      <c r="I159" s="28" t="s">
        <v>27</v>
      </c>
    </row>
    <row r="160" spans="1:9" x14ac:dyDescent="0.3">
      <c r="A160" s="26">
        <v>45323</v>
      </c>
      <c r="B160" t="s">
        <v>929</v>
      </c>
      <c r="C160" t="s">
        <v>916</v>
      </c>
      <c r="D160">
        <v>0.3</v>
      </c>
      <c r="E160" t="s">
        <v>917</v>
      </c>
      <c r="F160" t="s">
        <v>754</v>
      </c>
      <c r="G160" t="s">
        <v>948</v>
      </c>
      <c r="H160" t="s">
        <v>29</v>
      </c>
      <c r="I160" s="28" t="s">
        <v>27</v>
      </c>
    </row>
    <row r="161" spans="1:9" x14ac:dyDescent="0.3">
      <c r="A161" s="26">
        <v>45323</v>
      </c>
      <c r="B161" t="s">
        <v>929</v>
      </c>
      <c r="C161" t="s">
        <v>916</v>
      </c>
      <c r="D161">
        <v>0.32</v>
      </c>
      <c r="E161" t="s">
        <v>917</v>
      </c>
      <c r="F161" t="s">
        <v>754</v>
      </c>
      <c r="H161" t="s">
        <v>29</v>
      </c>
      <c r="I161" s="28" t="s">
        <v>27</v>
      </c>
    </row>
    <row r="162" spans="1:9" x14ac:dyDescent="0.3">
      <c r="A162" s="26">
        <v>45323</v>
      </c>
      <c r="B162" t="s">
        <v>929</v>
      </c>
      <c r="C162" t="s">
        <v>916</v>
      </c>
      <c r="D162">
        <v>0.33</v>
      </c>
      <c r="E162" t="s">
        <v>790</v>
      </c>
      <c r="F162" t="s">
        <v>772</v>
      </c>
      <c r="G162" t="s">
        <v>949</v>
      </c>
      <c r="H162" t="s">
        <v>29</v>
      </c>
      <c r="I162" s="28" t="s">
        <v>27</v>
      </c>
    </row>
    <row r="163" spans="1:9" x14ac:dyDescent="0.3">
      <c r="A163" s="26">
        <v>45323</v>
      </c>
      <c r="B163" t="s">
        <v>929</v>
      </c>
      <c r="C163" t="s">
        <v>916</v>
      </c>
      <c r="D163">
        <v>0.45</v>
      </c>
      <c r="E163" t="s">
        <v>917</v>
      </c>
      <c r="F163" t="s">
        <v>754</v>
      </c>
      <c r="G163" t="s">
        <v>950</v>
      </c>
      <c r="H163" t="s">
        <v>29</v>
      </c>
      <c r="I163" s="28" t="s">
        <v>27</v>
      </c>
    </row>
    <row r="164" spans="1:9" x14ac:dyDescent="0.3">
      <c r="A164" s="26">
        <v>45323</v>
      </c>
      <c r="B164" t="s">
        <v>929</v>
      </c>
      <c r="C164" t="s">
        <v>916</v>
      </c>
      <c r="D164">
        <v>0.48</v>
      </c>
      <c r="E164" t="s">
        <v>717</v>
      </c>
      <c r="F164" t="s">
        <v>772</v>
      </c>
      <c r="G164" t="s">
        <v>951</v>
      </c>
      <c r="H164" t="s">
        <v>29</v>
      </c>
      <c r="I164" s="28" t="s">
        <v>27</v>
      </c>
    </row>
    <row r="165" spans="1:9" x14ac:dyDescent="0.3">
      <c r="A165" s="26">
        <v>45323</v>
      </c>
      <c r="B165" t="s">
        <v>929</v>
      </c>
      <c r="C165" t="s">
        <v>916</v>
      </c>
      <c r="D165">
        <v>1.02</v>
      </c>
      <c r="E165" t="s">
        <v>553</v>
      </c>
      <c r="F165" t="s">
        <v>754</v>
      </c>
      <c r="G165" t="s">
        <v>952</v>
      </c>
      <c r="H165" t="s">
        <v>29</v>
      </c>
      <c r="I165" s="28" t="s">
        <v>27</v>
      </c>
    </row>
    <row r="166" spans="1:9" x14ac:dyDescent="0.3">
      <c r="A166" s="26">
        <v>45323</v>
      </c>
      <c r="B166" t="s">
        <v>929</v>
      </c>
      <c r="C166" t="s">
        <v>916</v>
      </c>
      <c r="D166">
        <v>1.35</v>
      </c>
      <c r="E166" t="s">
        <v>790</v>
      </c>
      <c r="F166" t="s">
        <v>754</v>
      </c>
      <c r="G166" t="s">
        <v>953</v>
      </c>
      <c r="H166" t="s">
        <v>29</v>
      </c>
      <c r="I166" s="28" t="s">
        <v>27</v>
      </c>
    </row>
    <row r="167" spans="1:9" x14ac:dyDescent="0.3">
      <c r="A167" s="26">
        <v>45323</v>
      </c>
      <c r="B167" t="s">
        <v>929</v>
      </c>
      <c r="C167" t="s">
        <v>954</v>
      </c>
      <c r="D167">
        <v>0.15</v>
      </c>
      <c r="E167" t="s">
        <v>7</v>
      </c>
      <c r="F167" t="s">
        <v>772</v>
      </c>
      <c r="G167" t="s">
        <v>955</v>
      </c>
      <c r="H167" t="s">
        <v>29</v>
      </c>
      <c r="I167" s="28" t="s">
        <v>27</v>
      </c>
    </row>
    <row r="168" spans="1:9" x14ac:dyDescent="0.3">
      <c r="A168" s="26">
        <v>45323</v>
      </c>
      <c r="B168" t="s">
        <v>929</v>
      </c>
      <c r="C168" t="s">
        <v>954</v>
      </c>
      <c r="D168">
        <v>0.2</v>
      </c>
      <c r="E168" t="s">
        <v>7</v>
      </c>
      <c r="F168" t="s">
        <v>772</v>
      </c>
      <c r="G168" t="s">
        <v>956</v>
      </c>
      <c r="H168" t="s">
        <v>29</v>
      </c>
      <c r="I168" s="28" t="s">
        <v>27</v>
      </c>
    </row>
    <row r="169" spans="1:9" x14ac:dyDescent="0.3">
      <c r="A169" s="26">
        <v>45323</v>
      </c>
      <c r="B169" t="s">
        <v>929</v>
      </c>
      <c r="C169" t="s">
        <v>957</v>
      </c>
      <c r="D169">
        <v>0.33</v>
      </c>
      <c r="E169" t="s">
        <v>7</v>
      </c>
      <c r="F169" t="s">
        <v>772</v>
      </c>
      <c r="G169" t="s">
        <v>958</v>
      </c>
      <c r="H169" t="s">
        <v>29</v>
      </c>
      <c r="I169" s="28" t="s">
        <v>27</v>
      </c>
    </row>
    <row r="170" spans="1:9" x14ac:dyDescent="0.3">
      <c r="A170" s="26">
        <v>45323</v>
      </c>
      <c r="B170" t="s">
        <v>959</v>
      </c>
      <c r="C170" t="s">
        <v>878</v>
      </c>
      <c r="D170">
        <v>8</v>
      </c>
      <c r="E170" t="s">
        <v>430</v>
      </c>
      <c r="F170" t="s">
        <v>754</v>
      </c>
      <c r="G170" t="s">
        <v>960</v>
      </c>
      <c r="H170" t="s">
        <v>29</v>
      </c>
      <c r="I170" s="28" t="s">
        <v>27</v>
      </c>
    </row>
    <row r="171" spans="1:9" x14ac:dyDescent="0.3">
      <c r="A171" s="26">
        <v>45323</v>
      </c>
      <c r="B171" t="s">
        <v>961</v>
      </c>
      <c r="C171" t="s">
        <v>784</v>
      </c>
      <c r="D171">
        <v>8</v>
      </c>
      <c r="E171" t="s">
        <v>7</v>
      </c>
      <c r="F171" t="s">
        <v>772</v>
      </c>
      <c r="H171" t="s">
        <v>29</v>
      </c>
      <c r="I171" s="28" t="s">
        <v>27</v>
      </c>
    </row>
    <row r="172" spans="1:9" x14ac:dyDescent="0.3">
      <c r="A172" s="26">
        <v>45323</v>
      </c>
      <c r="B172" t="s">
        <v>962</v>
      </c>
      <c r="C172" t="s">
        <v>753</v>
      </c>
      <c r="D172">
        <v>0.5</v>
      </c>
      <c r="E172" t="s">
        <v>717</v>
      </c>
      <c r="F172" t="s">
        <v>754</v>
      </c>
      <c r="G172" t="s">
        <v>963</v>
      </c>
      <c r="H172" t="s">
        <v>29</v>
      </c>
      <c r="I172" s="28" t="s">
        <v>27</v>
      </c>
    </row>
    <row r="173" spans="1:9" x14ac:dyDescent="0.3">
      <c r="A173" s="26">
        <v>45323</v>
      </c>
      <c r="B173" t="s">
        <v>962</v>
      </c>
      <c r="C173" t="s">
        <v>753</v>
      </c>
      <c r="D173">
        <v>1.1499999999999999</v>
      </c>
      <c r="E173" t="s">
        <v>964</v>
      </c>
      <c r="F173" t="s">
        <v>754</v>
      </c>
      <c r="G173" t="s">
        <v>965</v>
      </c>
      <c r="H173" t="s">
        <v>29</v>
      </c>
      <c r="I173" s="28" t="s">
        <v>27</v>
      </c>
    </row>
    <row r="174" spans="1:9" x14ac:dyDescent="0.3">
      <c r="A174" s="26">
        <v>45323</v>
      </c>
      <c r="B174" t="s">
        <v>966</v>
      </c>
      <c r="C174" t="s">
        <v>967</v>
      </c>
      <c r="D174">
        <v>1.5</v>
      </c>
      <c r="E174" t="s">
        <v>790</v>
      </c>
      <c r="F174" t="s">
        <v>754</v>
      </c>
      <c r="H174" t="s">
        <v>29</v>
      </c>
      <c r="I174" s="28" t="s">
        <v>27</v>
      </c>
    </row>
    <row r="175" spans="1:9" x14ac:dyDescent="0.3">
      <c r="A175" s="26">
        <v>45323</v>
      </c>
      <c r="B175" t="s">
        <v>966</v>
      </c>
      <c r="C175" t="s">
        <v>967</v>
      </c>
      <c r="D175">
        <v>2.67</v>
      </c>
      <c r="E175" t="s">
        <v>11</v>
      </c>
      <c r="F175" t="s">
        <v>754</v>
      </c>
      <c r="H175" t="s">
        <v>29</v>
      </c>
      <c r="I175" s="28" t="s">
        <v>27</v>
      </c>
    </row>
    <row r="176" spans="1:9" x14ac:dyDescent="0.3">
      <c r="A176" s="26">
        <v>45323</v>
      </c>
      <c r="B176" t="s">
        <v>966</v>
      </c>
      <c r="C176" t="s">
        <v>967</v>
      </c>
      <c r="D176">
        <v>3</v>
      </c>
      <c r="E176" t="s">
        <v>7</v>
      </c>
      <c r="F176" t="s">
        <v>754</v>
      </c>
      <c r="H176" t="s">
        <v>29</v>
      </c>
      <c r="I176" s="28" t="s">
        <v>27</v>
      </c>
    </row>
    <row r="177" spans="1:9" x14ac:dyDescent="0.3">
      <c r="A177" s="26">
        <v>45323</v>
      </c>
      <c r="B177" t="s">
        <v>966</v>
      </c>
      <c r="C177" t="s">
        <v>771</v>
      </c>
      <c r="D177">
        <v>0.83</v>
      </c>
      <c r="E177" t="s">
        <v>7</v>
      </c>
      <c r="F177" t="s">
        <v>772</v>
      </c>
      <c r="G177" t="s">
        <v>968</v>
      </c>
      <c r="H177" t="s">
        <v>29</v>
      </c>
      <c r="I177" s="28" t="s">
        <v>27</v>
      </c>
    </row>
    <row r="178" spans="1:9" x14ac:dyDescent="0.3">
      <c r="A178" s="26">
        <v>45323</v>
      </c>
      <c r="B178" t="s">
        <v>969</v>
      </c>
      <c r="C178" t="s">
        <v>970</v>
      </c>
      <c r="D178">
        <v>1.65</v>
      </c>
      <c r="E178" t="s">
        <v>790</v>
      </c>
      <c r="F178" t="s">
        <v>754</v>
      </c>
      <c r="G178" t="s">
        <v>971</v>
      </c>
      <c r="H178" t="s">
        <v>29</v>
      </c>
      <c r="I178" s="28" t="s">
        <v>27</v>
      </c>
    </row>
    <row r="179" spans="1:9" x14ac:dyDescent="0.3">
      <c r="A179" s="26">
        <v>45323</v>
      </c>
      <c r="B179" t="s">
        <v>969</v>
      </c>
      <c r="C179" t="s">
        <v>970</v>
      </c>
      <c r="D179">
        <v>1.73</v>
      </c>
      <c r="E179" t="s">
        <v>790</v>
      </c>
      <c r="F179" t="s">
        <v>754</v>
      </c>
      <c r="G179" t="s">
        <v>972</v>
      </c>
      <c r="H179" t="s">
        <v>29</v>
      </c>
      <c r="I179" s="28" t="s">
        <v>27</v>
      </c>
    </row>
    <row r="180" spans="1:9" x14ac:dyDescent="0.3">
      <c r="A180" s="26">
        <v>45323</v>
      </c>
      <c r="B180" t="s">
        <v>969</v>
      </c>
      <c r="C180" t="s">
        <v>771</v>
      </c>
      <c r="D180">
        <v>0.57999999999999996</v>
      </c>
      <c r="E180" t="s">
        <v>7</v>
      </c>
      <c r="F180" t="s">
        <v>772</v>
      </c>
      <c r="G180" t="s">
        <v>973</v>
      </c>
      <c r="H180" t="s">
        <v>29</v>
      </c>
      <c r="I180" s="28" t="s">
        <v>27</v>
      </c>
    </row>
    <row r="181" spans="1:9" x14ac:dyDescent="0.3">
      <c r="A181" s="26">
        <v>45323</v>
      </c>
      <c r="B181" t="s">
        <v>969</v>
      </c>
      <c r="C181" t="s">
        <v>771</v>
      </c>
      <c r="D181">
        <v>1.03</v>
      </c>
      <c r="E181" t="s">
        <v>7</v>
      </c>
      <c r="F181" t="s">
        <v>772</v>
      </c>
      <c r="G181" t="s">
        <v>974</v>
      </c>
      <c r="H181" t="s">
        <v>29</v>
      </c>
      <c r="I181" s="28" t="s">
        <v>27</v>
      </c>
    </row>
    <row r="182" spans="1:9" x14ac:dyDescent="0.3">
      <c r="A182" s="26">
        <v>45323</v>
      </c>
      <c r="B182" t="s">
        <v>969</v>
      </c>
      <c r="C182" t="s">
        <v>771</v>
      </c>
      <c r="D182">
        <v>1.72</v>
      </c>
      <c r="E182" t="s">
        <v>7</v>
      </c>
      <c r="F182" t="s">
        <v>772</v>
      </c>
      <c r="G182" t="s">
        <v>975</v>
      </c>
      <c r="H182" t="s">
        <v>29</v>
      </c>
      <c r="I182" s="28" t="s">
        <v>27</v>
      </c>
    </row>
    <row r="183" spans="1:9" x14ac:dyDescent="0.3">
      <c r="A183" s="26">
        <v>45323</v>
      </c>
      <c r="B183" t="s">
        <v>969</v>
      </c>
      <c r="C183" t="s">
        <v>835</v>
      </c>
      <c r="D183">
        <v>1.67</v>
      </c>
      <c r="E183" t="s">
        <v>7</v>
      </c>
      <c r="F183" t="s">
        <v>772</v>
      </c>
      <c r="G183" t="s">
        <v>976</v>
      </c>
      <c r="H183" t="s">
        <v>29</v>
      </c>
      <c r="I183" s="28" t="s">
        <v>27</v>
      </c>
    </row>
    <row r="184" spans="1:9" x14ac:dyDescent="0.3">
      <c r="A184" s="26">
        <v>45323</v>
      </c>
      <c r="B184" t="s">
        <v>977</v>
      </c>
      <c r="C184" t="s">
        <v>753</v>
      </c>
      <c r="D184">
        <v>1.73</v>
      </c>
      <c r="E184" t="s">
        <v>978</v>
      </c>
      <c r="F184" t="s">
        <v>754</v>
      </c>
      <c r="G184" t="s">
        <v>979</v>
      </c>
      <c r="H184" t="s">
        <v>29</v>
      </c>
      <c r="I184" s="28" t="s">
        <v>27</v>
      </c>
    </row>
    <row r="185" spans="1:9" x14ac:dyDescent="0.3">
      <c r="A185" s="26">
        <v>45323</v>
      </c>
      <c r="B185" t="s">
        <v>977</v>
      </c>
      <c r="C185" t="s">
        <v>753</v>
      </c>
      <c r="D185">
        <v>5.77</v>
      </c>
      <c r="E185" t="s">
        <v>978</v>
      </c>
      <c r="F185" t="s">
        <v>754</v>
      </c>
      <c r="G185" t="s">
        <v>980</v>
      </c>
      <c r="H185" t="s">
        <v>29</v>
      </c>
      <c r="I185" s="28" t="s">
        <v>27</v>
      </c>
    </row>
    <row r="186" spans="1:9" x14ac:dyDescent="0.3">
      <c r="A186" s="26">
        <v>45323</v>
      </c>
      <c r="B186" t="s">
        <v>977</v>
      </c>
      <c r="C186" t="s">
        <v>771</v>
      </c>
      <c r="D186">
        <v>0.5</v>
      </c>
      <c r="E186" t="s">
        <v>7</v>
      </c>
      <c r="F186" t="s">
        <v>772</v>
      </c>
      <c r="G186" t="s">
        <v>820</v>
      </c>
      <c r="H186" t="s">
        <v>29</v>
      </c>
      <c r="I186" s="28" t="s">
        <v>27</v>
      </c>
    </row>
    <row r="187" spans="1:9" x14ac:dyDescent="0.3">
      <c r="A187" s="26">
        <v>45323</v>
      </c>
      <c r="B187" t="s">
        <v>981</v>
      </c>
      <c r="C187" t="s">
        <v>982</v>
      </c>
      <c r="D187">
        <v>9</v>
      </c>
      <c r="E187" t="s">
        <v>7</v>
      </c>
      <c r="F187" t="s">
        <v>772</v>
      </c>
      <c r="G187" t="s">
        <v>983</v>
      </c>
      <c r="H187" t="s">
        <v>29</v>
      </c>
      <c r="I187" s="28" t="s">
        <v>27</v>
      </c>
    </row>
    <row r="188" spans="1:9" x14ac:dyDescent="0.3">
      <c r="A188" s="26">
        <v>45323</v>
      </c>
      <c r="B188" t="s">
        <v>984</v>
      </c>
      <c r="C188" t="s">
        <v>753</v>
      </c>
      <c r="D188">
        <v>0.37</v>
      </c>
      <c r="E188" t="s">
        <v>985</v>
      </c>
      <c r="F188" t="s">
        <v>754</v>
      </c>
      <c r="G188" t="s">
        <v>986</v>
      </c>
      <c r="H188" t="s">
        <v>29</v>
      </c>
      <c r="I188" s="28" t="s">
        <v>27</v>
      </c>
    </row>
    <row r="189" spans="1:9" x14ac:dyDescent="0.3">
      <c r="A189" s="26">
        <v>45323</v>
      </c>
      <c r="B189" t="s">
        <v>984</v>
      </c>
      <c r="C189" t="s">
        <v>753</v>
      </c>
      <c r="D189">
        <v>0.63</v>
      </c>
      <c r="E189" t="s">
        <v>903</v>
      </c>
      <c r="F189" t="s">
        <v>754</v>
      </c>
      <c r="G189" t="s">
        <v>987</v>
      </c>
      <c r="H189" t="s">
        <v>29</v>
      </c>
      <c r="I189" s="28" t="s">
        <v>27</v>
      </c>
    </row>
    <row r="190" spans="1:9" x14ac:dyDescent="0.3">
      <c r="A190" s="26">
        <v>45323</v>
      </c>
      <c r="B190" t="s">
        <v>984</v>
      </c>
      <c r="C190" t="s">
        <v>753</v>
      </c>
      <c r="D190">
        <v>0.63</v>
      </c>
      <c r="E190" t="s">
        <v>602</v>
      </c>
      <c r="F190" t="s">
        <v>754</v>
      </c>
      <c r="G190" t="s">
        <v>988</v>
      </c>
      <c r="H190" t="s">
        <v>29</v>
      </c>
      <c r="I190" s="28" t="s">
        <v>27</v>
      </c>
    </row>
    <row r="191" spans="1:9" x14ac:dyDescent="0.3">
      <c r="A191" s="26">
        <v>45323</v>
      </c>
      <c r="B191" t="s">
        <v>984</v>
      </c>
      <c r="C191" t="s">
        <v>753</v>
      </c>
      <c r="D191">
        <v>0.65</v>
      </c>
      <c r="E191" t="s">
        <v>985</v>
      </c>
      <c r="F191" t="s">
        <v>754</v>
      </c>
      <c r="H191" t="s">
        <v>29</v>
      </c>
      <c r="I191" s="28" t="s">
        <v>27</v>
      </c>
    </row>
    <row r="192" spans="1:9" x14ac:dyDescent="0.3">
      <c r="A192" s="26">
        <v>45323</v>
      </c>
      <c r="B192" t="s">
        <v>984</v>
      </c>
      <c r="C192" t="s">
        <v>753</v>
      </c>
      <c r="D192">
        <v>4.47</v>
      </c>
      <c r="E192" t="s">
        <v>13</v>
      </c>
      <c r="F192" t="s">
        <v>754</v>
      </c>
      <c r="G192" t="s">
        <v>989</v>
      </c>
      <c r="H192" t="s">
        <v>29</v>
      </c>
      <c r="I192" s="28" t="s">
        <v>27</v>
      </c>
    </row>
    <row r="193" spans="1:9" x14ac:dyDescent="0.3">
      <c r="A193" s="26">
        <v>45323</v>
      </c>
      <c r="B193" t="s">
        <v>984</v>
      </c>
      <c r="C193" t="s">
        <v>771</v>
      </c>
      <c r="D193">
        <v>0.7</v>
      </c>
      <c r="E193" t="s">
        <v>7</v>
      </c>
      <c r="F193" t="s">
        <v>772</v>
      </c>
      <c r="H193" t="s">
        <v>29</v>
      </c>
      <c r="I193" s="28" t="s">
        <v>27</v>
      </c>
    </row>
    <row r="194" spans="1:9" x14ac:dyDescent="0.3">
      <c r="A194" s="26">
        <v>45323</v>
      </c>
      <c r="B194" t="s">
        <v>984</v>
      </c>
      <c r="C194" t="s">
        <v>771</v>
      </c>
      <c r="D194">
        <v>0.7</v>
      </c>
      <c r="E194" t="s">
        <v>7</v>
      </c>
      <c r="F194" t="s">
        <v>772</v>
      </c>
      <c r="G194" t="s">
        <v>990</v>
      </c>
      <c r="H194" t="s">
        <v>29</v>
      </c>
      <c r="I194" s="28" t="s">
        <v>27</v>
      </c>
    </row>
    <row r="195" spans="1:9" x14ac:dyDescent="0.3">
      <c r="A195" s="26">
        <v>45323</v>
      </c>
      <c r="B195" t="s">
        <v>991</v>
      </c>
      <c r="C195" t="s">
        <v>992</v>
      </c>
      <c r="D195">
        <v>0.15</v>
      </c>
      <c r="E195" t="s">
        <v>7</v>
      </c>
      <c r="F195" t="s">
        <v>772</v>
      </c>
      <c r="G195" t="s">
        <v>993</v>
      </c>
      <c r="H195" t="s">
        <v>29</v>
      </c>
      <c r="I195" s="28" t="s">
        <v>27</v>
      </c>
    </row>
    <row r="196" spans="1:9" x14ac:dyDescent="0.3">
      <c r="A196" s="26">
        <v>45323</v>
      </c>
      <c r="B196" t="s">
        <v>991</v>
      </c>
      <c r="C196" t="s">
        <v>992</v>
      </c>
      <c r="D196">
        <v>0.45</v>
      </c>
      <c r="E196" t="s">
        <v>7</v>
      </c>
      <c r="F196" t="s">
        <v>772</v>
      </c>
      <c r="G196" t="s">
        <v>994</v>
      </c>
      <c r="H196" t="s">
        <v>29</v>
      </c>
      <c r="I196" s="28" t="s">
        <v>27</v>
      </c>
    </row>
    <row r="197" spans="1:9" x14ac:dyDescent="0.3">
      <c r="A197" s="26">
        <v>45323</v>
      </c>
      <c r="B197" t="s">
        <v>991</v>
      </c>
      <c r="C197" t="s">
        <v>992</v>
      </c>
      <c r="D197">
        <v>0.67</v>
      </c>
      <c r="E197" t="s">
        <v>7</v>
      </c>
      <c r="F197" t="s">
        <v>772</v>
      </c>
      <c r="G197" t="s">
        <v>995</v>
      </c>
      <c r="H197" t="s">
        <v>29</v>
      </c>
      <c r="I197" s="28" t="s">
        <v>27</v>
      </c>
    </row>
    <row r="198" spans="1:9" x14ac:dyDescent="0.3">
      <c r="A198" s="26">
        <v>45323</v>
      </c>
      <c r="B198" t="s">
        <v>991</v>
      </c>
      <c r="C198" t="s">
        <v>992</v>
      </c>
      <c r="D198">
        <v>0.9</v>
      </c>
      <c r="E198" t="s">
        <v>7</v>
      </c>
      <c r="F198" t="s">
        <v>772</v>
      </c>
      <c r="G198" t="s">
        <v>996</v>
      </c>
      <c r="H198" t="s">
        <v>29</v>
      </c>
      <c r="I198" s="28" t="s">
        <v>27</v>
      </c>
    </row>
    <row r="199" spans="1:9" x14ac:dyDescent="0.3">
      <c r="A199" s="26">
        <v>45323</v>
      </c>
      <c r="B199" t="s">
        <v>991</v>
      </c>
      <c r="C199" t="s">
        <v>992</v>
      </c>
      <c r="D199">
        <v>1.08</v>
      </c>
      <c r="E199" t="s">
        <v>7</v>
      </c>
      <c r="F199" t="s">
        <v>772</v>
      </c>
      <c r="G199" t="s">
        <v>997</v>
      </c>
      <c r="H199" t="s">
        <v>29</v>
      </c>
      <c r="I199" s="28" t="s">
        <v>27</v>
      </c>
    </row>
    <row r="200" spans="1:9" x14ac:dyDescent="0.3">
      <c r="A200" s="26">
        <v>45323</v>
      </c>
      <c r="B200" t="s">
        <v>991</v>
      </c>
      <c r="C200" t="s">
        <v>992</v>
      </c>
      <c r="D200">
        <v>1.17</v>
      </c>
      <c r="E200" t="s">
        <v>7</v>
      </c>
      <c r="F200" t="s">
        <v>772</v>
      </c>
      <c r="G200" t="s">
        <v>998</v>
      </c>
      <c r="H200" t="s">
        <v>29</v>
      </c>
      <c r="I200" s="28" t="s">
        <v>27</v>
      </c>
    </row>
    <row r="201" spans="1:9" x14ac:dyDescent="0.3">
      <c r="A201" s="26">
        <v>45323</v>
      </c>
      <c r="B201" t="s">
        <v>991</v>
      </c>
      <c r="C201" t="s">
        <v>992</v>
      </c>
      <c r="D201">
        <v>1.4</v>
      </c>
      <c r="E201" t="s">
        <v>999</v>
      </c>
      <c r="F201" t="s">
        <v>772</v>
      </c>
      <c r="G201" t="s">
        <v>1000</v>
      </c>
      <c r="H201" t="s">
        <v>29</v>
      </c>
      <c r="I201" s="28" t="s">
        <v>27</v>
      </c>
    </row>
    <row r="202" spans="1:9" x14ac:dyDescent="0.3">
      <c r="A202" s="26">
        <v>45323</v>
      </c>
      <c r="B202" t="s">
        <v>991</v>
      </c>
      <c r="C202" t="s">
        <v>753</v>
      </c>
      <c r="D202">
        <v>2.27</v>
      </c>
      <c r="E202" t="s">
        <v>7</v>
      </c>
      <c r="F202" t="s">
        <v>772</v>
      </c>
      <c r="G202" t="s">
        <v>1001</v>
      </c>
      <c r="H202" t="s">
        <v>29</v>
      </c>
      <c r="I202" s="28" t="s">
        <v>27</v>
      </c>
    </row>
    <row r="203" spans="1:9" x14ac:dyDescent="0.3">
      <c r="A203" s="26">
        <v>45323</v>
      </c>
      <c r="B203" t="s">
        <v>1002</v>
      </c>
      <c r="C203" t="s">
        <v>1003</v>
      </c>
      <c r="D203">
        <v>10</v>
      </c>
      <c r="E203" t="s">
        <v>7</v>
      </c>
      <c r="F203" t="s">
        <v>754</v>
      </c>
      <c r="G203" t="s">
        <v>1004</v>
      </c>
      <c r="H203" t="s">
        <v>29</v>
      </c>
      <c r="I203" s="28" t="s">
        <v>27</v>
      </c>
    </row>
    <row r="204" spans="1:9" x14ac:dyDescent="0.3">
      <c r="A204" s="26">
        <v>45323</v>
      </c>
      <c r="B204" t="s">
        <v>1005</v>
      </c>
      <c r="C204" t="s">
        <v>784</v>
      </c>
      <c r="D204">
        <v>4</v>
      </c>
      <c r="E204" t="s">
        <v>7</v>
      </c>
      <c r="F204" t="s">
        <v>772</v>
      </c>
      <c r="H204" t="s">
        <v>29</v>
      </c>
      <c r="I204" s="28" t="s">
        <v>27</v>
      </c>
    </row>
    <row r="205" spans="1:9" x14ac:dyDescent="0.3">
      <c r="A205" s="26">
        <v>45323</v>
      </c>
      <c r="B205" t="s">
        <v>1006</v>
      </c>
      <c r="C205" t="s">
        <v>909</v>
      </c>
      <c r="D205">
        <v>2.85</v>
      </c>
      <c r="E205" t="s">
        <v>757</v>
      </c>
      <c r="F205" t="s">
        <v>772</v>
      </c>
      <c r="G205" t="s">
        <v>1007</v>
      </c>
      <c r="H205" t="s">
        <v>29</v>
      </c>
      <c r="I205" s="28" t="s">
        <v>27</v>
      </c>
    </row>
    <row r="206" spans="1:9" x14ac:dyDescent="0.3">
      <c r="A206" s="26">
        <v>45323</v>
      </c>
      <c r="B206" t="s">
        <v>1006</v>
      </c>
      <c r="C206" t="s">
        <v>789</v>
      </c>
      <c r="D206">
        <v>1</v>
      </c>
      <c r="E206" t="s">
        <v>151</v>
      </c>
      <c r="F206" t="s">
        <v>754</v>
      </c>
      <c r="G206" t="s">
        <v>1008</v>
      </c>
      <c r="H206" t="s">
        <v>29</v>
      </c>
      <c r="I206" s="28" t="s">
        <v>27</v>
      </c>
    </row>
    <row r="207" spans="1:9" x14ac:dyDescent="0.3">
      <c r="A207" s="26">
        <v>45323</v>
      </c>
      <c r="B207" t="s">
        <v>1006</v>
      </c>
      <c r="C207" t="s">
        <v>789</v>
      </c>
      <c r="D207">
        <v>1.42</v>
      </c>
      <c r="E207" t="s">
        <v>757</v>
      </c>
      <c r="F207" t="s">
        <v>754</v>
      </c>
      <c r="G207" t="s">
        <v>1009</v>
      </c>
      <c r="H207" t="s">
        <v>29</v>
      </c>
      <c r="I207" s="28" t="s">
        <v>27</v>
      </c>
    </row>
    <row r="208" spans="1:9" x14ac:dyDescent="0.3">
      <c r="A208" s="26">
        <v>45323</v>
      </c>
      <c r="B208" t="s">
        <v>1006</v>
      </c>
      <c r="C208" t="s">
        <v>771</v>
      </c>
      <c r="D208">
        <v>0.73</v>
      </c>
      <c r="E208" t="s">
        <v>7</v>
      </c>
      <c r="F208" t="s">
        <v>772</v>
      </c>
      <c r="G208" t="s">
        <v>1010</v>
      </c>
      <c r="H208" t="s">
        <v>29</v>
      </c>
      <c r="I208" s="28" t="s">
        <v>27</v>
      </c>
    </row>
    <row r="209" spans="1:9" x14ac:dyDescent="0.3">
      <c r="A209" s="26">
        <v>45323</v>
      </c>
      <c r="B209" t="s">
        <v>1011</v>
      </c>
      <c r="C209" t="s">
        <v>753</v>
      </c>
      <c r="D209">
        <v>0.3</v>
      </c>
      <c r="E209" t="s">
        <v>589</v>
      </c>
      <c r="F209" t="s">
        <v>754</v>
      </c>
      <c r="G209" t="s">
        <v>1012</v>
      </c>
      <c r="H209" t="s">
        <v>29</v>
      </c>
      <c r="I209" s="28" t="s">
        <v>27</v>
      </c>
    </row>
    <row r="210" spans="1:9" x14ac:dyDescent="0.3">
      <c r="A210" s="26">
        <v>45323</v>
      </c>
      <c r="B210" t="s">
        <v>1011</v>
      </c>
      <c r="C210" t="s">
        <v>753</v>
      </c>
      <c r="D210">
        <v>0.33</v>
      </c>
      <c r="E210" t="s">
        <v>1013</v>
      </c>
      <c r="F210" t="s">
        <v>754</v>
      </c>
      <c r="G210" t="s">
        <v>1014</v>
      </c>
      <c r="H210" t="s">
        <v>29</v>
      </c>
      <c r="I210" s="28" t="s">
        <v>27</v>
      </c>
    </row>
    <row r="211" spans="1:9" x14ac:dyDescent="0.3">
      <c r="A211" s="26">
        <v>45323</v>
      </c>
      <c r="B211" t="s">
        <v>1011</v>
      </c>
      <c r="C211" t="s">
        <v>753</v>
      </c>
      <c r="D211">
        <v>0.56999999999999995</v>
      </c>
      <c r="E211" t="s">
        <v>589</v>
      </c>
      <c r="F211" t="s">
        <v>754</v>
      </c>
      <c r="G211" t="s">
        <v>1015</v>
      </c>
      <c r="H211" t="s">
        <v>29</v>
      </c>
      <c r="I211" s="28" t="s">
        <v>27</v>
      </c>
    </row>
    <row r="212" spans="1:9" x14ac:dyDescent="0.3">
      <c r="A212" s="26">
        <v>45323</v>
      </c>
      <c r="B212" t="s">
        <v>1011</v>
      </c>
      <c r="C212" t="s">
        <v>753</v>
      </c>
      <c r="D212">
        <v>0.97</v>
      </c>
      <c r="E212" t="s">
        <v>589</v>
      </c>
      <c r="F212" t="s">
        <v>754</v>
      </c>
      <c r="G212" t="s">
        <v>1016</v>
      </c>
      <c r="H212" t="s">
        <v>29</v>
      </c>
      <c r="I212" s="28" t="s">
        <v>27</v>
      </c>
    </row>
    <row r="213" spans="1:9" x14ac:dyDescent="0.3">
      <c r="A213" s="26">
        <v>45323</v>
      </c>
      <c r="B213" t="s">
        <v>1011</v>
      </c>
      <c r="C213" t="s">
        <v>753</v>
      </c>
      <c r="D213">
        <v>1.95</v>
      </c>
      <c r="E213" t="s">
        <v>589</v>
      </c>
      <c r="F213" t="s">
        <v>754</v>
      </c>
      <c r="H213" t="s">
        <v>29</v>
      </c>
      <c r="I213" s="28" t="s">
        <v>27</v>
      </c>
    </row>
    <row r="214" spans="1:9" x14ac:dyDescent="0.3">
      <c r="A214" s="26">
        <v>45323</v>
      </c>
      <c r="B214" t="s">
        <v>1011</v>
      </c>
      <c r="C214" t="s">
        <v>753</v>
      </c>
      <c r="D214">
        <v>2.3199999999999998</v>
      </c>
      <c r="E214" t="s">
        <v>589</v>
      </c>
      <c r="F214" t="s">
        <v>754</v>
      </c>
      <c r="G214" t="s">
        <v>1017</v>
      </c>
      <c r="H214" t="s">
        <v>29</v>
      </c>
      <c r="I214" s="28" t="s">
        <v>27</v>
      </c>
    </row>
    <row r="215" spans="1:9" x14ac:dyDescent="0.3">
      <c r="A215" s="26">
        <v>45323</v>
      </c>
      <c r="B215" t="s">
        <v>1011</v>
      </c>
      <c r="C215" t="s">
        <v>771</v>
      </c>
      <c r="D215">
        <v>0.23</v>
      </c>
      <c r="E215" t="s">
        <v>7</v>
      </c>
      <c r="F215" t="s">
        <v>772</v>
      </c>
      <c r="G215" t="s">
        <v>1018</v>
      </c>
      <c r="H215" t="s">
        <v>29</v>
      </c>
      <c r="I215" s="28" t="s">
        <v>27</v>
      </c>
    </row>
    <row r="216" spans="1:9" x14ac:dyDescent="0.3">
      <c r="A216" s="26">
        <v>45323</v>
      </c>
      <c r="B216" t="s">
        <v>1011</v>
      </c>
      <c r="C216" t="s">
        <v>771</v>
      </c>
      <c r="D216">
        <v>0.55000000000000004</v>
      </c>
      <c r="E216" t="s">
        <v>7</v>
      </c>
      <c r="F216" t="s">
        <v>772</v>
      </c>
      <c r="G216" t="s">
        <v>1019</v>
      </c>
      <c r="H216" t="s">
        <v>29</v>
      </c>
      <c r="I216" s="28" t="s">
        <v>27</v>
      </c>
    </row>
    <row r="217" spans="1:9" x14ac:dyDescent="0.3">
      <c r="A217" s="26">
        <v>45323</v>
      </c>
      <c r="B217" t="s">
        <v>1020</v>
      </c>
      <c r="C217" t="s">
        <v>753</v>
      </c>
      <c r="D217">
        <v>0.4</v>
      </c>
      <c r="E217" t="s">
        <v>964</v>
      </c>
      <c r="F217" t="s">
        <v>754</v>
      </c>
      <c r="G217" t="s">
        <v>1021</v>
      </c>
      <c r="H217" t="s">
        <v>29</v>
      </c>
      <c r="I217" s="28" t="s">
        <v>27</v>
      </c>
    </row>
    <row r="218" spans="1:9" x14ac:dyDescent="0.3">
      <c r="A218" s="26">
        <v>45323</v>
      </c>
      <c r="B218" t="s">
        <v>1020</v>
      </c>
      <c r="C218" t="s">
        <v>753</v>
      </c>
      <c r="D218">
        <v>0.93</v>
      </c>
      <c r="E218" t="s">
        <v>964</v>
      </c>
      <c r="F218" t="s">
        <v>754</v>
      </c>
      <c r="G218" t="s">
        <v>1022</v>
      </c>
      <c r="H218" t="s">
        <v>29</v>
      </c>
      <c r="I218" s="28" t="s">
        <v>27</v>
      </c>
    </row>
    <row r="219" spans="1:9" x14ac:dyDescent="0.3">
      <c r="A219" s="26">
        <v>45323</v>
      </c>
      <c r="B219" t="s">
        <v>1020</v>
      </c>
      <c r="C219" t="s">
        <v>753</v>
      </c>
      <c r="D219">
        <v>6.48</v>
      </c>
      <c r="E219" t="s">
        <v>11</v>
      </c>
      <c r="F219" t="s">
        <v>754</v>
      </c>
      <c r="G219" t="s">
        <v>1023</v>
      </c>
      <c r="H219" t="s">
        <v>29</v>
      </c>
      <c r="I219" s="28" t="s">
        <v>27</v>
      </c>
    </row>
    <row r="220" spans="1:9" x14ac:dyDescent="0.3">
      <c r="A220" s="26">
        <v>45323</v>
      </c>
      <c r="B220" t="s">
        <v>1020</v>
      </c>
      <c r="C220" t="s">
        <v>771</v>
      </c>
      <c r="D220">
        <v>0.2</v>
      </c>
      <c r="E220" t="s">
        <v>7</v>
      </c>
      <c r="F220" t="s">
        <v>772</v>
      </c>
      <c r="G220" t="s">
        <v>1024</v>
      </c>
      <c r="H220" t="s">
        <v>29</v>
      </c>
      <c r="I220" s="28" t="s">
        <v>27</v>
      </c>
    </row>
    <row r="221" spans="1:9" x14ac:dyDescent="0.3">
      <c r="A221" s="26">
        <v>45323</v>
      </c>
      <c r="B221" t="s">
        <v>1020</v>
      </c>
      <c r="C221" t="s">
        <v>835</v>
      </c>
      <c r="D221">
        <v>0.52</v>
      </c>
      <c r="E221" t="s">
        <v>11</v>
      </c>
      <c r="F221" t="s">
        <v>754</v>
      </c>
      <c r="G221" t="s">
        <v>1025</v>
      </c>
      <c r="H221" t="s">
        <v>29</v>
      </c>
      <c r="I221" s="28" t="s">
        <v>27</v>
      </c>
    </row>
    <row r="222" spans="1:9" x14ac:dyDescent="0.3">
      <c r="A222" s="26">
        <v>45323</v>
      </c>
      <c r="B222" t="s">
        <v>1026</v>
      </c>
      <c r="C222" t="s">
        <v>771</v>
      </c>
      <c r="D222">
        <v>0.25</v>
      </c>
      <c r="E222" t="s">
        <v>7</v>
      </c>
      <c r="F222" t="s">
        <v>772</v>
      </c>
      <c r="G222" t="s">
        <v>1027</v>
      </c>
      <c r="H222" t="s">
        <v>29</v>
      </c>
      <c r="I222" s="28" t="s">
        <v>27</v>
      </c>
    </row>
    <row r="223" spans="1:9" x14ac:dyDescent="0.3">
      <c r="A223" s="26">
        <v>45323</v>
      </c>
      <c r="B223" t="s">
        <v>1026</v>
      </c>
      <c r="C223" t="s">
        <v>771</v>
      </c>
      <c r="D223">
        <v>3.68</v>
      </c>
      <c r="E223" t="s">
        <v>7</v>
      </c>
      <c r="F223" t="s">
        <v>772</v>
      </c>
      <c r="G223" t="s">
        <v>1028</v>
      </c>
      <c r="H223" t="s">
        <v>29</v>
      </c>
      <c r="I223" s="28" t="s">
        <v>27</v>
      </c>
    </row>
    <row r="224" spans="1:9" x14ac:dyDescent="0.3">
      <c r="A224" s="26">
        <v>45323</v>
      </c>
      <c r="B224" t="s">
        <v>1026</v>
      </c>
      <c r="C224" t="s">
        <v>771</v>
      </c>
      <c r="D224">
        <v>4.13</v>
      </c>
      <c r="E224" t="s">
        <v>7</v>
      </c>
      <c r="F224" t="s">
        <v>772</v>
      </c>
      <c r="G224" t="s">
        <v>1029</v>
      </c>
      <c r="H224" t="s">
        <v>29</v>
      </c>
      <c r="I224" s="28" t="s">
        <v>27</v>
      </c>
    </row>
    <row r="225" spans="1:9" x14ac:dyDescent="0.3">
      <c r="A225" s="26">
        <v>45323</v>
      </c>
      <c r="B225" t="s">
        <v>1026</v>
      </c>
      <c r="C225" t="s">
        <v>874</v>
      </c>
      <c r="D225">
        <v>0.15</v>
      </c>
      <c r="E225" t="s">
        <v>7</v>
      </c>
      <c r="F225" t="s">
        <v>772</v>
      </c>
      <c r="G225" t="s">
        <v>1030</v>
      </c>
      <c r="H225" t="s">
        <v>29</v>
      </c>
      <c r="I225" s="28" t="s">
        <v>27</v>
      </c>
    </row>
    <row r="226" spans="1:9" x14ac:dyDescent="0.3">
      <c r="A226" s="26">
        <v>45323</v>
      </c>
      <c r="B226" t="s">
        <v>1026</v>
      </c>
      <c r="C226" t="s">
        <v>874</v>
      </c>
      <c r="D226">
        <v>0.53</v>
      </c>
      <c r="E226" t="s">
        <v>7</v>
      </c>
      <c r="F226" t="s">
        <v>772</v>
      </c>
      <c r="G226" t="s">
        <v>1031</v>
      </c>
      <c r="H226" t="s">
        <v>29</v>
      </c>
      <c r="I226" s="28" t="s">
        <v>27</v>
      </c>
    </row>
    <row r="227" spans="1:9" x14ac:dyDescent="0.3">
      <c r="A227" s="26">
        <v>45323</v>
      </c>
      <c r="B227" t="s">
        <v>1032</v>
      </c>
      <c r="C227" t="s">
        <v>753</v>
      </c>
      <c r="D227">
        <v>1.73</v>
      </c>
      <c r="E227" t="s">
        <v>7</v>
      </c>
      <c r="F227" t="s">
        <v>772</v>
      </c>
      <c r="H227" t="s">
        <v>29</v>
      </c>
      <c r="I227" s="28" t="s">
        <v>27</v>
      </c>
    </row>
    <row r="228" spans="1:9" x14ac:dyDescent="0.3">
      <c r="A228" s="26">
        <v>45323</v>
      </c>
      <c r="B228" t="s">
        <v>1032</v>
      </c>
      <c r="C228" t="s">
        <v>753</v>
      </c>
      <c r="D228">
        <v>6.22</v>
      </c>
      <c r="E228" t="s">
        <v>790</v>
      </c>
      <c r="F228" t="s">
        <v>754</v>
      </c>
      <c r="H228" t="s">
        <v>29</v>
      </c>
      <c r="I228" s="28" t="s">
        <v>27</v>
      </c>
    </row>
    <row r="229" spans="1:9" x14ac:dyDescent="0.3">
      <c r="A229" s="26">
        <v>45323</v>
      </c>
      <c r="B229" t="s">
        <v>1032</v>
      </c>
      <c r="C229" t="s">
        <v>874</v>
      </c>
      <c r="D229">
        <v>0.5</v>
      </c>
      <c r="E229" t="s">
        <v>7</v>
      </c>
      <c r="F229" t="s">
        <v>772</v>
      </c>
      <c r="G229" t="s">
        <v>1033</v>
      </c>
      <c r="H229" t="s">
        <v>29</v>
      </c>
      <c r="I229" s="28" t="s">
        <v>27</v>
      </c>
    </row>
    <row r="230" spans="1:9" x14ac:dyDescent="0.3">
      <c r="A230" s="26">
        <v>45323</v>
      </c>
      <c r="B230" t="s">
        <v>1034</v>
      </c>
      <c r="C230" t="s">
        <v>753</v>
      </c>
      <c r="D230">
        <v>1.05</v>
      </c>
      <c r="E230" t="s">
        <v>978</v>
      </c>
      <c r="F230" t="s">
        <v>754</v>
      </c>
      <c r="G230" t="s">
        <v>1035</v>
      </c>
      <c r="H230" t="s">
        <v>29</v>
      </c>
      <c r="I230" s="28" t="s">
        <v>27</v>
      </c>
    </row>
    <row r="231" spans="1:9" x14ac:dyDescent="0.3">
      <c r="A231" s="26">
        <v>45323</v>
      </c>
      <c r="B231" t="s">
        <v>1034</v>
      </c>
      <c r="C231" t="s">
        <v>771</v>
      </c>
      <c r="D231">
        <v>7.0000000000000007E-2</v>
      </c>
      <c r="E231" t="s">
        <v>7</v>
      </c>
      <c r="F231" t="s">
        <v>772</v>
      </c>
      <c r="G231" t="s">
        <v>1036</v>
      </c>
      <c r="H231" t="s">
        <v>29</v>
      </c>
      <c r="I231" s="28" t="s">
        <v>27</v>
      </c>
    </row>
    <row r="232" spans="1:9" x14ac:dyDescent="0.3">
      <c r="A232" s="26">
        <v>45323</v>
      </c>
      <c r="B232" t="s">
        <v>1034</v>
      </c>
      <c r="C232" t="s">
        <v>771</v>
      </c>
      <c r="D232">
        <v>0.12</v>
      </c>
      <c r="E232" t="s">
        <v>7</v>
      </c>
      <c r="F232" t="s">
        <v>772</v>
      </c>
      <c r="G232" t="s">
        <v>1037</v>
      </c>
      <c r="H232" t="s">
        <v>29</v>
      </c>
      <c r="I232" s="28" t="s">
        <v>27</v>
      </c>
    </row>
    <row r="233" spans="1:9" x14ac:dyDescent="0.3">
      <c r="A233" s="26">
        <v>45323</v>
      </c>
      <c r="B233" t="s">
        <v>1034</v>
      </c>
      <c r="C233" t="s">
        <v>776</v>
      </c>
      <c r="D233">
        <v>0.32</v>
      </c>
      <c r="E233" t="s">
        <v>655</v>
      </c>
      <c r="F233" t="s">
        <v>754</v>
      </c>
      <c r="G233" t="s">
        <v>1038</v>
      </c>
      <c r="H233" t="s">
        <v>29</v>
      </c>
      <c r="I233" s="28" t="s">
        <v>27</v>
      </c>
    </row>
    <row r="234" spans="1:9" x14ac:dyDescent="0.3">
      <c r="A234" s="26">
        <v>45323</v>
      </c>
      <c r="B234" t="s">
        <v>1034</v>
      </c>
      <c r="C234" t="s">
        <v>776</v>
      </c>
      <c r="D234">
        <v>0.68</v>
      </c>
      <c r="E234" t="s">
        <v>790</v>
      </c>
      <c r="F234" t="s">
        <v>754</v>
      </c>
      <c r="G234" t="s">
        <v>1039</v>
      </c>
      <c r="H234" t="s">
        <v>29</v>
      </c>
      <c r="I234" s="28" t="s">
        <v>27</v>
      </c>
    </row>
    <row r="235" spans="1:9" x14ac:dyDescent="0.3">
      <c r="A235" s="26">
        <v>45323</v>
      </c>
      <c r="B235" t="s">
        <v>1034</v>
      </c>
      <c r="C235" t="s">
        <v>776</v>
      </c>
      <c r="D235">
        <v>0.77</v>
      </c>
      <c r="E235" t="s">
        <v>790</v>
      </c>
      <c r="F235" t="s">
        <v>754</v>
      </c>
      <c r="G235" t="s">
        <v>1040</v>
      </c>
      <c r="H235" t="s">
        <v>29</v>
      </c>
      <c r="I235" s="28" t="s">
        <v>27</v>
      </c>
    </row>
    <row r="236" spans="1:9" x14ac:dyDescent="0.3">
      <c r="A236" s="26">
        <v>45323</v>
      </c>
      <c r="B236" t="s">
        <v>1034</v>
      </c>
      <c r="C236" t="s">
        <v>776</v>
      </c>
      <c r="D236">
        <v>2.27</v>
      </c>
      <c r="E236" t="s">
        <v>790</v>
      </c>
      <c r="F236" t="s">
        <v>754</v>
      </c>
      <c r="G236" t="s">
        <v>1041</v>
      </c>
      <c r="H236" t="s">
        <v>29</v>
      </c>
      <c r="I236" s="28" t="s">
        <v>27</v>
      </c>
    </row>
    <row r="237" spans="1:9" x14ac:dyDescent="0.3">
      <c r="A237" s="26">
        <v>45323</v>
      </c>
      <c r="B237" t="s">
        <v>1034</v>
      </c>
      <c r="C237" t="s">
        <v>776</v>
      </c>
      <c r="D237">
        <v>2.98</v>
      </c>
      <c r="E237" t="s">
        <v>790</v>
      </c>
      <c r="F237" t="s">
        <v>754</v>
      </c>
      <c r="G237" t="s">
        <v>1042</v>
      </c>
      <c r="H237" t="s">
        <v>29</v>
      </c>
      <c r="I237" s="28" t="s">
        <v>27</v>
      </c>
    </row>
    <row r="238" spans="1:9" x14ac:dyDescent="0.3">
      <c r="A238" s="26">
        <v>45323</v>
      </c>
      <c r="B238" t="s">
        <v>1043</v>
      </c>
      <c r="C238" t="s">
        <v>1044</v>
      </c>
      <c r="D238">
        <v>0.42</v>
      </c>
      <c r="E238" t="s">
        <v>373</v>
      </c>
      <c r="F238" t="s">
        <v>754</v>
      </c>
      <c r="G238" t="s">
        <v>1045</v>
      </c>
      <c r="H238" t="s">
        <v>29</v>
      </c>
      <c r="I238" s="28" t="s">
        <v>27</v>
      </c>
    </row>
    <row r="239" spans="1:9" x14ac:dyDescent="0.3">
      <c r="A239" s="26">
        <v>45323</v>
      </c>
      <c r="B239" t="s">
        <v>1043</v>
      </c>
      <c r="C239" t="s">
        <v>826</v>
      </c>
      <c r="D239">
        <v>0.17</v>
      </c>
      <c r="E239" t="s">
        <v>1046</v>
      </c>
      <c r="F239" t="s">
        <v>754</v>
      </c>
      <c r="G239" t="s">
        <v>1047</v>
      </c>
      <c r="H239" t="s">
        <v>29</v>
      </c>
      <c r="I239" s="28" t="s">
        <v>27</v>
      </c>
    </row>
    <row r="240" spans="1:9" x14ac:dyDescent="0.3">
      <c r="A240" s="26">
        <v>45323</v>
      </c>
      <c r="B240" t="s">
        <v>1043</v>
      </c>
      <c r="C240" t="s">
        <v>954</v>
      </c>
      <c r="D240">
        <v>0.25</v>
      </c>
      <c r="E240" t="s">
        <v>7</v>
      </c>
      <c r="F240" t="s">
        <v>772</v>
      </c>
      <c r="G240" t="s">
        <v>1048</v>
      </c>
      <c r="H240" t="s">
        <v>29</v>
      </c>
      <c r="I240" s="28" t="s">
        <v>27</v>
      </c>
    </row>
    <row r="241" spans="1:9" x14ac:dyDescent="0.3">
      <c r="A241" s="26">
        <v>45323</v>
      </c>
      <c r="B241" t="s">
        <v>1049</v>
      </c>
      <c r="C241" t="s">
        <v>753</v>
      </c>
      <c r="D241">
        <v>0.23</v>
      </c>
      <c r="E241" t="s">
        <v>817</v>
      </c>
      <c r="F241" t="s">
        <v>754</v>
      </c>
      <c r="G241" t="s">
        <v>1050</v>
      </c>
      <c r="H241" t="s">
        <v>29</v>
      </c>
      <c r="I241" s="28" t="s">
        <v>27</v>
      </c>
    </row>
    <row r="242" spans="1:9" x14ac:dyDescent="0.3">
      <c r="A242" s="26">
        <v>45323</v>
      </c>
      <c r="B242" t="s">
        <v>1049</v>
      </c>
      <c r="C242" t="s">
        <v>753</v>
      </c>
      <c r="D242">
        <v>0.25</v>
      </c>
      <c r="E242" t="s">
        <v>316</v>
      </c>
      <c r="F242" t="s">
        <v>754</v>
      </c>
      <c r="G242" t="s">
        <v>1051</v>
      </c>
      <c r="H242" t="s">
        <v>29</v>
      </c>
      <c r="I242" s="28" t="s">
        <v>27</v>
      </c>
    </row>
    <row r="243" spans="1:9" x14ac:dyDescent="0.3">
      <c r="A243" s="26">
        <v>45323</v>
      </c>
      <c r="B243" t="s">
        <v>1049</v>
      </c>
      <c r="C243" t="s">
        <v>753</v>
      </c>
      <c r="D243">
        <v>0.25</v>
      </c>
      <c r="E243" t="s">
        <v>814</v>
      </c>
      <c r="F243" t="s">
        <v>754</v>
      </c>
      <c r="G243" t="s">
        <v>1050</v>
      </c>
      <c r="H243" t="s">
        <v>29</v>
      </c>
      <c r="I243" s="28" t="s">
        <v>27</v>
      </c>
    </row>
    <row r="244" spans="1:9" x14ac:dyDescent="0.3">
      <c r="A244" s="26">
        <v>45323</v>
      </c>
      <c r="B244" t="s">
        <v>1049</v>
      </c>
      <c r="C244" t="s">
        <v>753</v>
      </c>
      <c r="D244">
        <v>0.43</v>
      </c>
      <c r="E244" t="s">
        <v>964</v>
      </c>
      <c r="F244" t="s">
        <v>754</v>
      </c>
      <c r="G244" t="s">
        <v>1052</v>
      </c>
      <c r="H244" t="s">
        <v>29</v>
      </c>
      <c r="I244" s="28" t="s">
        <v>27</v>
      </c>
    </row>
    <row r="245" spans="1:9" x14ac:dyDescent="0.3">
      <c r="A245" s="26">
        <v>45323</v>
      </c>
      <c r="B245" t="s">
        <v>1049</v>
      </c>
      <c r="C245" t="s">
        <v>753</v>
      </c>
      <c r="D245">
        <v>0.43</v>
      </c>
      <c r="E245" t="s">
        <v>316</v>
      </c>
      <c r="F245" t="s">
        <v>754</v>
      </c>
      <c r="G245" t="s">
        <v>1053</v>
      </c>
      <c r="H245" t="s">
        <v>29</v>
      </c>
      <c r="I245" s="28" t="s">
        <v>27</v>
      </c>
    </row>
    <row r="246" spans="1:9" x14ac:dyDescent="0.3">
      <c r="A246" s="26">
        <v>45323</v>
      </c>
      <c r="B246" t="s">
        <v>1049</v>
      </c>
      <c r="C246" t="s">
        <v>753</v>
      </c>
      <c r="D246">
        <v>0.55000000000000004</v>
      </c>
      <c r="E246" t="s">
        <v>10</v>
      </c>
      <c r="F246" t="s">
        <v>754</v>
      </c>
      <c r="G246" t="s">
        <v>1054</v>
      </c>
      <c r="H246" t="s">
        <v>29</v>
      </c>
      <c r="I246" s="28" t="s">
        <v>27</v>
      </c>
    </row>
    <row r="247" spans="1:9" x14ac:dyDescent="0.3">
      <c r="A247" s="26">
        <v>45323</v>
      </c>
      <c r="B247" t="s">
        <v>1049</v>
      </c>
      <c r="C247" t="s">
        <v>753</v>
      </c>
      <c r="D247">
        <v>0.82</v>
      </c>
      <c r="E247" t="s">
        <v>316</v>
      </c>
      <c r="F247" t="s">
        <v>754</v>
      </c>
      <c r="H247" t="s">
        <v>29</v>
      </c>
      <c r="I247" s="28" t="s">
        <v>27</v>
      </c>
    </row>
    <row r="248" spans="1:9" x14ac:dyDescent="0.3">
      <c r="A248" s="26">
        <v>45323</v>
      </c>
      <c r="B248" t="s">
        <v>1049</v>
      </c>
      <c r="C248" t="s">
        <v>753</v>
      </c>
      <c r="D248">
        <v>1.2</v>
      </c>
      <c r="E248" t="s">
        <v>964</v>
      </c>
      <c r="F248" t="s">
        <v>754</v>
      </c>
      <c r="G248" t="s">
        <v>1055</v>
      </c>
      <c r="H248" t="s">
        <v>29</v>
      </c>
      <c r="I248" s="28" t="s">
        <v>27</v>
      </c>
    </row>
    <row r="249" spans="1:9" x14ac:dyDescent="0.3">
      <c r="A249" s="26">
        <v>45323</v>
      </c>
      <c r="B249" t="s">
        <v>1049</v>
      </c>
      <c r="C249" t="s">
        <v>753</v>
      </c>
      <c r="D249">
        <v>1.97</v>
      </c>
      <c r="E249" t="s">
        <v>964</v>
      </c>
      <c r="F249" t="s">
        <v>754</v>
      </c>
      <c r="G249" t="s">
        <v>1056</v>
      </c>
      <c r="H249" t="s">
        <v>29</v>
      </c>
      <c r="I249" s="28" t="s">
        <v>27</v>
      </c>
    </row>
    <row r="250" spans="1:9" x14ac:dyDescent="0.3">
      <c r="A250" s="26">
        <v>45323</v>
      </c>
      <c r="B250" t="s">
        <v>1049</v>
      </c>
      <c r="C250" t="s">
        <v>789</v>
      </c>
      <c r="D250">
        <v>0.92</v>
      </c>
      <c r="E250" t="s">
        <v>964</v>
      </c>
      <c r="F250" t="s">
        <v>754</v>
      </c>
      <c r="G250" t="s">
        <v>1057</v>
      </c>
      <c r="H250" t="s">
        <v>29</v>
      </c>
      <c r="I250" s="28" t="s">
        <v>27</v>
      </c>
    </row>
    <row r="251" spans="1:9" x14ac:dyDescent="0.3">
      <c r="A251" s="26">
        <v>45323</v>
      </c>
      <c r="B251" t="s">
        <v>1049</v>
      </c>
      <c r="C251" t="s">
        <v>771</v>
      </c>
      <c r="D251">
        <v>0.5</v>
      </c>
      <c r="E251" t="s">
        <v>7</v>
      </c>
      <c r="F251" t="s">
        <v>772</v>
      </c>
      <c r="G251" t="s">
        <v>1058</v>
      </c>
      <c r="H251" t="s">
        <v>29</v>
      </c>
      <c r="I251" s="28" t="s">
        <v>27</v>
      </c>
    </row>
    <row r="252" spans="1:9" x14ac:dyDescent="0.3">
      <c r="A252" s="26">
        <v>45323</v>
      </c>
      <c r="B252" t="s">
        <v>1049</v>
      </c>
      <c r="C252" t="s">
        <v>874</v>
      </c>
      <c r="D252">
        <v>0.5</v>
      </c>
      <c r="E252" t="s">
        <v>7</v>
      </c>
      <c r="F252" t="s">
        <v>772</v>
      </c>
      <c r="G252" t="s">
        <v>1059</v>
      </c>
      <c r="H252" t="s">
        <v>29</v>
      </c>
      <c r="I252" s="28" t="s">
        <v>27</v>
      </c>
    </row>
    <row r="253" spans="1:9" x14ac:dyDescent="0.3">
      <c r="A253" s="26">
        <v>45323</v>
      </c>
      <c r="B253" t="s">
        <v>1060</v>
      </c>
      <c r="C253" t="s">
        <v>909</v>
      </c>
      <c r="D253">
        <v>0.25</v>
      </c>
      <c r="E253" t="s">
        <v>563</v>
      </c>
      <c r="F253" t="s">
        <v>772</v>
      </c>
      <c r="G253" t="s">
        <v>1061</v>
      </c>
      <c r="H253" t="s">
        <v>29</v>
      </c>
      <c r="I253" s="28" t="s">
        <v>27</v>
      </c>
    </row>
    <row r="254" spans="1:9" x14ac:dyDescent="0.3">
      <c r="A254" s="26">
        <v>45323</v>
      </c>
      <c r="B254" t="s">
        <v>1060</v>
      </c>
      <c r="C254" t="s">
        <v>909</v>
      </c>
      <c r="D254">
        <v>0.25</v>
      </c>
      <c r="E254" t="s">
        <v>589</v>
      </c>
      <c r="F254" t="s">
        <v>754</v>
      </c>
      <c r="G254" t="s">
        <v>1062</v>
      </c>
      <c r="H254" t="s">
        <v>29</v>
      </c>
      <c r="I254" s="28" t="s">
        <v>27</v>
      </c>
    </row>
    <row r="255" spans="1:9" x14ac:dyDescent="0.3">
      <c r="A255" s="26">
        <v>45323</v>
      </c>
      <c r="B255" t="s">
        <v>1060</v>
      </c>
      <c r="C255" t="s">
        <v>909</v>
      </c>
      <c r="D255">
        <v>0.33</v>
      </c>
      <c r="E255" t="s">
        <v>201</v>
      </c>
      <c r="F255" t="s">
        <v>754</v>
      </c>
      <c r="G255" t="s">
        <v>1063</v>
      </c>
      <c r="H255" t="s">
        <v>29</v>
      </c>
      <c r="I255" s="28" t="s">
        <v>27</v>
      </c>
    </row>
    <row r="256" spans="1:9" x14ac:dyDescent="0.3">
      <c r="A256" s="26">
        <v>45323</v>
      </c>
      <c r="B256" t="s">
        <v>1060</v>
      </c>
      <c r="C256" t="s">
        <v>909</v>
      </c>
      <c r="D256">
        <v>0.5</v>
      </c>
      <c r="E256" t="s">
        <v>589</v>
      </c>
      <c r="F256" t="s">
        <v>754</v>
      </c>
      <c r="G256" t="s">
        <v>1064</v>
      </c>
      <c r="H256" t="s">
        <v>29</v>
      </c>
      <c r="I256" s="28" t="s">
        <v>27</v>
      </c>
    </row>
    <row r="257" spans="1:9" x14ac:dyDescent="0.3">
      <c r="A257" s="26">
        <v>45323</v>
      </c>
      <c r="B257" t="s">
        <v>1060</v>
      </c>
      <c r="C257" t="s">
        <v>771</v>
      </c>
      <c r="D257">
        <v>0.75</v>
      </c>
      <c r="E257" t="s">
        <v>7</v>
      </c>
      <c r="F257" t="s">
        <v>772</v>
      </c>
      <c r="G257" t="s">
        <v>1065</v>
      </c>
      <c r="H257" t="s">
        <v>29</v>
      </c>
      <c r="I257" s="28" t="s">
        <v>27</v>
      </c>
    </row>
    <row r="258" spans="1:9" x14ac:dyDescent="0.3">
      <c r="A258" s="26">
        <v>45323</v>
      </c>
      <c r="B258" t="s">
        <v>1060</v>
      </c>
      <c r="C258" t="s">
        <v>771</v>
      </c>
      <c r="D258">
        <v>2</v>
      </c>
      <c r="E258" t="s">
        <v>7</v>
      </c>
      <c r="F258" t="s">
        <v>772</v>
      </c>
      <c r="G258" t="s">
        <v>1066</v>
      </c>
      <c r="H258" t="s">
        <v>29</v>
      </c>
      <c r="I258" s="28" t="s">
        <v>27</v>
      </c>
    </row>
    <row r="259" spans="1:9" x14ac:dyDescent="0.3">
      <c r="A259" s="26">
        <v>45323</v>
      </c>
      <c r="B259" t="s">
        <v>1060</v>
      </c>
      <c r="C259" t="s">
        <v>771</v>
      </c>
      <c r="D259">
        <v>2.5</v>
      </c>
      <c r="E259" t="s">
        <v>7</v>
      </c>
      <c r="F259" t="s">
        <v>772</v>
      </c>
      <c r="G259" t="s">
        <v>1067</v>
      </c>
      <c r="H259" t="s">
        <v>29</v>
      </c>
      <c r="I259" s="28" t="s">
        <v>27</v>
      </c>
    </row>
    <row r="260" spans="1:9" x14ac:dyDescent="0.3">
      <c r="A260" s="26">
        <v>45323</v>
      </c>
      <c r="B260" t="s">
        <v>1060</v>
      </c>
      <c r="C260" t="s">
        <v>1068</v>
      </c>
      <c r="D260">
        <v>0.17</v>
      </c>
      <c r="E260" t="s">
        <v>1069</v>
      </c>
      <c r="F260" t="s">
        <v>754</v>
      </c>
      <c r="G260" t="s">
        <v>1070</v>
      </c>
      <c r="H260" t="s">
        <v>29</v>
      </c>
      <c r="I260" s="28" t="s">
        <v>27</v>
      </c>
    </row>
    <row r="261" spans="1:9" x14ac:dyDescent="0.3">
      <c r="A261" s="26">
        <v>45323</v>
      </c>
      <c r="B261" t="s">
        <v>1060</v>
      </c>
      <c r="C261" t="s">
        <v>916</v>
      </c>
      <c r="D261">
        <v>0.33</v>
      </c>
      <c r="E261" t="s">
        <v>553</v>
      </c>
      <c r="F261" t="s">
        <v>754</v>
      </c>
      <c r="G261" t="s">
        <v>1071</v>
      </c>
      <c r="H261" t="s">
        <v>29</v>
      </c>
      <c r="I261" s="28" t="s">
        <v>27</v>
      </c>
    </row>
    <row r="262" spans="1:9" x14ac:dyDescent="0.3">
      <c r="A262" s="26">
        <v>45323</v>
      </c>
      <c r="B262" t="s">
        <v>1060</v>
      </c>
      <c r="C262" t="s">
        <v>916</v>
      </c>
      <c r="D262">
        <v>0.33</v>
      </c>
      <c r="E262" t="s">
        <v>589</v>
      </c>
      <c r="F262" t="s">
        <v>754</v>
      </c>
      <c r="G262" t="s">
        <v>1072</v>
      </c>
      <c r="H262" t="s">
        <v>29</v>
      </c>
      <c r="I262" s="28" t="s">
        <v>27</v>
      </c>
    </row>
    <row r="263" spans="1:9" x14ac:dyDescent="0.3">
      <c r="A263" s="26">
        <v>45323</v>
      </c>
      <c r="B263" t="s">
        <v>1060</v>
      </c>
      <c r="C263" t="s">
        <v>874</v>
      </c>
      <c r="D263">
        <v>0.25</v>
      </c>
      <c r="E263" t="s">
        <v>7</v>
      </c>
      <c r="F263" t="s">
        <v>772</v>
      </c>
      <c r="G263" t="s">
        <v>1073</v>
      </c>
      <c r="H263" t="s">
        <v>29</v>
      </c>
      <c r="I263" s="28" t="s">
        <v>27</v>
      </c>
    </row>
    <row r="264" spans="1:9" x14ac:dyDescent="0.3">
      <c r="A264" s="26">
        <v>45323</v>
      </c>
      <c r="B264" t="s">
        <v>1074</v>
      </c>
      <c r="C264" t="s">
        <v>753</v>
      </c>
      <c r="D264">
        <v>1.5</v>
      </c>
      <c r="E264" t="s">
        <v>964</v>
      </c>
      <c r="F264" t="s">
        <v>754</v>
      </c>
      <c r="G264" t="s">
        <v>1075</v>
      </c>
      <c r="H264" t="s">
        <v>29</v>
      </c>
      <c r="I264" s="28" t="s">
        <v>27</v>
      </c>
    </row>
    <row r="265" spans="1:9" x14ac:dyDescent="0.3">
      <c r="A265" s="26">
        <v>45323</v>
      </c>
      <c r="B265" t="s">
        <v>1074</v>
      </c>
      <c r="C265" t="s">
        <v>753</v>
      </c>
      <c r="D265">
        <v>2.5</v>
      </c>
      <c r="E265" t="s">
        <v>964</v>
      </c>
      <c r="F265" t="s">
        <v>754</v>
      </c>
      <c r="G265" t="s">
        <v>1076</v>
      </c>
      <c r="H265" t="s">
        <v>29</v>
      </c>
      <c r="I265" s="28" t="s">
        <v>27</v>
      </c>
    </row>
    <row r="266" spans="1:9" x14ac:dyDescent="0.3">
      <c r="A266" s="26">
        <v>45323</v>
      </c>
      <c r="B266" t="s">
        <v>1074</v>
      </c>
      <c r="C266" t="s">
        <v>909</v>
      </c>
      <c r="D266">
        <v>0.5</v>
      </c>
      <c r="E266" t="s">
        <v>964</v>
      </c>
      <c r="F266" t="s">
        <v>754</v>
      </c>
      <c r="G266" t="s">
        <v>1077</v>
      </c>
      <c r="H266" t="s">
        <v>29</v>
      </c>
      <c r="I266" s="28" t="s">
        <v>27</v>
      </c>
    </row>
    <row r="267" spans="1:9" x14ac:dyDescent="0.3">
      <c r="A267" s="26">
        <v>45323</v>
      </c>
      <c r="B267" t="s">
        <v>1074</v>
      </c>
      <c r="C267" t="s">
        <v>909</v>
      </c>
      <c r="D267">
        <v>0.7</v>
      </c>
      <c r="E267" t="s">
        <v>964</v>
      </c>
      <c r="F267" t="s">
        <v>754</v>
      </c>
      <c r="G267" t="s">
        <v>1012</v>
      </c>
      <c r="H267" t="s">
        <v>29</v>
      </c>
      <c r="I267" s="28" t="s">
        <v>27</v>
      </c>
    </row>
    <row r="268" spans="1:9" x14ac:dyDescent="0.3">
      <c r="A268" s="26">
        <v>45323</v>
      </c>
      <c r="B268" t="s">
        <v>1074</v>
      </c>
      <c r="C268" t="s">
        <v>909</v>
      </c>
      <c r="D268">
        <v>0.9</v>
      </c>
      <c r="E268" t="s">
        <v>964</v>
      </c>
      <c r="F268" t="s">
        <v>754</v>
      </c>
      <c r="H268" t="s">
        <v>29</v>
      </c>
      <c r="I268" s="28" t="s">
        <v>27</v>
      </c>
    </row>
    <row r="269" spans="1:9" x14ac:dyDescent="0.3">
      <c r="A269" s="26">
        <v>45323</v>
      </c>
      <c r="B269" t="s">
        <v>1074</v>
      </c>
      <c r="C269" t="s">
        <v>771</v>
      </c>
      <c r="D269">
        <v>0.5</v>
      </c>
      <c r="E269" t="s">
        <v>7</v>
      </c>
      <c r="F269" t="s">
        <v>772</v>
      </c>
      <c r="G269" t="s">
        <v>1078</v>
      </c>
      <c r="H269" t="s">
        <v>29</v>
      </c>
      <c r="I269" s="28" t="s">
        <v>27</v>
      </c>
    </row>
    <row r="270" spans="1:9" x14ac:dyDescent="0.3">
      <c r="A270" s="26">
        <v>45323</v>
      </c>
      <c r="B270" t="s">
        <v>1074</v>
      </c>
      <c r="C270" t="s">
        <v>835</v>
      </c>
      <c r="D270">
        <v>3</v>
      </c>
      <c r="E270" t="s">
        <v>964</v>
      </c>
      <c r="F270" t="s">
        <v>754</v>
      </c>
      <c r="G270" t="s">
        <v>1079</v>
      </c>
      <c r="H270" t="s">
        <v>29</v>
      </c>
      <c r="I270" s="28" t="s">
        <v>27</v>
      </c>
    </row>
    <row r="271" spans="1:9" x14ac:dyDescent="0.3">
      <c r="A271" s="26">
        <v>45323</v>
      </c>
      <c r="B271" t="s">
        <v>1074</v>
      </c>
      <c r="C271" t="s">
        <v>919</v>
      </c>
      <c r="D271">
        <v>0.1</v>
      </c>
      <c r="E271" t="s">
        <v>570</v>
      </c>
      <c r="F271" t="s">
        <v>754</v>
      </c>
      <c r="G271" t="s">
        <v>1080</v>
      </c>
      <c r="H271" t="s">
        <v>29</v>
      </c>
      <c r="I271" s="28" t="s">
        <v>27</v>
      </c>
    </row>
    <row r="272" spans="1:9" x14ac:dyDescent="0.3">
      <c r="A272" s="26">
        <v>45323</v>
      </c>
      <c r="B272" t="s">
        <v>1081</v>
      </c>
      <c r="C272" t="s">
        <v>771</v>
      </c>
      <c r="D272">
        <v>2</v>
      </c>
      <c r="E272" t="s">
        <v>7</v>
      </c>
      <c r="F272" t="s">
        <v>772</v>
      </c>
      <c r="G272" t="e">
        <f>- check Asana tasks - email reminder re timesheet completion - coordinate tech assessment to Client Manager candidate</f>
        <v>#NAME?</v>
      </c>
      <c r="H272" t="s">
        <v>29</v>
      </c>
      <c r="I272" s="28" t="s">
        <v>27</v>
      </c>
    </row>
    <row r="273" spans="1:9" x14ac:dyDescent="0.3">
      <c r="A273" s="26">
        <v>45323</v>
      </c>
      <c r="B273" t="s">
        <v>1081</v>
      </c>
      <c r="C273" t="s">
        <v>771</v>
      </c>
      <c r="D273">
        <v>2</v>
      </c>
      <c r="E273" t="s">
        <v>7</v>
      </c>
      <c r="F273" t="s">
        <v>772</v>
      </c>
      <c r="G273" t="s">
        <v>1082</v>
      </c>
      <c r="H273" t="s">
        <v>29</v>
      </c>
      <c r="I273" s="28" t="s">
        <v>27</v>
      </c>
    </row>
    <row r="274" spans="1:9" x14ac:dyDescent="0.3">
      <c r="A274" s="26">
        <v>45323</v>
      </c>
      <c r="B274" t="s">
        <v>1081</v>
      </c>
      <c r="C274" t="s">
        <v>771</v>
      </c>
      <c r="D274">
        <v>4</v>
      </c>
      <c r="E274" t="s">
        <v>7</v>
      </c>
      <c r="F274" t="s">
        <v>772</v>
      </c>
      <c r="G274" t="e">
        <f>- check timesheet for payroll cut off JAN16-31 - coordinate completion of Business Sponsorship Questionnaire - email correspondence</f>
        <v>#NAME?</v>
      </c>
      <c r="H274" t="s">
        <v>29</v>
      </c>
      <c r="I274" s="28" t="s">
        <v>27</v>
      </c>
    </row>
    <row r="275" spans="1:9" x14ac:dyDescent="0.3">
      <c r="A275" s="26">
        <v>45324</v>
      </c>
      <c r="B275" t="s">
        <v>752</v>
      </c>
      <c r="C275" t="s">
        <v>753</v>
      </c>
      <c r="D275">
        <v>0.05</v>
      </c>
      <c r="E275" t="s">
        <v>561</v>
      </c>
      <c r="F275" t="s">
        <v>754</v>
      </c>
      <c r="G275" t="s">
        <v>755</v>
      </c>
      <c r="H275" t="s">
        <v>29</v>
      </c>
      <c r="I275" s="28" t="s">
        <v>28</v>
      </c>
    </row>
    <row r="276" spans="1:9" x14ac:dyDescent="0.3">
      <c r="A276" s="26">
        <v>45324</v>
      </c>
      <c r="B276" t="s">
        <v>752</v>
      </c>
      <c r="C276" t="s">
        <v>753</v>
      </c>
      <c r="D276">
        <v>0.05</v>
      </c>
      <c r="E276" t="s">
        <v>757</v>
      </c>
      <c r="F276" t="s">
        <v>754</v>
      </c>
      <c r="G276" t="s">
        <v>1083</v>
      </c>
      <c r="H276" t="s">
        <v>29</v>
      </c>
      <c r="I276" s="28" t="s">
        <v>28</v>
      </c>
    </row>
    <row r="277" spans="1:9" x14ac:dyDescent="0.3">
      <c r="A277" s="26">
        <v>45324</v>
      </c>
      <c r="B277" t="s">
        <v>752</v>
      </c>
      <c r="C277" t="s">
        <v>753</v>
      </c>
      <c r="D277">
        <v>0.05</v>
      </c>
      <c r="E277" t="s">
        <v>602</v>
      </c>
      <c r="F277" t="s">
        <v>754</v>
      </c>
      <c r="G277" t="s">
        <v>758</v>
      </c>
      <c r="H277" t="s">
        <v>29</v>
      </c>
      <c r="I277" s="28" t="s">
        <v>28</v>
      </c>
    </row>
    <row r="278" spans="1:9" x14ac:dyDescent="0.3">
      <c r="A278" s="26">
        <v>45324</v>
      </c>
      <c r="B278" t="s">
        <v>752</v>
      </c>
      <c r="C278" t="s">
        <v>753</v>
      </c>
      <c r="D278">
        <v>7.0000000000000007E-2</v>
      </c>
      <c r="E278" t="s">
        <v>417</v>
      </c>
      <c r="F278" t="s">
        <v>754</v>
      </c>
      <c r="G278" t="s">
        <v>760</v>
      </c>
      <c r="H278" t="s">
        <v>29</v>
      </c>
      <c r="I278" s="28" t="s">
        <v>28</v>
      </c>
    </row>
    <row r="279" spans="1:9" x14ac:dyDescent="0.3">
      <c r="A279" s="26">
        <v>45324</v>
      </c>
      <c r="B279" t="s">
        <v>752</v>
      </c>
      <c r="C279" t="s">
        <v>753</v>
      </c>
      <c r="D279">
        <v>0.13</v>
      </c>
      <c r="E279" t="s">
        <v>1084</v>
      </c>
      <c r="F279" t="s">
        <v>754</v>
      </c>
      <c r="G279" t="s">
        <v>760</v>
      </c>
      <c r="H279" t="s">
        <v>29</v>
      </c>
      <c r="I279" s="28" t="s">
        <v>28</v>
      </c>
    </row>
    <row r="280" spans="1:9" x14ac:dyDescent="0.3">
      <c r="A280" s="26">
        <v>45324</v>
      </c>
      <c r="B280" t="s">
        <v>752</v>
      </c>
      <c r="C280" t="s">
        <v>753</v>
      </c>
      <c r="D280">
        <v>0.15</v>
      </c>
      <c r="E280" t="s">
        <v>757</v>
      </c>
      <c r="F280" t="s">
        <v>754</v>
      </c>
      <c r="G280" t="s">
        <v>1085</v>
      </c>
      <c r="H280" t="s">
        <v>29</v>
      </c>
      <c r="I280" s="28" t="s">
        <v>28</v>
      </c>
    </row>
    <row r="281" spans="1:9" x14ac:dyDescent="0.3">
      <c r="A281" s="26">
        <v>45324</v>
      </c>
      <c r="B281" t="s">
        <v>752</v>
      </c>
      <c r="C281" t="s">
        <v>753</v>
      </c>
      <c r="D281">
        <v>0.15</v>
      </c>
      <c r="E281" t="s">
        <v>630</v>
      </c>
      <c r="F281" t="s">
        <v>754</v>
      </c>
      <c r="G281" t="s">
        <v>765</v>
      </c>
      <c r="H281" t="s">
        <v>29</v>
      </c>
      <c r="I281" s="28" t="s">
        <v>28</v>
      </c>
    </row>
    <row r="282" spans="1:9" x14ac:dyDescent="0.3">
      <c r="A282" s="26">
        <v>45324</v>
      </c>
      <c r="B282" t="s">
        <v>752</v>
      </c>
      <c r="C282" t="s">
        <v>753</v>
      </c>
      <c r="D282">
        <v>0.18</v>
      </c>
      <c r="E282" t="s">
        <v>561</v>
      </c>
      <c r="F282" t="s">
        <v>754</v>
      </c>
      <c r="G282" t="s">
        <v>1086</v>
      </c>
      <c r="H282" t="s">
        <v>29</v>
      </c>
      <c r="I282" s="28" t="s">
        <v>28</v>
      </c>
    </row>
    <row r="283" spans="1:9" x14ac:dyDescent="0.3">
      <c r="A283" s="26">
        <v>45324</v>
      </c>
      <c r="B283" t="s">
        <v>752</v>
      </c>
      <c r="C283" t="s">
        <v>753</v>
      </c>
      <c r="D283">
        <v>0.25</v>
      </c>
      <c r="E283" t="s">
        <v>1084</v>
      </c>
      <c r="F283" t="s">
        <v>754</v>
      </c>
      <c r="G283" t="s">
        <v>769</v>
      </c>
      <c r="H283" t="s">
        <v>29</v>
      </c>
      <c r="I283" s="28" t="s">
        <v>28</v>
      </c>
    </row>
    <row r="284" spans="1:9" x14ac:dyDescent="0.3">
      <c r="A284" s="26">
        <v>45324</v>
      </c>
      <c r="B284" t="s">
        <v>752</v>
      </c>
      <c r="C284" t="s">
        <v>753</v>
      </c>
      <c r="D284">
        <v>0.33</v>
      </c>
      <c r="E284" t="s">
        <v>561</v>
      </c>
      <c r="F284" t="s">
        <v>754</v>
      </c>
      <c r="G284" t="s">
        <v>765</v>
      </c>
      <c r="H284" t="s">
        <v>29</v>
      </c>
      <c r="I284" s="28" t="s">
        <v>28</v>
      </c>
    </row>
    <row r="285" spans="1:9" x14ac:dyDescent="0.3">
      <c r="A285" s="26">
        <v>45324</v>
      </c>
      <c r="B285" t="s">
        <v>752</v>
      </c>
      <c r="C285" t="s">
        <v>753</v>
      </c>
      <c r="D285">
        <v>0.33</v>
      </c>
      <c r="E285" t="s">
        <v>757</v>
      </c>
      <c r="F285" t="s">
        <v>754</v>
      </c>
      <c r="G285" t="s">
        <v>1087</v>
      </c>
      <c r="H285" t="s">
        <v>29</v>
      </c>
      <c r="I285" s="28" t="s">
        <v>28</v>
      </c>
    </row>
    <row r="286" spans="1:9" x14ac:dyDescent="0.3">
      <c r="A286" s="26">
        <v>45324</v>
      </c>
      <c r="B286" t="s">
        <v>752</v>
      </c>
      <c r="C286" t="s">
        <v>753</v>
      </c>
      <c r="D286">
        <v>0.4</v>
      </c>
      <c r="E286" t="s">
        <v>664</v>
      </c>
      <c r="F286" t="s">
        <v>754</v>
      </c>
      <c r="G286" t="s">
        <v>1088</v>
      </c>
      <c r="H286" t="s">
        <v>29</v>
      </c>
      <c r="I286" s="28" t="s">
        <v>28</v>
      </c>
    </row>
    <row r="287" spans="1:9" x14ac:dyDescent="0.3">
      <c r="A287" s="26">
        <v>45324</v>
      </c>
      <c r="B287" t="s">
        <v>752</v>
      </c>
      <c r="C287" t="s">
        <v>753</v>
      </c>
      <c r="D287">
        <v>0.5</v>
      </c>
      <c r="E287" t="s">
        <v>659</v>
      </c>
      <c r="F287" t="s">
        <v>754</v>
      </c>
      <c r="G287" t="s">
        <v>765</v>
      </c>
      <c r="H287" t="s">
        <v>29</v>
      </c>
      <c r="I287" s="28" t="s">
        <v>28</v>
      </c>
    </row>
    <row r="288" spans="1:9" x14ac:dyDescent="0.3">
      <c r="A288" s="26">
        <v>45324</v>
      </c>
      <c r="B288" t="s">
        <v>752</v>
      </c>
      <c r="C288" t="s">
        <v>753</v>
      </c>
      <c r="D288">
        <v>0.87</v>
      </c>
      <c r="E288" t="s">
        <v>602</v>
      </c>
      <c r="F288" t="s">
        <v>754</v>
      </c>
      <c r="G288" t="s">
        <v>765</v>
      </c>
      <c r="H288" t="s">
        <v>29</v>
      </c>
      <c r="I288" s="28" t="s">
        <v>28</v>
      </c>
    </row>
    <row r="289" spans="1:9" x14ac:dyDescent="0.3">
      <c r="A289" s="26">
        <v>45324</v>
      </c>
      <c r="B289" t="s">
        <v>752</v>
      </c>
      <c r="C289" t="s">
        <v>771</v>
      </c>
      <c r="D289">
        <v>0.25</v>
      </c>
      <c r="E289" t="s">
        <v>7</v>
      </c>
      <c r="F289" t="s">
        <v>772</v>
      </c>
      <c r="G289" t="s">
        <v>774</v>
      </c>
      <c r="H289" t="s">
        <v>29</v>
      </c>
      <c r="I289" s="28" t="s">
        <v>28</v>
      </c>
    </row>
    <row r="290" spans="1:9" x14ac:dyDescent="0.3">
      <c r="A290" s="26">
        <v>45324</v>
      </c>
      <c r="B290" t="s">
        <v>752</v>
      </c>
      <c r="C290" t="s">
        <v>771</v>
      </c>
      <c r="D290">
        <v>0.25</v>
      </c>
      <c r="E290" t="s">
        <v>7</v>
      </c>
      <c r="F290" t="s">
        <v>772</v>
      </c>
      <c r="G290" t="s">
        <v>775</v>
      </c>
      <c r="H290" t="s">
        <v>29</v>
      </c>
      <c r="I290" s="28" t="s">
        <v>28</v>
      </c>
    </row>
    <row r="291" spans="1:9" x14ac:dyDescent="0.3">
      <c r="A291" s="26">
        <v>45324</v>
      </c>
      <c r="B291" t="s">
        <v>752</v>
      </c>
      <c r="C291" t="s">
        <v>835</v>
      </c>
      <c r="D291">
        <v>1.52</v>
      </c>
      <c r="E291" t="s">
        <v>757</v>
      </c>
      <c r="F291" t="s">
        <v>754</v>
      </c>
      <c r="G291" t="s">
        <v>1089</v>
      </c>
      <c r="H291" t="s">
        <v>29</v>
      </c>
      <c r="I291" s="28" t="s">
        <v>28</v>
      </c>
    </row>
    <row r="292" spans="1:9" x14ac:dyDescent="0.3">
      <c r="A292" s="26">
        <v>45324</v>
      </c>
      <c r="B292" t="s">
        <v>752</v>
      </c>
      <c r="C292" t="s">
        <v>874</v>
      </c>
      <c r="D292">
        <v>0.83</v>
      </c>
      <c r="E292" t="s">
        <v>7</v>
      </c>
      <c r="F292" t="s">
        <v>772</v>
      </c>
      <c r="G292" t="s">
        <v>1090</v>
      </c>
      <c r="H292" t="s">
        <v>29</v>
      </c>
      <c r="I292" s="28" t="s">
        <v>28</v>
      </c>
    </row>
    <row r="293" spans="1:9" x14ac:dyDescent="0.3">
      <c r="A293" s="26">
        <v>45324</v>
      </c>
      <c r="B293" t="s">
        <v>752</v>
      </c>
      <c r="C293" t="s">
        <v>874</v>
      </c>
      <c r="D293">
        <v>0.97</v>
      </c>
      <c r="E293" t="s">
        <v>7</v>
      </c>
      <c r="F293" t="s">
        <v>772</v>
      </c>
      <c r="G293" t="s">
        <v>1091</v>
      </c>
      <c r="H293" t="s">
        <v>29</v>
      </c>
      <c r="I293" s="28" t="s">
        <v>28</v>
      </c>
    </row>
    <row r="294" spans="1:9" x14ac:dyDescent="0.3">
      <c r="A294" s="26">
        <v>45324</v>
      </c>
      <c r="B294" t="s">
        <v>752</v>
      </c>
      <c r="C294" t="s">
        <v>776</v>
      </c>
      <c r="D294">
        <v>0.13</v>
      </c>
      <c r="E294" t="s">
        <v>553</v>
      </c>
      <c r="F294" t="s">
        <v>754</v>
      </c>
      <c r="H294" t="s">
        <v>29</v>
      </c>
      <c r="I294" s="28" t="s">
        <v>28</v>
      </c>
    </row>
    <row r="295" spans="1:9" x14ac:dyDescent="0.3">
      <c r="A295" s="26">
        <v>45324</v>
      </c>
      <c r="B295" t="s">
        <v>752</v>
      </c>
      <c r="C295" t="s">
        <v>776</v>
      </c>
      <c r="D295">
        <v>0.53</v>
      </c>
      <c r="E295" t="s">
        <v>458</v>
      </c>
      <c r="F295" t="s">
        <v>754</v>
      </c>
      <c r="G295" t="s">
        <v>1092</v>
      </c>
      <c r="H295" t="s">
        <v>29</v>
      </c>
      <c r="I295" s="28" t="s">
        <v>28</v>
      </c>
    </row>
    <row r="296" spans="1:9" x14ac:dyDescent="0.3">
      <c r="A296" s="26">
        <v>45324</v>
      </c>
      <c r="B296" t="s">
        <v>1093</v>
      </c>
      <c r="C296" t="s">
        <v>1094</v>
      </c>
      <c r="D296">
        <v>0.33</v>
      </c>
      <c r="E296" t="s">
        <v>455</v>
      </c>
      <c r="F296" t="s">
        <v>754</v>
      </c>
      <c r="G296" t="s">
        <v>1095</v>
      </c>
      <c r="H296" t="s">
        <v>29</v>
      </c>
      <c r="I296" s="28" t="s">
        <v>28</v>
      </c>
    </row>
    <row r="297" spans="1:9" x14ac:dyDescent="0.3">
      <c r="A297" s="26">
        <v>45324</v>
      </c>
      <c r="B297" t="s">
        <v>21</v>
      </c>
      <c r="C297" t="s">
        <v>753</v>
      </c>
      <c r="D297">
        <v>1.17</v>
      </c>
      <c r="E297" t="s">
        <v>1096</v>
      </c>
      <c r="F297" t="s">
        <v>754</v>
      </c>
      <c r="G297" t="s">
        <v>1097</v>
      </c>
      <c r="H297" t="s">
        <v>29</v>
      </c>
      <c r="I297" s="28" t="s">
        <v>28</v>
      </c>
    </row>
    <row r="298" spans="1:9" x14ac:dyDescent="0.3">
      <c r="A298" s="26">
        <v>45324</v>
      </c>
      <c r="B298" t="s">
        <v>21</v>
      </c>
      <c r="C298" t="s">
        <v>771</v>
      </c>
      <c r="D298">
        <v>0.12</v>
      </c>
      <c r="E298" t="s">
        <v>7</v>
      </c>
      <c r="F298" t="s">
        <v>772</v>
      </c>
      <c r="G298" t="s">
        <v>1098</v>
      </c>
      <c r="H298" t="s">
        <v>29</v>
      </c>
      <c r="I298" s="28" t="s">
        <v>28</v>
      </c>
    </row>
    <row r="299" spans="1:9" x14ac:dyDescent="0.3">
      <c r="A299" s="26">
        <v>45324</v>
      </c>
      <c r="B299" t="s">
        <v>21</v>
      </c>
      <c r="C299" t="s">
        <v>771</v>
      </c>
      <c r="D299">
        <v>0.23</v>
      </c>
      <c r="E299" t="s">
        <v>7</v>
      </c>
      <c r="F299" t="s">
        <v>772</v>
      </c>
      <c r="G299" t="s">
        <v>1099</v>
      </c>
      <c r="H299" t="s">
        <v>29</v>
      </c>
      <c r="I299" s="28" t="s">
        <v>28</v>
      </c>
    </row>
    <row r="300" spans="1:9" x14ac:dyDescent="0.3">
      <c r="A300" s="26">
        <v>45324</v>
      </c>
      <c r="B300" t="s">
        <v>21</v>
      </c>
      <c r="C300" t="s">
        <v>771</v>
      </c>
      <c r="D300">
        <v>0.28000000000000003</v>
      </c>
      <c r="E300" t="s">
        <v>7</v>
      </c>
      <c r="F300" t="s">
        <v>772</v>
      </c>
      <c r="G300" t="s">
        <v>1100</v>
      </c>
      <c r="H300" t="s">
        <v>29</v>
      </c>
      <c r="I300" s="28" t="s">
        <v>28</v>
      </c>
    </row>
    <row r="301" spans="1:9" x14ac:dyDescent="0.3">
      <c r="A301" s="26">
        <v>45324</v>
      </c>
      <c r="B301" t="s">
        <v>21</v>
      </c>
      <c r="C301" t="s">
        <v>771</v>
      </c>
      <c r="D301">
        <v>0.32</v>
      </c>
      <c r="E301" t="s">
        <v>7</v>
      </c>
      <c r="F301" t="s">
        <v>772</v>
      </c>
      <c r="G301" t="s">
        <v>1101</v>
      </c>
      <c r="H301" t="s">
        <v>29</v>
      </c>
      <c r="I301" s="28" t="s">
        <v>28</v>
      </c>
    </row>
    <row r="302" spans="1:9" x14ac:dyDescent="0.3">
      <c r="A302" s="26">
        <v>45324</v>
      </c>
      <c r="B302" t="s">
        <v>21</v>
      </c>
      <c r="C302" t="s">
        <v>771</v>
      </c>
      <c r="D302">
        <v>0.33</v>
      </c>
      <c r="E302" t="s">
        <v>7</v>
      </c>
      <c r="F302" t="s">
        <v>772</v>
      </c>
      <c r="G302" t="s">
        <v>1102</v>
      </c>
      <c r="H302" t="s">
        <v>29</v>
      </c>
      <c r="I302" s="28" t="s">
        <v>28</v>
      </c>
    </row>
    <row r="303" spans="1:9" x14ac:dyDescent="0.3">
      <c r="A303" s="26">
        <v>45324</v>
      </c>
      <c r="B303" t="s">
        <v>21</v>
      </c>
      <c r="C303" t="s">
        <v>771</v>
      </c>
      <c r="D303">
        <v>0.35</v>
      </c>
      <c r="E303" t="s">
        <v>7</v>
      </c>
      <c r="F303" t="s">
        <v>772</v>
      </c>
      <c r="G303" t="s">
        <v>1103</v>
      </c>
      <c r="H303" t="s">
        <v>29</v>
      </c>
      <c r="I303" s="28" t="s">
        <v>28</v>
      </c>
    </row>
    <row r="304" spans="1:9" x14ac:dyDescent="0.3">
      <c r="A304" s="26">
        <v>45324</v>
      </c>
      <c r="B304" t="s">
        <v>21</v>
      </c>
      <c r="C304" t="s">
        <v>771</v>
      </c>
      <c r="D304">
        <v>0.48</v>
      </c>
      <c r="E304" t="s">
        <v>7</v>
      </c>
      <c r="F304" t="s">
        <v>772</v>
      </c>
      <c r="G304" t="s">
        <v>1104</v>
      </c>
      <c r="H304" t="s">
        <v>29</v>
      </c>
      <c r="I304" s="28" t="s">
        <v>28</v>
      </c>
    </row>
    <row r="305" spans="1:9" x14ac:dyDescent="0.3">
      <c r="A305" s="26">
        <v>45324</v>
      </c>
      <c r="B305" t="s">
        <v>21</v>
      </c>
      <c r="C305" t="s">
        <v>771</v>
      </c>
      <c r="D305">
        <v>0.53</v>
      </c>
      <c r="E305" t="s">
        <v>7</v>
      </c>
      <c r="F305" t="s">
        <v>772</v>
      </c>
      <c r="G305" t="s">
        <v>1105</v>
      </c>
      <c r="H305" t="s">
        <v>29</v>
      </c>
      <c r="I305" s="28" t="s">
        <v>28</v>
      </c>
    </row>
    <row r="306" spans="1:9" x14ac:dyDescent="0.3">
      <c r="A306" s="26">
        <v>45324</v>
      </c>
      <c r="B306" t="s">
        <v>21</v>
      </c>
      <c r="C306" t="s">
        <v>771</v>
      </c>
      <c r="D306">
        <v>1.22</v>
      </c>
      <c r="E306" t="s">
        <v>7</v>
      </c>
      <c r="F306" t="s">
        <v>772</v>
      </c>
      <c r="G306" t="s">
        <v>1106</v>
      </c>
      <c r="H306" t="s">
        <v>29</v>
      </c>
      <c r="I306" s="28" t="s">
        <v>28</v>
      </c>
    </row>
    <row r="307" spans="1:9" x14ac:dyDescent="0.3">
      <c r="A307" s="26">
        <v>45324</v>
      </c>
      <c r="B307" t="s">
        <v>21</v>
      </c>
      <c r="C307" t="s">
        <v>874</v>
      </c>
      <c r="D307">
        <v>0.15</v>
      </c>
      <c r="E307" t="s">
        <v>7</v>
      </c>
      <c r="F307" t="s">
        <v>772</v>
      </c>
      <c r="G307" t="s">
        <v>1107</v>
      </c>
      <c r="H307" t="s">
        <v>29</v>
      </c>
      <c r="I307" s="28" t="s">
        <v>28</v>
      </c>
    </row>
    <row r="308" spans="1:9" x14ac:dyDescent="0.3">
      <c r="A308" s="26">
        <v>45324</v>
      </c>
      <c r="B308" t="s">
        <v>21</v>
      </c>
      <c r="C308" t="s">
        <v>874</v>
      </c>
      <c r="D308">
        <v>0.22</v>
      </c>
      <c r="E308" t="s">
        <v>7</v>
      </c>
      <c r="F308" t="s">
        <v>772</v>
      </c>
      <c r="G308" t="s">
        <v>1101</v>
      </c>
      <c r="H308" t="s">
        <v>29</v>
      </c>
      <c r="I308" s="28" t="s">
        <v>28</v>
      </c>
    </row>
    <row r="309" spans="1:9" x14ac:dyDescent="0.3">
      <c r="A309" s="26">
        <v>45324</v>
      </c>
      <c r="B309" t="s">
        <v>21</v>
      </c>
      <c r="C309" t="s">
        <v>874</v>
      </c>
      <c r="D309">
        <v>0.55000000000000004</v>
      </c>
      <c r="E309" t="s">
        <v>7</v>
      </c>
      <c r="F309" t="s">
        <v>772</v>
      </c>
      <c r="G309" t="s">
        <v>1108</v>
      </c>
      <c r="H309" t="s">
        <v>29</v>
      </c>
      <c r="I309" s="28" t="s">
        <v>28</v>
      </c>
    </row>
    <row r="310" spans="1:9" x14ac:dyDescent="0.3">
      <c r="A310" s="26">
        <v>45324</v>
      </c>
      <c r="B310" t="s">
        <v>21</v>
      </c>
      <c r="C310" t="s">
        <v>874</v>
      </c>
      <c r="D310">
        <v>0.67</v>
      </c>
      <c r="E310" t="s">
        <v>7</v>
      </c>
      <c r="F310" t="s">
        <v>772</v>
      </c>
      <c r="G310" t="s">
        <v>1109</v>
      </c>
      <c r="H310" t="s">
        <v>29</v>
      </c>
      <c r="I310" s="28" t="s">
        <v>28</v>
      </c>
    </row>
    <row r="311" spans="1:9" x14ac:dyDescent="0.3">
      <c r="A311" s="26">
        <v>45324</v>
      </c>
      <c r="B311" t="s">
        <v>21</v>
      </c>
      <c r="C311" t="s">
        <v>874</v>
      </c>
      <c r="D311">
        <v>1.08</v>
      </c>
      <c r="E311" t="s">
        <v>7</v>
      </c>
      <c r="F311" t="s">
        <v>772</v>
      </c>
      <c r="G311" t="s">
        <v>1110</v>
      </c>
      <c r="H311" t="s">
        <v>29</v>
      </c>
      <c r="I311" s="28" t="s">
        <v>28</v>
      </c>
    </row>
    <row r="312" spans="1:9" x14ac:dyDescent="0.3">
      <c r="A312" s="26">
        <v>45324</v>
      </c>
      <c r="B312" t="s">
        <v>21</v>
      </c>
      <c r="C312" t="s">
        <v>776</v>
      </c>
      <c r="D312">
        <v>0.32</v>
      </c>
      <c r="E312" t="s">
        <v>13</v>
      </c>
      <c r="F312" t="s">
        <v>754</v>
      </c>
      <c r="H312" t="s">
        <v>29</v>
      </c>
      <c r="I312" s="28" t="s">
        <v>28</v>
      </c>
    </row>
    <row r="313" spans="1:9" x14ac:dyDescent="0.3">
      <c r="A313" s="26">
        <v>45324</v>
      </c>
      <c r="B313" t="s">
        <v>783</v>
      </c>
      <c r="C313" t="s">
        <v>784</v>
      </c>
      <c r="D313">
        <v>8</v>
      </c>
      <c r="E313" t="s">
        <v>7</v>
      </c>
      <c r="F313" t="s">
        <v>772</v>
      </c>
      <c r="G313" t="s">
        <v>784</v>
      </c>
      <c r="H313" t="s">
        <v>29</v>
      </c>
      <c r="I313" s="28" t="s">
        <v>28</v>
      </c>
    </row>
    <row r="314" spans="1:9" x14ac:dyDescent="0.3">
      <c r="A314" s="26">
        <v>45324</v>
      </c>
      <c r="B314" t="s">
        <v>785</v>
      </c>
      <c r="C314" t="s">
        <v>786</v>
      </c>
      <c r="D314">
        <v>8</v>
      </c>
      <c r="E314" t="s">
        <v>7</v>
      </c>
      <c r="F314" t="s">
        <v>772</v>
      </c>
      <c r="G314" t="s">
        <v>787</v>
      </c>
      <c r="H314" t="s">
        <v>29</v>
      </c>
      <c r="I314" s="28" t="s">
        <v>28</v>
      </c>
    </row>
    <row r="315" spans="1:9" x14ac:dyDescent="0.3">
      <c r="A315" s="26">
        <v>45324</v>
      </c>
      <c r="B315" t="s">
        <v>788</v>
      </c>
      <c r="C315" t="s">
        <v>786</v>
      </c>
      <c r="D315">
        <v>9</v>
      </c>
      <c r="E315" t="s">
        <v>7</v>
      </c>
      <c r="F315" t="s">
        <v>772</v>
      </c>
      <c r="H315" t="s">
        <v>29</v>
      </c>
      <c r="I315" s="28" t="s">
        <v>28</v>
      </c>
    </row>
    <row r="316" spans="1:9" x14ac:dyDescent="0.3">
      <c r="A316" s="26">
        <v>45324</v>
      </c>
      <c r="B316" t="s">
        <v>792</v>
      </c>
      <c r="C316" t="s">
        <v>753</v>
      </c>
      <c r="D316">
        <v>0.5</v>
      </c>
      <c r="E316" t="s">
        <v>790</v>
      </c>
      <c r="F316" t="s">
        <v>754</v>
      </c>
      <c r="G316" t="s">
        <v>1111</v>
      </c>
      <c r="H316" t="s">
        <v>29</v>
      </c>
      <c r="I316" s="28" t="s">
        <v>28</v>
      </c>
    </row>
    <row r="317" spans="1:9" x14ac:dyDescent="0.3">
      <c r="A317" s="26">
        <v>45324</v>
      </c>
      <c r="B317" t="s">
        <v>792</v>
      </c>
      <c r="C317" t="s">
        <v>753</v>
      </c>
      <c r="D317">
        <v>0.75</v>
      </c>
      <c r="E317" t="s">
        <v>790</v>
      </c>
      <c r="F317" t="s">
        <v>754</v>
      </c>
      <c r="G317" t="s">
        <v>1112</v>
      </c>
      <c r="H317" t="s">
        <v>29</v>
      </c>
      <c r="I317" s="28" t="s">
        <v>28</v>
      </c>
    </row>
    <row r="318" spans="1:9" x14ac:dyDescent="0.3">
      <c r="A318" s="26">
        <v>45324</v>
      </c>
      <c r="B318" t="s">
        <v>792</v>
      </c>
      <c r="C318" t="s">
        <v>753</v>
      </c>
      <c r="D318">
        <v>1.75</v>
      </c>
      <c r="E318" t="s">
        <v>790</v>
      </c>
      <c r="F318" t="s">
        <v>754</v>
      </c>
      <c r="G318" t="s">
        <v>793</v>
      </c>
      <c r="H318" t="s">
        <v>29</v>
      </c>
      <c r="I318" s="28" t="s">
        <v>28</v>
      </c>
    </row>
    <row r="319" spans="1:9" x14ac:dyDescent="0.3">
      <c r="A319" s="26">
        <v>45324</v>
      </c>
      <c r="B319" t="s">
        <v>792</v>
      </c>
      <c r="C319" t="s">
        <v>753</v>
      </c>
      <c r="D319">
        <v>4.2699999999999996</v>
      </c>
      <c r="E319" t="s">
        <v>790</v>
      </c>
      <c r="F319" t="s">
        <v>754</v>
      </c>
      <c r="G319" t="s">
        <v>1113</v>
      </c>
      <c r="H319" t="s">
        <v>29</v>
      </c>
      <c r="I319" s="28" t="s">
        <v>28</v>
      </c>
    </row>
    <row r="320" spans="1:9" x14ac:dyDescent="0.3">
      <c r="A320" s="26">
        <v>45324</v>
      </c>
      <c r="B320" t="s">
        <v>792</v>
      </c>
      <c r="C320" t="s">
        <v>874</v>
      </c>
      <c r="D320">
        <v>1</v>
      </c>
      <c r="E320" t="s">
        <v>7</v>
      </c>
      <c r="F320" t="s">
        <v>772</v>
      </c>
      <c r="G320" t="s">
        <v>1114</v>
      </c>
      <c r="H320" t="s">
        <v>29</v>
      </c>
      <c r="I320" s="28" t="s">
        <v>28</v>
      </c>
    </row>
    <row r="321" spans="1:9" x14ac:dyDescent="0.3">
      <c r="A321" s="26">
        <v>45324</v>
      </c>
      <c r="B321" t="s">
        <v>796</v>
      </c>
      <c r="C321" t="s">
        <v>753</v>
      </c>
      <c r="D321">
        <v>1</v>
      </c>
      <c r="E321" t="s">
        <v>585</v>
      </c>
      <c r="F321" t="s">
        <v>754</v>
      </c>
      <c r="G321" t="s">
        <v>1115</v>
      </c>
      <c r="H321" t="s">
        <v>29</v>
      </c>
      <c r="I321" s="28" t="s">
        <v>28</v>
      </c>
    </row>
    <row r="322" spans="1:9" x14ac:dyDescent="0.3">
      <c r="A322" s="26">
        <v>45324</v>
      </c>
      <c r="B322" t="s">
        <v>796</v>
      </c>
      <c r="C322" t="s">
        <v>753</v>
      </c>
      <c r="D322">
        <v>6.58</v>
      </c>
      <c r="E322" t="s">
        <v>430</v>
      </c>
      <c r="F322" t="s">
        <v>754</v>
      </c>
      <c r="G322" t="s">
        <v>1116</v>
      </c>
      <c r="H322" t="s">
        <v>29</v>
      </c>
      <c r="I322" s="28" t="s">
        <v>28</v>
      </c>
    </row>
    <row r="323" spans="1:9" x14ac:dyDescent="0.3">
      <c r="A323" s="26">
        <v>45324</v>
      </c>
      <c r="B323" t="s">
        <v>796</v>
      </c>
      <c r="C323" t="s">
        <v>771</v>
      </c>
      <c r="D323">
        <v>0.42</v>
      </c>
      <c r="E323" t="s">
        <v>7</v>
      </c>
      <c r="F323" t="s">
        <v>772</v>
      </c>
      <c r="G323" t="s">
        <v>1117</v>
      </c>
      <c r="H323" t="s">
        <v>29</v>
      </c>
      <c r="I323" s="28" t="s">
        <v>28</v>
      </c>
    </row>
    <row r="324" spans="1:9" x14ac:dyDescent="0.3">
      <c r="A324" s="26">
        <v>45324</v>
      </c>
      <c r="B324" t="s">
        <v>801</v>
      </c>
      <c r="C324" t="s">
        <v>802</v>
      </c>
      <c r="D324">
        <v>10.78</v>
      </c>
      <c r="E324" t="s">
        <v>7</v>
      </c>
      <c r="F324" t="s">
        <v>772</v>
      </c>
      <c r="H324" t="s">
        <v>29</v>
      </c>
      <c r="I324" s="28" t="s">
        <v>28</v>
      </c>
    </row>
    <row r="325" spans="1:9" x14ac:dyDescent="0.3">
      <c r="A325" s="26">
        <v>45324</v>
      </c>
      <c r="B325" t="s">
        <v>808</v>
      </c>
      <c r="C325" t="s">
        <v>802</v>
      </c>
      <c r="D325">
        <v>9.0500000000000007</v>
      </c>
      <c r="E325" t="s">
        <v>7</v>
      </c>
      <c r="F325" t="s">
        <v>772</v>
      </c>
      <c r="G325" t="s">
        <v>1118</v>
      </c>
      <c r="H325" t="s">
        <v>29</v>
      </c>
      <c r="I325" s="28" t="s">
        <v>28</v>
      </c>
    </row>
    <row r="326" spans="1:9" x14ac:dyDescent="0.3">
      <c r="A326" s="26">
        <v>45324</v>
      </c>
      <c r="B326" t="s">
        <v>810</v>
      </c>
      <c r="C326" t="s">
        <v>753</v>
      </c>
      <c r="D326">
        <v>0.17</v>
      </c>
      <c r="E326" t="s">
        <v>813</v>
      </c>
      <c r="F326" t="s">
        <v>772</v>
      </c>
      <c r="G326" t="s">
        <v>1119</v>
      </c>
      <c r="H326" t="s">
        <v>29</v>
      </c>
      <c r="I326" s="28" t="s">
        <v>28</v>
      </c>
    </row>
    <row r="327" spans="1:9" x14ac:dyDescent="0.3">
      <c r="A327" s="26">
        <v>45324</v>
      </c>
      <c r="B327" t="s">
        <v>810</v>
      </c>
      <c r="C327" t="s">
        <v>753</v>
      </c>
      <c r="D327">
        <v>0.33</v>
      </c>
      <c r="E327" t="s">
        <v>898</v>
      </c>
      <c r="F327" t="s">
        <v>772</v>
      </c>
      <c r="G327" t="s">
        <v>1120</v>
      </c>
      <c r="H327" t="s">
        <v>29</v>
      </c>
      <c r="I327" s="28" t="s">
        <v>28</v>
      </c>
    </row>
    <row r="328" spans="1:9" x14ac:dyDescent="0.3">
      <c r="A328" s="26">
        <v>45324</v>
      </c>
      <c r="B328" t="s">
        <v>810</v>
      </c>
      <c r="C328" t="s">
        <v>753</v>
      </c>
      <c r="D328">
        <v>0.57999999999999996</v>
      </c>
      <c r="E328" t="s">
        <v>813</v>
      </c>
      <c r="F328" t="s">
        <v>754</v>
      </c>
      <c r="G328" t="s">
        <v>1121</v>
      </c>
      <c r="H328" t="s">
        <v>29</v>
      </c>
      <c r="I328" s="28" t="s">
        <v>28</v>
      </c>
    </row>
    <row r="329" spans="1:9" x14ac:dyDescent="0.3">
      <c r="A329" s="26">
        <v>45324</v>
      </c>
      <c r="B329" t="s">
        <v>810</v>
      </c>
      <c r="C329" t="s">
        <v>753</v>
      </c>
      <c r="D329">
        <v>1.08</v>
      </c>
      <c r="E329" t="s">
        <v>898</v>
      </c>
      <c r="F329" t="s">
        <v>754</v>
      </c>
      <c r="G329" t="s">
        <v>1122</v>
      </c>
      <c r="H329" t="s">
        <v>29</v>
      </c>
      <c r="I329" s="28" t="s">
        <v>28</v>
      </c>
    </row>
    <row r="330" spans="1:9" x14ac:dyDescent="0.3">
      <c r="A330" s="26">
        <v>45324</v>
      </c>
      <c r="B330" t="s">
        <v>810</v>
      </c>
      <c r="C330" t="s">
        <v>753</v>
      </c>
      <c r="D330">
        <v>1.33</v>
      </c>
      <c r="E330" t="s">
        <v>516</v>
      </c>
      <c r="F330" t="s">
        <v>754</v>
      </c>
      <c r="G330" t="s">
        <v>1123</v>
      </c>
      <c r="H330" t="s">
        <v>29</v>
      </c>
      <c r="I330" s="28" t="s">
        <v>28</v>
      </c>
    </row>
    <row r="331" spans="1:9" x14ac:dyDescent="0.3">
      <c r="A331" s="26">
        <v>45324</v>
      </c>
      <c r="B331" t="s">
        <v>810</v>
      </c>
      <c r="C331" t="s">
        <v>771</v>
      </c>
      <c r="D331">
        <v>0.5</v>
      </c>
      <c r="E331" t="s">
        <v>7</v>
      </c>
      <c r="F331" t="s">
        <v>772</v>
      </c>
      <c r="G331" t="s">
        <v>781</v>
      </c>
      <c r="H331" t="s">
        <v>29</v>
      </c>
      <c r="I331" s="28" t="s">
        <v>28</v>
      </c>
    </row>
    <row r="332" spans="1:9" x14ac:dyDescent="0.3">
      <c r="A332" s="26">
        <v>45324</v>
      </c>
      <c r="B332" t="s">
        <v>810</v>
      </c>
      <c r="C332" t="s">
        <v>834</v>
      </c>
      <c r="D332">
        <v>2.83</v>
      </c>
      <c r="E332" t="s">
        <v>7</v>
      </c>
      <c r="F332" t="s">
        <v>772</v>
      </c>
      <c r="G332" t="s">
        <v>1124</v>
      </c>
      <c r="H332" t="s">
        <v>29</v>
      </c>
      <c r="I332" s="28" t="s">
        <v>28</v>
      </c>
    </row>
    <row r="333" spans="1:9" x14ac:dyDescent="0.3">
      <c r="A333" s="26">
        <v>45324</v>
      </c>
      <c r="B333" t="s">
        <v>810</v>
      </c>
      <c r="C333" t="s">
        <v>874</v>
      </c>
      <c r="D333">
        <v>1.17</v>
      </c>
      <c r="E333" t="s">
        <v>7</v>
      </c>
      <c r="F333" t="s">
        <v>772</v>
      </c>
      <c r="G333" t="s">
        <v>1125</v>
      </c>
      <c r="H333" t="s">
        <v>29</v>
      </c>
      <c r="I333" s="28" t="s">
        <v>28</v>
      </c>
    </row>
    <row r="334" spans="1:9" x14ac:dyDescent="0.3">
      <c r="A334" s="26">
        <v>45324</v>
      </c>
      <c r="B334" t="s">
        <v>829</v>
      </c>
      <c r="C334" t="s">
        <v>753</v>
      </c>
      <c r="D334">
        <v>0.13</v>
      </c>
      <c r="E334" t="s">
        <v>375</v>
      </c>
      <c r="F334" t="s">
        <v>754</v>
      </c>
      <c r="G334" t="s">
        <v>1012</v>
      </c>
      <c r="H334" t="s">
        <v>29</v>
      </c>
      <c r="I334" s="28" t="s">
        <v>28</v>
      </c>
    </row>
    <row r="335" spans="1:9" x14ac:dyDescent="0.3">
      <c r="A335" s="26">
        <v>45324</v>
      </c>
      <c r="B335" t="s">
        <v>829</v>
      </c>
      <c r="C335" t="s">
        <v>753</v>
      </c>
      <c r="D335">
        <v>0.18</v>
      </c>
      <c r="E335" t="s">
        <v>845</v>
      </c>
      <c r="F335" t="s">
        <v>772</v>
      </c>
      <c r="G335" t="s">
        <v>1126</v>
      </c>
      <c r="H335" t="s">
        <v>29</v>
      </c>
      <c r="I335" s="28" t="s">
        <v>28</v>
      </c>
    </row>
    <row r="336" spans="1:9" x14ac:dyDescent="0.3">
      <c r="A336" s="26">
        <v>45324</v>
      </c>
      <c r="B336" t="s">
        <v>829</v>
      </c>
      <c r="C336" t="s">
        <v>753</v>
      </c>
      <c r="D336">
        <v>0.47</v>
      </c>
      <c r="E336" t="s">
        <v>857</v>
      </c>
      <c r="F336" t="s">
        <v>754</v>
      </c>
      <c r="G336" t="s">
        <v>1127</v>
      </c>
      <c r="H336" t="s">
        <v>29</v>
      </c>
      <c r="I336" s="28" t="s">
        <v>28</v>
      </c>
    </row>
    <row r="337" spans="1:9" x14ac:dyDescent="0.3">
      <c r="A337" s="26">
        <v>45324</v>
      </c>
      <c r="B337" t="s">
        <v>829</v>
      </c>
      <c r="C337" t="s">
        <v>753</v>
      </c>
      <c r="D337">
        <v>0.82</v>
      </c>
      <c r="E337" t="s">
        <v>845</v>
      </c>
      <c r="F337" t="s">
        <v>772</v>
      </c>
      <c r="G337" t="s">
        <v>1128</v>
      </c>
      <c r="H337" t="s">
        <v>29</v>
      </c>
      <c r="I337" s="28" t="s">
        <v>28</v>
      </c>
    </row>
    <row r="338" spans="1:9" x14ac:dyDescent="0.3">
      <c r="A338" s="26">
        <v>45324</v>
      </c>
      <c r="B338" t="s">
        <v>829</v>
      </c>
      <c r="C338" t="s">
        <v>753</v>
      </c>
      <c r="D338">
        <v>1.02</v>
      </c>
      <c r="E338" t="s">
        <v>845</v>
      </c>
      <c r="F338" t="s">
        <v>772</v>
      </c>
      <c r="G338" t="s">
        <v>1129</v>
      </c>
      <c r="H338" t="s">
        <v>29</v>
      </c>
      <c r="I338" s="28" t="s">
        <v>28</v>
      </c>
    </row>
    <row r="339" spans="1:9" x14ac:dyDescent="0.3">
      <c r="A339" s="26">
        <v>45324</v>
      </c>
      <c r="B339" t="s">
        <v>829</v>
      </c>
      <c r="C339" t="s">
        <v>786</v>
      </c>
      <c r="D339">
        <v>0.23</v>
      </c>
      <c r="E339" t="s">
        <v>7</v>
      </c>
      <c r="F339" t="s">
        <v>754</v>
      </c>
      <c r="G339" t="s">
        <v>1130</v>
      </c>
      <c r="H339" t="s">
        <v>29</v>
      </c>
      <c r="I339" s="28" t="s">
        <v>28</v>
      </c>
    </row>
    <row r="340" spans="1:9" x14ac:dyDescent="0.3">
      <c r="A340" s="26">
        <v>45324</v>
      </c>
      <c r="B340" t="s">
        <v>829</v>
      </c>
      <c r="C340" t="s">
        <v>771</v>
      </c>
      <c r="D340">
        <v>0.22</v>
      </c>
      <c r="E340" t="s">
        <v>7</v>
      </c>
      <c r="F340" t="s">
        <v>772</v>
      </c>
      <c r="G340" t="s">
        <v>1131</v>
      </c>
      <c r="H340" t="s">
        <v>29</v>
      </c>
      <c r="I340" s="28" t="s">
        <v>28</v>
      </c>
    </row>
    <row r="341" spans="1:9" x14ac:dyDescent="0.3">
      <c r="A341" s="26">
        <v>45324</v>
      </c>
      <c r="B341" t="s">
        <v>829</v>
      </c>
      <c r="C341" t="s">
        <v>771</v>
      </c>
      <c r="D341">
        <v>0.42</v>
      </c>
      <c r="E341" t="s">
        <v>7</v>
      </c>
      <c r="F341" t="s">
        <v>772</v>
      </c>
      <c r="G341" t="s">
        <v>1132</v>
      </c>
      <c r="H341" t="s">
        <v>29</v>
      </c>
      <c r="I341" s="28" t="s">
        <v>28</v>
      </c>
    </row>
    <row r="342" spans="1:9" x14ac:dyDescent="0.3">
      <c r="A342" s="26">
        <v>45324</v>
      </c>
      <c r="B342" t="s">
        <v>829</v>
      </c>
      <c r="C342" t="s">
        <v>771</v>
      </c>
      <c r="D342">
        <v>0.65</v>
      </c>
      <c r="E342" t="s">
        <v>7</v>
      </c>
      <c r="F342" t="s">
        <v>772</v>
      </c>
      <c r="G342" t="s">
        <v>1133</v>
      </c>
      <c r="H342" t="s">
        <v>29</v>
      </c>
      <c r="I342" s="28" t="s">
        <v>28</v>
      </c>
    </row>
    <row r="343" spans="1:9" x14ac:dyDescent="0.3">
      <c r="A343" s="26">
        <v>45324</v>
      </c>
      <c r="B343" t="s">
        <v>829</v>
      </c>
      <c r="C343" t="s">
        <v>834</v>
      </c>
      <c r="D343">
        <v>0.6</v>
      </c>
      <c r="E343" t="s">
        <v>7</v>
      </c>
      <c r="F343" t="s">
        <v>772</v>
      </c>
      <c r="G343" t="s">
        <v>1134</v>
      </c>
      <c r="H343" t="s">
        <v>29</v>
      </c>
      <c r="I343" s="28" t="s">
        <v>28</v>
      </c>
    </row>
    <row r="344" spans="1:9" x14ac:dyDescent="0.3">
      <c r="A344" s="26">
        <v>45324</v>
      </c>
      <c r="B344" t="s">
        <v>829</v>
      </c>
      <c r="C344" t="s">
        <v>835</v>
      </c>
      <c r="D344">
        <v>0.53</v>
      </c>
      <c r="E344" t="s">
        <v>898</v>
      </c>
      <c r="F344" t="s">
        <v>754</v>
      </c>
      <c r="G344" t="s">
        <v>1135</v>
      </c>
      <c r="H344" t="s">
        <v>29</v>
      </c>
      <c r="I344" s="28" t="s">
        <v>28</v>
      </c>
    </row>
    <row r="345" spans="1:9" x14ac:dyDescent="0.3">
      <c r="A345" s="26">
        <v>45324</v>
      </c>
      <c r="B345" t="s">
        <v>829</v>
      </c>
      <c r="C345" t="s">
        <v>835</v>
      </c>
      <c r="D345">
        <v>0.7</v>
      </c>
      <c r="E345" t="s">
        <v>375</v>
      </c>
      <c r="F345" t="s">
        <v>754</v>
      </c>
      <c r="G345" t="s">
        <v>1136</v>
      </c>
      <c r="H345" t="s">
        <v>29</v>
      </c>
      <c r="I345" s="28" t="s">
        <v>28</v>
      </c>
    </row>
    <row r="346" spans="1:9" x14ac:dyDescent="0.3">
      <c r="A346" s="26">
        <v>45324</v>
      </c>
      <c r="B346" t="s">
        <v>829</v>
      </c>
      <c r="C346" t="s">
        <v>874</v>
      </c>
      <c r="D346">
        <v>0.87</v>
      </c>
      <c r="E346" t="s">
        <v>7</v>
      </c>
      <c r="F346" t="s">
        <v>772</v>
      </c>
      <c r="G346" t="s">
        <v>1137</v>
      </c>
      <c r="H346" t="s">
        <v>29</v>
      </c>
      <c r="I346" s="28" t="s">
        <v>28</v>
      </c>
    </row>
    <row r="347" spans="1:9" x14ac:dyDescent="0.3">
      <c r="A347" s="26">
        <v>45324</v>
      </c>
      <c r="B347" t="s">
        <v>829</v>
      </c>
      <c r="C347" t="s">
        <v>874</v>
      </c>
      <c r="D347">
        <v>1.17</v>
      </c>
      <c r="E347" t="s">
        <v>7</v>
      </c>
      <c r="F347" t="s">
        <v>772</v>
      </c>
      <c r="G347" t="s">
        <v>1138</v>
      </c>
      <c r="H347" t="s">
        <v>29</v>
      </c>
      <c r="I347" s="28" t="s">
        <v>28</v>
      </c>
    </row>
    <row r="348" spans="1:9" x14ac:dyDescent="0.3">
      <c r="A348" s="26">
        <v>45324</v>
      </c>
      <c r="B348" t="s">
        <v>840</v>
      </c>
      <c r="C348" t="s">
        <v>771</v>
      </c>
      <c r="D348">
        <v>9.48</v>
      </c>
      <c r="E348" t="s">
        <v>7</v>
      </c>
      <c r="F348" t="s">
        <v>772</v>
      </c>
      <c r="G348" t="s">
        <v>1139</v>
      </c>
      <c r="H348" t="s">
        <v>29</v>
      </c>
      <c r="I348" s="28" t="s">
        <v>28</v>
      </c>
    </row>
    <row r="349" spans="1:9" x14ac:dyDescent="0.3">
      <c r="A349" s="26">
        <v>45324</v>
      </c>
      <c r="B349" t="s">
        <v>843</v>
      </c>
      <c r="C349" t="s">
        <v>753</v>
      </c>
      <c r="D349">
        <v>1.25</v>
      </c>
      <c r="E349" t="s">
        <v>234</v>
      </c>
      <c r="F349" t="s">
        <v>754</v>
      </c>
      <c r="G349" t="s">
        <v>1140</v>
      </c>
      <c r="H349" t="s">
        <v>29</v>
      </c>
      <c r="I349" s="28" t="s">
        <v>28</v>
      </c>
    </row>
    <row r="350" spans="1:9" x14ac:dyDescent="0.3">
      <c r="A350" s="26">
        <v>45324</v>
      </c>
      <c r="B350" t="s">
        <v>843</v>
      </c>
      <c r="C350" t="s">
        <v>753</v>
      </c>
      <c r="D350">
        <v>1.47</v>
      </c>
      <c r="E350" t="s">
        <v>234</v>
      </c>
      <c r="F350" t="s">
        <v>772</v>
      </c>
      <c r="G350" t="s">
        <v>1141</v>
      </c>
      <c r="H350" t="s">
        <v>29</v>
      </c>
      <c r="I350" s="28" t="s">
        <v>28</v>
      </c>
    </row>
    <row r="351" spans="1:9" x14ac:dyDescent="0.3">
      <c r="A351" s="26">
        <v>45324</v>
      </c>
      <c r="B351" t="s">
        <v>843</v>
      </c>
      <c r="C351" t="s">
        <v>853</v>
      </c>
      <c r="D351">
        <v>1.35</v>
      </c>
      <c r="E351" t="s">
        <v>259</v>
      </c>
      <c r="F351" t="s">
        <v>754</v>
      </c>
      <c r="G351" t="s">
        <v>1142</v>
      </c>
      <c r="H351" t="s">
        <v>29</v>
      </c>
      <c r="I351" s="28" t="s">
        <v>28</v>
      </c>
    </row>
    <row r="352" spans="1:9" x14ac:dyDescent="0.3">
      <c r="A352" s="26">
        <v>45324</v>
      </c>
      <c r="B352" t="s">
        <v>843</v>
      </c>
      <c r="C352" t="s">
        <v>853</v>
      </c>
      <c r="D352">
        <v>1.5</v>
      </c>
      <c r="E352" t="s">
        <v>259</v>
      </c>
      <c r="F352" t="s">
        <v>754</v>
      </c>
      <c r="G352" t="s">
        <v>1143</v>
      </c>
      <c r="H352" t="s">
        <v>29</v>
      </c>
      <c r="I352" s="28" t="s">
        <v>28</v>
      </c>
    </row>
    <row r="353" spans="1:9" x14ac:dyDescent="0.3">
      <c r="A353" s="26">
        <v>45324</v>
      </c>
      <c r="B353" t="s">
        <v>843</v>
      </c>
      <c r="C353" t="s">
        <v>771</v>
      </c>
      <c r="D353">
        <v>0.25</v>
      </c>
      <c r="E353" t="s">
        <v>999</v>
      </c>
      <c r="F353" t="s">
        <v>772</v>
      </c>
      <c r="G353" t="s">
        <v>781</v>
      </c>
      <c r="H353" t="s">
        <v>29</v>
      </c>
      <c r="I353" s="28" t="s">
        <v>28</v>
      </c>
    </row>
    <row r="354" spans="1:9" x14ac:dyDescent="0.3">
      <c r="A354" s="26">
        <v>45324</v>
      </c>
      <c r="B354" t="s">
        <v>843</v>
      </c>
      <c r="C354" t="s">
        <v>771</v>
      </c>
      <c r="D354">
        <v>0.25</v>
      </c>
      <c r="E354" t="s">
        <v>7</v>
      </c>
      <c r="F354" t="s">
        <v>772</v>
      </c>
      <c r="G354" t="s">
        <v>781</v>
      </c>
      <c r="H354" t="s">
        <v>29</v>
      </c>
      <c r="I354" s="28" t="s">
        <v>28</v>
      </c>
    </row>
    <row r="355" spans="1:9" x14ac:dyDescent="0.3">
      <c r="A355" s="26">
        <v>45324</v>
      </c>
      <c r="B355" t="s">
        <v>843</v>
      </c>
      <c r="C355" t="s">
        <v>874</v>
      </c>
      <c r="D355">
        <v>0.82</v>
      </c>
      <c r="E355" t="s">
        <v>7</v>
      </c>
      <c r="F355" t="s">
        <v>772</v>
      </c>
      <c r="G355" t="s">
        <v>1144</v>
      </c>
      <c r="H355" t="s">
        <v>29</v>
      </c>
      <c r="I355" s="28" t="s">
        <v>28</v>
      </c>
    </row>
    <row r="356" spans="1:9" x14ac:dyDescent="0.3">
      <c r="A356" s="26">
        <v>45324</v>
      </c>
      <c r="B356" t="s">
        <v>843</v>
      </c>
      <c r="C356" t="s">
        <v>874</v>
      </c>
      <c r="D356">
        <v>1.1200000000000001</v>
      </c>
      <c r="E356" t="s">
        <v>7</v>
      </c>
      <c r="F356" t="s">
        <v>772</v>
      </c>
      <c r="G356" t="s">
        <v>1110</v>
      </c>
      <c r="H356" t="s">
        <v>29</v>
      </c>
      <c r="I356" s="28" t="s">
        <v>28</v>
      </c>
    </row>
    <row r="357" spans="1:9" x14ac:dyDescent="0.3">
      <c r="A357" s="26">
        <v>45324</v>
      </c>
      <c r="B357" t="s">
        <v>856</v>
      </c>
      <c r="C357" t="s">
        <v>753</v>
      </c>
      <c r="D357">
        <v>0.1</v>
      </c>
      <c r="E357" t="s">
        <v>173</v>
      </c>
      <c r="F357" t="s">
        <v>754</v>
      </c>
      <c r="G357" t="s">
        <v>1145</v>
      </c>
      <c r="H357" t="s">
        <v>29</v>
      </c>
      <c r="I357" s="28" t="s">
        <v>28</v>
      </c>
    </row>
    <row r="358" spans="1:9" x14ac:dyDescent="0.3">
      <c r="A358" s="26">
        <v>45324</v>
      </c>
      <c r="B358" t="s">
        <v>856</v>
      </c>
      <c r="C358" t="s">
        <v>753</v>
      </c>
      <c r="D358">
        <v>0.48</v>
      </c>
      <c r="E358" t="s">
        <v>857</v>
      </c>
      <c r="F358" t="s">
        <v>754</v>
      </c>
      <c r="G358" t="s">
        <v>1146</v>
      </c>
      <c r="H358" t="s">
        <v>29</v>
      </c>
      <c r="I358" s="28" t="s">
        <v>28</v>
      </c>
    </row>
    <row r="359" spans="1:9" x14ac:dyDescent="0.3">
      <c r="A359" s="26">
        <v>45324</v>
      </c>
      <c r="B359" t="s">
        <v>856</v>
      </c>
      <c r="C359" t="s">
        <v>753</v>
      </c>
      <c r="D359">
        <v>1.07</v>
      </c>
      <c r="E359" t="s">
        <v>173</v>
      </c>
      <c r="F359" t="s">
        <v>754</v>
      </c>
      <c r="G359" t="s">
        <v>1147</v>
      </c>
      <c r="H359" t="s">
        <v>29</v>
      </c>
      <c r="I359" s="28" t="s">
        <v>28</v>
      </c>
    </row>
    <row r="360" spans="1:9" x14ac:dyDescent="0.3">
      <c r="A360" s="26">
        <v>45324</v>
      </c>
      <c r="B360" t="s">
        <v>856</v>
      </c>
      <c r="C360" t="s">
        <v>753</v>
      </c>
      <c r="D360">
        <v>4.43</v>
      </c>
      <c r="E360" t="s">
        <v>857</v>
      </c>
      <c r="F360" t="s">
        <v>754</v>
      </c>
      <c r="G360" t="s">
        <v>863</v>
      </c>
      <c r="H360" t="s">
        <v>29</v>
      </c>
      <c r="I360" s="28" t="s">
        <v>28</v>
      </c>
    </row>
    <row r="361" spans="1:9" x14ac:dyDescent="0.3">
      <c r="A361" s="26">
        <v>45324</v>
      </c>
      <c r="B361" t="s">
        <v>856</v>
      </c>
      <c r="C361" t="s">
        <v>874</v>
      </c>
      <c r="D361">
        <v>0.53</v>
      </c>
      <c r="E361" t="s">
        <v>7</v>
      </c>
      <c r="F361" t="s">
        <v>772</v>
      </c>
      <c r="G361" t="s">
        <v>1148</v>
      </c>
      <c r="H361" t="s">
        <v>29</v>
      </c>
      <c r="I361" s="28" t="s">
        <v>28</v>
      </c>
    </row>
    <row r="362" spans="1:9" x14ac:dyDescent="0.3">
      <c r="A362" s="26">
        <v>45324</v>
      </c>
      <c r="B362" t="s">
        <v>856</v>
      </c>
      <c r="C362" t="s">
        <v>874</v>
      </c>
      <c r="D362">
        <v>1.08</v>
      </c>
      <c r="E362" t="s">
        <v>7</v>
      </c>
      <c r="F362" t="s">
        <v>772</v>
      </c>
      <c r="G362" t="s">
        <v>1090</v>
      </c>
      <c r="H362" t="s">
        <v>29</v>
      </c>
      <c r="I362" s="28" t="s">
        <v>28</v>
      </c>
    </row>
    <row r="363" spans="1:9" x14ac:dyDescent="0.3">
      <c r="A363" s="26">
        <v>45324</v>
      </c>
      <c r="B363" t="s">
        <v>856</v>
      </c>
      <c r="C363" t="s">
        <v>776</v>
      </c>
      <c r="D363">
        <v>0.43</v>
      </c>
      <c r="E363" t="s">
        <v>589</v>
      </c>
      <c r="F363" t="s">
        <v>754</v>
      </c>
      <c r="G363" t="s">
        <v>1149</v>
      </c>
      <c r="H363" t="s">
        <v>29</v>
      </c>
      <c r="I363" s="28" t="s">
        <v>28</v>
      </c>
    </row>
    <row r="364" spans="1:9" x14ac:dyDescent="0.3">
      <c r="A364" s="26">
        <v>45324</v>
      </c>
      <c r="B364" t="s">
        <v>33</v>
      </c>
      <c r="C364" t="s">
        <v>753</v>
      </c>
      <c r="D364">
        <v>0.5</v>
      </c>
      <c r="E364" t="s">
        <v>1150</v>
      </c>
      <c r="F364" t="s">
        <v>754</v>
      </c>
      <c r="G364" t="s">
        <v>1151</v>
      </c>
      <c r="H364" t="s">
        <v>29</v>
      </c>
      <c r="I364" s="28" t="s">
        <v>28</v>
      </c>
    </row>
    <row r="365" spans="1:9" x14ac:dyDescent="0.3">
      <c r="A365" s="26">
        <v>45324</v>
      </c>
      <c r="B365" t="s">
        <v>33</v>
      </c>
      <c r="C365" t="s">
        <v>753</v>
      </c>
      <c r="D365">
        <v>1.1000000000000001</v>
      </c>
      <c r="E365" t="s">
        <v>898</v>
      </c>
      <c r="F365" t="s">
        <v>754</v>
      </c>
      <c r="G365" t="s">
        <v>1152</v>
      </c>
      <c r="H365" t="s">
        <v>29</v>
      </c>
      <c r="I365" s="28" t="s">
        <v>28</v>
      </c>
    </row>
    <row r="366" spans="1:9" x14ac:dyDescent="0.3">
      <c r="A366" s="26">
        <v>45324</v>
      </c>
      <c r="B366" t="s">
        <v>33</v>
      </c>
      <c r="C366" t="s">
        <v>753</v>
      </c>
      <c r="D366">
        <v>1.1499999999999999</v>
      </c>
      <c r="E366" t="s">
        <v>1150</v>
      </c>
      <c r="F366" t="s">
        <v>754</v>
      </c>
      <c r="G366" t="s">
        <v>1153</v>
      </c>
      <c r="H366" t="s">
        <v>29</v>
      </c>
      <c r="I366" s="28" t="s">
        <v>28</v>
      </c>
    </row>
    <row r="367" spans="1:9" x14ac:dyDescent="0.3">
      <c r="A367" s="26">
        <v>45324</v>
      </c>
      <c r="B367" t="s">
        <v>33</v>
      </c>
      <c r="C367" t="s">
        <v>753</v>
      </c>
      <c r="D367">
        <v>2.7</v>
      </c>
      <c r="E367" t="s">
        <v>898</v>
      </c>
      <c r="F367" t="s">
        <v>754</v>
      </c>
      <c r="G367" t="s">
        <v>1154</v>
      </c>
      <c r="H367" t="s">
        <v>29</v>
      </c>
      <c r="I367" s="28" t="s">
        <v>28</v>
      </c>
    </row>
    <row r="368" spans="1:9" x14ac:dyDescent="0.3">
      <c r="A368" s="26">
        <v>45324</v>
      </c>
      <c r="B368" t="s">
        <v>33</v>
      </c>
      <c r="C368" t="s">
        <v>771</v>
      </c>
      <c r="D368">
        <v>0.25</v>
      </c>
      <c r="E368" t="s">
        <v>7</v>
      </c>
      <c r="F368" t="s">
        <v>772</v>
      </c>
      <c r="G368" t="s">
        <v>1155</v>
      </c>
      <c r="H368" t="s">
        <v>29</v>
      </c>
      <c r="I368" s="28" t="s">
        <v>28</v>
      </c>
    </row>
    <row r="369" spans="1:9" x14ac:dyDescent="0.3">
      <c r="A369" s="26">
        <v>45324</v>
      </c>
      <c r="B369" t="s">
        <v>33</v>
      </c>
      <c r="C369" t="s">
        <v>771</v>
      </c>
      <c r="D369">
        <v>0.3</v>
      </c>
      <c r="E369" t="s">
        <v>7</v>
      </c>
      <c r="F369" t="s">
        <v>772</v>
      </c>
      <c r="G369" t="s">
        <v>1156</v>
      </c>
      <c r="H369" t="s">
        <v>29</v>
      </c>
      <c r="I369" s="28" t="s">
        <v>28</v>
      </c>
    </row>
    <row r="370" spans="1:9" x14ac:dyDescent="0.3">
      <c r="A370" s="26">
        <v>45324</v>
      </c>
      <c r="B370" t="s">
        <v>33</v>
      </c>
      <c r="C370" t="s">
        <v>771</v>
      </c>
      <c r="D370">
        <v>0.37</v>
      </c>
      <c r="E370" t="s">
        <v>7</v>
      </c>
      <c r="F370" t="s">
        <v>772</v>
      </c>
      <c r="G370" t="s">
        <v>1157</v>
      </c>
      <c r="H370" t="s">
        <v>29</v>
      </c>
      <c r="I370" s="28" t="s">
        <v>28</v>
      </c>
    </row>
    <row r="371" spans="1:9" x14ac:dyDescent="0.3">
      <c r="A371" s="26">
        <v>45324</v>
      </c>
      <c r="B371" t="s">
        <v>33</v>
      </c>
      <c r="C371" t="s">
        <v>771</v>
      </c>
      <c r="D371">
        <v>0.37</v>
      </c>
      <c r="E371" t="s">
        <v>7</v>
      </c>
      <c r="F371" t="s">
        <v>772</v>
      </c>
      <c r="G371" t="s">
        <v>1158</v>
      </c>
      <c r="H371" t="s">
        <v>29</v>
      </c>
      <c r="I371" s="28" t="s">
        <v>28</v>
      </c>
    </row>
    <row r="372" spans="1:9" x14ac:dyDescent="0.3">
      <c r="A372" s="26">
        <v>45324</v>
      </c>
      <c r="B372" t="s">
        <v>33</v>
      </c>
      <c r="C372" t="s">
        <v>771</v>
      </c>
      <c r="D372">
        <v>0.62</v>
      </c>
      <c r="E372" t="s">
        <v>7</v>
      </c>
      <c r="F372" t="s">
        <v>772</v>
      </c>
      <c r="G372" t="s">
        <v>1159</v>
      </c>
      <c r="H372" t="s">
        <v>29</v>
      </c>
      <c r="I372" s="28" t="s">
        <v>28</v>
      </c>
    </row>
    <row r="373" spans="1:9" x14ac:dyDescent="0.3">
      <c r="A373" s="26">
        <v>45324</v>
      </c>
      <c r="B373" t="s">
        <v>33</v>
      </c>
      <c r="C373" t="s">
        <v>835</v>
      </c>
      <c r="D373">
        <v>0.45</v>
      </c>
      <c r="E373" t="s">
        <v>375</v>
      </c>
      <c r="F373" t="s">
        <v>754</v>
      </c>
      <c r="G373" t="s">
        <v>1160</v>
      </c>
      <c r="H373" t="s">
        <v>29</v>
      </c>
      <c r="I373" s="28" t="s">
        <v>28</v>
      </c>
    </row>
    <row r="374" spans="1:9" x14ac:dyDescent="0.3">
      <c r="A374" s="26">
        <v>45324</v>
      </c>
      <c r="B374" t="s">
        <v>33</v>
      </c>
      <c r="C374" t="s">
        <v>776</v>
      </c>
      <c r="D374">
        <v>0.48</v>
      </c>
      <c r="E374" t="s">
        <v>11</v>
      </c>
      <c r="F374" t="s">
        <v>772</v>
      </c>
      <c r="G374" t="s">
        <v>1161</v>
      </c>
      <c r="H374" t="s">
        <v>29</v>
      </c>
      <c r="I374" s="28" t="s">
        <v>28</v>
      </c>
    </row>
    <row r="375" spans="1:9" x14ac:dyDescent="0.3">
      <c r="A375" s="26">
        <v>45324</v>
      </c>
      <c r="B375" t="s">
        <v>876</v>
      </c>
      <c r="C375" t="s">
        <v>753</v>
      </c>
      <c r="D375">
        <v>0.25</v>
      </c>
      <c r="E375" t="s">
        <v>664</v>
      </c>
      <c r="F375" t="s">
        <v>754</v>
      </c>
      <c r="G375" t="s">
        <v>1092</v>
      </c>
      <c r="H375" t="s">
        <v>29</v>
      </c>
      <c r="I375" s="28" t="s">
        <v>28</v>
      </c>
    </row>
    <row r="376" spans="1:9" x14ac:dyDescent="0.3">
      <c r="A376" s="26">
        <v>45324</v>
      </c>
      <c r="B376" t="s">
        <v>876</v>
      </c>
      <c r="C376" t="s">
        <v>753</v>
      </c>
      <c r="D376">
        <v>6.62</v>
      </c>
      <c r="E376" t="s">
        <v>11</v>
      </c>
      <c r="F376" t="s">
        <v>754</v>
      </c>
      <c r="H376" t="s">
        <v>29</v>
      </c>
      <c r="I376" s="28" t="s">
        <v>28</v>
      </c>
    </row>
    <row r="377" spans="1:9" x14ac:dyDescent="0.3">
      <c r="A377" s="26">
        <v>45324</v>
      </c>
      <c r="B377" t="s">
        <v>876</v>
      </c>
      <c r="C377" t="s">
        <v>874</v>
      </c>
      <c r="D377">
        <v>0.97</v>
      </c>
      <c r="E377" t="s">
        <v>7</v>
      </c>
      <c r="F377" t="s">
        <v>772</v>
      </c>
      <c r="G377" t="s">
        <v>1162</v>
      </c>
      <c r="H377" t="s">
        <v>29</v>
      </c>
      <c r="I377" s="28" t="s">
        <v>28</v>
      </c>
    </row>
    <row r="378" spans="1:9" x14ac:dyDescent="0.3">
      <c r="A378" s="26">
        <v>45324</v>
      </c>
      <c r="B378" t="s">
        <v>884</v>
      </c>
      <c r="C378" t="s">
        <v>1163</v>
      </c>
      <c r="D378">
        <v>4</v>
      </c>
      <c r="E378" t="s">
        <v>7</v>
      </c>
      <c r="F378" t="s">
        <v>772</v>
      </c>
      <c r="G378" t="s">
        <v>1164</v>
      </c>
      <c r="H378" t="s">
        <v>29</v>
      </c>
      <c r="I378" s="28" t="s">
        <v>28</v>
      </c>
    </row>
    <row r="379" spans="1:9" x14ac:dyDescent="0.3">
      <c r="A379" s="26">
        <v>45324</v>
      </c>
      <c r="B379" t="s">
        <v>884</v>
      </c>
      <c r="C379" t="s">
        <v>753</v>
      </c>
      <c r="D379">
        <v>0.33</v>
      </c>
      <c r="E379" t="s">
        <v>646</v>
      </c>
      <c r="F379" t="s">
        <v>754</v>
      </c>
      <c r="H379" t="s">
        <v>29</v>
      </c>
      <c r="I379" s="28" t="s">
        <v>28</v>
      </c>
    </row>
    <row r="380" spans="1:9" x14ac:dyDescent="0.3">
      <c r="A380" s="26">
        <v>45324</v>
      </c>
      <c r="B380" t="s">
        <v>884</v>
      </c>
      <c r="C380" t="s">
        <v>753</v>
      </c>
      <c r="D380">
        <v>0.47</v>
      </c>
      <c r="E380" t="s">
        <v>885</v>
      </c>
      <c r="F380" t="s">
        <v>754</v>
      </c>
      <c r="G380" t="s">
        <v>1165</v>
      </c>
      <c r="H380" t="s">
        <v>29</v>
      </c>
      <c r="I380" s="28" t="s">
        <v>28</v>
      </c>
    </row>
    <row r="381" spans="1:9" x14ac:dyDescent="0.3">
      <c r="A381" s="26">
        <v>45324</v>
      </c>
      <c r="B381" t="s">
        <v>884</v>
      </c>
      <c r="C381" t="s">
        <v>753</v>
      </c>
      <c r="D381">
        <v>0.5</v>
      </c>
      <c r="E381" t="s">
        <v>646</v>
      </c>
      <c r="F381" t="s">
        <v>754</v>
      </c>
      <c r="G381" t="s">
        <v>1166</v>
      </c>
      <c r="H381" t="s">
        <v>29</v>
      </c>
      <c r="I381" s="28" t="s">
        <v>28</v>
      </c>
    </row>
    <row r="382" spans="1:9" x14ac:dyDescent="0.3">
      <c r="A382" s="26">
        <v>45324</v>
      </c>
      <c r="B382" t="s">
        <v>884</v>
      </c>
      <c r="C382" t="s">
        <v>753</v>
      </c>
      <c r="D382">
        <v>0.93</v>
      </c>
      <c r="E382" t="s">
        <v>562</v>
      </c>
      <c r="F382" t="s">
        <v>754</v>
      </c>
      <c r="G382" t="s">
        <v>1167</v>
      </c>
      <c r="H382" t="s">
        <v>29</v>
      </c>
      <c r="I382" s="28" t="s">
        <v>28</v>
      </c>
    </row>
    <row r="383" spans="1:9" x14ac:dyDescent="0.3">
      <c r="A383" s="26">
        <v>45324</v>
      </c>
      <c r="B383" t="s">
        <v>884</v>
      </c>
      <c r="C383" t="s">
        <v>753</v>
      </c>
      <c r="D383">
        <v>0.97</v>
      </c>
      <c r="E383" t="s">
        <v>248</v>
      </c>
      <c r="F383" t="s">
        <v>754</v>
      </c>
      <c r="G383" t="s">
        <v>1168</v>
      </c>
      <c r="H383" t="s">
        <v>29</v>
      </c>
      <c r="I383" s="28" t="s">
        <v>28</v>
      </c>
    </row>
    <row r="384" spans="1:9" x14ac:dyDescent="0.3">
      <c r="A384" s="26">
        <v>45324</v>
      </c>
      <c r="B384" t="s">
        <v>884</v>
      </c>
      <c r="C384" t="s">
        <v>753</v>
      </c>
      <c r="D384">
        <v>1.17</v>
      </c>
      <c r="E384" t="s">
        <v>375</v>
      </c>
      <c r="F384" t="s">
        <v>754</v>
      </c>
      <c r="G384" t="s">
        <v>1169</v>
      </c>
      <c r="H384" t="s">
        <v>29</v>
      </c>
      <c r="I384" s="28" t="s">
        <v>28</v>
      </c>
    </row>
    <row r="385" spans="1:9" x14ac:dyDescent="0.3">
      <c r="A385" s="26">
        <v>45324</v>
      </c>
      <c r="B385" t="s">
        <v>884</v>
      </c>
      <c r="C385" t="s">
        <v>753</v>
      </c>
      <c r="D385">
        <v>1.18</v>
      </c>
      <c r="E385" t="s">
        <v>375</v>
      </c>
      <c r="F385" t="s">
        <v>754</v>
      </c>
      <c r="H385" t="s">
        <v>29</v>
      </c>
      <c r="I385" s="28" t="s">
        <v>28</v>
      </c>
    </row>
    <row r="386" spans="1:9" x14ac:dyDescent="0.3">
      <c r="A386" s="26">
        <v>45324</v>
      </c>
      <c r="B386" t="s">
        <v>891</v>
      </c>
      <c r="C386" t="s">
        <v>802</v>
      </c>
      <c r="D386">
        <v>8</v>
      </c>
      <c r="E386" t="s">
        <v>7</v>
      </c>
      <c r="F386" t="s">
        <v>772</v>
      </c>
      <c r="G386" t="s">
        <v>892</v>
      </c>
      <c r="H386" t="s">
        <v>29</v>
      </c>
      <c r="I386" s="28" t="s">
        <v>28</v>
      </c>
    </row>
    <row r="387" spans="1:9" x14ac:dyDescent="0.3">
      <c r="A387" s="26">
        <v>45324</v>
      </c>
      <c r="B387" t="s">
        <v>34</v>
      </c>
      <c r="C387" t="s">
        <v>802</v>
      </c>
      <c r="D387">
        <v>8</v>
      </c>
      <c r="E387" t="s">
        <v>7</v>
      </c>
      <c r="F387" t="s">
        <v>772</v>
      </c>
      <c r="H387" t="s">
        <v>29</v>
      </c>
      <c r="I387" s="28" t="s">
        <v>28</v>
      </c>
    </row>
    <row r="388" spans="1:9" x14ac:dyDescent="0.3">
      <c r="A388" s="26">
        <v>45324</v>
      </c>
      <c r="B388" t="s">
        <v>893</v>
      </c>
      <c r="C388" t="s">
        <v>802</v>
      </c>
      <c r="D388">
        <v>4</v>
      </c>
      <c r="E388" t="s">
        <v>7</v>
      </c>
      <c r="F388" t="s">
        <v>772</v>
      </c>
      <c r="G388" t="s">
        <v>1170</v>
      </c>
      <c r="H388" t="s">
        <v>29</v>
      </c>
      <c r="I388" s="28" t="s">
        <v>28</v>
      </c>
    </row>
    <row r="389" spans="1:9" x14ac:dyDescent="0.3">
      <c r="A389" s="26">
        <v>45324</v>
      </c>
      <c r="B389" t="s">
        <v>895</v>
      </c>
      <c r="C389" t="s">
        <v>753</v>
      </c>
      <c r="D389">
        <v>7.0000000000000007E-2</v>
      </c>
      <c r="E389" t="s">
        <v>898</v>
      </c>
      <c r="F389" t="s">
        <v>754</v>
      </c>
      <c r="G389" t="s">
        <v>1171</v>
      </c>
      <c r="H389" t="s">
        <v>29</v>
      </c>
      <c r="I389" s="28" t="s">
        <v>28</v>
      </c>
    </row>
    <row r="390" spans="1:9" x14ac:dyDescent="0.3">
      <c r="A390" s="26">
        <v>45324</v>
      </c>
      <c r="B390" t="s">
        <v>895</v>
      </c>
      <c r="C390" t="s">
        <v>753</v>
      </c>
      <c r="D390">
        <v>0.17</v>
      </c>
      <c r="E390" t="s">
        <v>1172</v>
      </c>
      <c r="F390" t="s">
        <v>754</v>
      </c>
      <c r="G390" t="s">
        <v>1173</v>
      </c>
      <c r="H390" t="s">
        <v>29</v>
      </c>
      <c r="I390" s="28" t="s">
        <v>28</v>
      </c>
    </row>
    <row r="391" spans="1:9" x14ac:dyDescent="0.3">
      <c r="A391" s="26">
        <v>45324</v>
      </c>
      <c r="B391" t="s">
        <v>895</v>
      </c>
      <c r="C391" t="s">
        <v>753</v>
      </c>
      <c r="D391">
        <v>0.33</v>
      </c>
      <c r="E391" t="s">
        <v>815</v>
      </c>
      <c r="F391" t="s">
        <v>754</v>
      </c>
      <c r="G391" t="s">
        <v>1174</v>
      </c>
      <c r="H391" t="s">
        <v>29</v>
      </c>
      <c r="I391" s="28" t="s">
        <v>28</v>
      </c>
    </row>
    <row r="392" spans="1:9" x14ac:dyDescent="0.3">
      <c r="A392" s="26">
        <v>45324</v>
      </c>
      <c r="B392" t="s">
        <v>895</v>
      </c>
      <c r="C392" t="s">
        <v>753</v>
      </c>
      <c r="D392">
        <v>0.45</v>
      </c>
      <c r="E392" t="s">
        <v>815</v>
      </c>
      <c r="F392" t="s">
        <v>754</v>
      </c>
      <c r="G392" t="s">
        <v>1175</v>
      </c>
      <c r="H392" t="s">
        <v>29</v>
      </c>
      <c r="I392" s="28" t="s">
        <v>28</v>
      </c>
    </row>
    <row r="393" spans="1:9" x14ac:dyDescent="0.3">
      <c r="A393" s="26">
        <v>45324</v>
      </c>
      <c r="B393" t="s">
        <v>895</v>
      </c>
      <c r="C393" t="s">
        <v>786</v>
      </c>
      <c r="D393">
        <v>0.2</v>
      </c>
      <c r="E393" t="s">
        <v>7</v>
      </c>
      <c r="F393" t="s">
        <v>754</v>
      </c>
      <c r="G393" t="s">
        <v>1176</v>
      </c>
      <c r="H393" t="s">
        <v>29</v>
      </c>
      <c r="I393" s="28" t="s">
        <v>28</v>
      </c>
    </row>
    <row r="394" spans="1:9" x14ac:dyDescent="0.3">
      <c r="A394" s="26">
        <v>45324</v>
      </c>
      <c r="B394" t="s">
        <v>895</v>
      </c>
      <c r="C394" t="s">
        <v>906</v>
      </c>
      <c r="D394">
        <v>0.25</v>
      </c>
      <c r="E394" t="s">
        <v>7</v>
      </c>
      <c r="F394" t="s">
        <v>772</v>
      </c>
      <c r="G394" t="s">
        <v>1177</v>
      </c>
      <c r="H394" t="s">
        <v>29</v>
      </c>
      <c r="I394" s="28" t="s">
        <v>28</v>
      </c>
    </row>
    <row r="395" spans="1:9" x14ac:dyDescent="0.3">
      <c r="A395" s="26">
        <v>45324</v>
      </c>
      <c r="B395" t="s">
        <v>895</v>
      </c>
      <c r="C395" t="s">
        <v>906</v>
      </c>
      <c r="D395">
        <v>0.25</v>
      </c>
      <c r="E395" t="s">
        <v>7</v>
      </c>
      <c r="F395" t="s">
        <v>772</v>
      </c>
      <c r="G395" t="s">
        <v>1178</v>
      </c>
      <c r="H395" t="s">
        <v>29</v>
      </c>
      <c r="I395" s="28" t="s">
        <v>28</v>
      </c>
    </row>
    <row r="396" spans="1:9" x14ac:dyDescent="0.3">
      <c r="A396" s="26">
        <v>45324</v>
      </c>
      <c r="B396" t="s">
        <v>895</v>
      </c>
      <c r="C396" t="s">
        <v>909</v>
      </c>
      <c r="D396">
        <v>0.22</v>
      </c>
      <c r="E396" t="s">
        <v>13</v>
      </c>
      <c r="F396" t="s">
        <v>754</v>
      </c>
      <c r="G396" t="s">
        <v>1179</v>
      </c>
      <c r="H396" t="s">
        <v>29</v>
      </c>
      <c r="I396" s="28" t="s">
        <v>28</v>
      </c>
    </row>
    <row r="397" spans="1:9" x14ac:dyDescent="0.3">
      <c r="A397" s="26">
        <v>45324</v>
      </c>
      <c r="B397" t="s">
        <v>895</v>
      </c>
      <c r="C397" t="s">
        <v>909</v>
      </c>
      <c r="D397">
        <v>0.27</v>
      </c>
      <c r="E397" t="s">
        <v>234</v>
      </c>
      <c r="F397" t="s">
        <v>754</v>
      </c>
      <c r="G397" t="s">
        <v>1180</v>
      </c>
      <c r="H397" t="s">
        <v>29</v>
      </c>
      <c r="I397" s="28" t="s">
        <v>28</v>
      </c>
    </row>
    <row r="398" spans="1:9" x14ac:dyDescent="0.3">
      <c r="A398" s="26">
        <v>45324</v>
      </c>
      <c r="B398" t="s">
        <v>895</v>
      </c>
      <c r="C398" t="s">
        <v>771</v>
      </c>
      <c r="D398">
        <v>0.08</v>
      </c>
      <c r="E398" t="s">
        <v>7</v>
      </c>
      <c r="F398" t="s">
        <v>772</v>
      </c>
      <c r="G398" t="s">
        <v>1181</v>
      </c>
      <c r="H398" t="s">
        <v>29</v>
      </c>
      <c r="I398" s="28" t="s">
        <v>28</v>
      </c>
    </row>
    <row r="399" spans="1:9" x14ac:dyDescent="0.3">
      <c r="A399" s="26">
        <v>45324</v>
      </c>
      <c r="B399" t="s">
        <v>895</v>
      </c>
      <c r="C399" t="s">
        <v>771</v>
      </c>
      <c r="D399">
        <v>0.08</v>
      </c>
      <c r="E399" t="s">
        <v>7</v>
      </c>
      <c r="F399" t="s">
        <v>772</v>
      </c>
      <c r="G399" t="s">
        <v>760</v>
      </c>
      <c r="H399" t="s">
        <v>29</v>
      </c>
      <c r="I399" s="28" t="s">
        <v>28</v>
      </c>
    </row>
    <row r="400" spans="1:9" x14ac:dyDescent="0.3">
      <c r="A400" s="26">
        <v>45324</v>
      </c>
      <c r="B400" t="s">
        <v>895</v>
      </c>
      <c r="C400" t="s">
        <v>771</v>
      </c>
      <c r="D400">
        <v>0.12</v>
      </c>
      <c r="E400" t="s">
        <v>7</v>
      </c>
      <c r="F400" t="s">
        <v>772</v>
      </c>
      <c r="G400" t="s">
        <v>1182</v>
      </c>
      <c r="H400" t="s">
        <v>29</v>
      </c>
      <c r="I400" s="28" t="s">
        <v>28</v>
      </c>
    </row>
    <row r="401" spans="1:9" x14ac:dyDescent="0.3">
      <c r="A401" s="26">
        <v>45324</v>
      </c>
      <c r="B401" t="s">
        <v>895</v>
      </c>
      <c r="C401" t="s">
        <v>771</v>
      </c>
      <c r="D401">
        <v>0.2</v>
      </c>
      <c r="E401" t="s">
        <v>7</v>
      </c>
      <c r="F401" t="s">
        <v>772</v>
      </c>
      <c r="G401" t="s">
        <v>1183</v>
      </c>
      <c r="H401" t="s">
        <v>29</v>
      </c>
      <c r="I401" s="28" t="s">
        <v>28</v>
      </c>
    </row>
    <row r="402" spans="1:9" x14ac:dyDescent="0.3">
      <c r="A402" s="26">
        <v>45324</v>
      </c>
      <c r="B402" t="s">
        <v>895</v>
      </c>
      <c r="C402" t="s">
        <v>771</v>
      </c>
      <c r="D402">
        <v>0.32</v>
      </c>
      <c r="E402" t="s">
        <v>7</v>
      </c>
      <c r="F402" t="s">
        <v>772</v>
      </c>
      <c r="G402" t="s">
        <v>1184</v>
      </c>
      <c r="H402" t="s">
        <v>29</v>
      </c>
      <c r="I402" s="28" t="s">
        <v>28</v>
      </c>
    </row>
    <row r="403" spans="1:9" x14ac:dyDescent="0.3">
      <c r="A403" s="26">
        <v>45324</v>
      </c>
      <c r="B403" t="s">
        <v>895</v>
      </c>
      <c r="C403" t="s">
        <v>771</v>
      </c>
      <c r="D403">
        <v>0.5</v>
      </c>
      <c r="E403" t="s">
        <v>7</v>
      </c>
      <c r="F403" t="s">
        <v>772</v>
      </c>
      <c r="G403" t="s">
        <v>1185</v>
      </c>
      <c r="H403" t="s">
        <v>29</v>
      </c>
      <c r="I403" s="28" t="s">
        <v>28</v>
      </c>
    </row>
    <row r="404" spans="1:9" x14ac:dyDescent="0.3">
      <c r="A404" s="26">
        <v>45324</v>
      </c>
      <c r="B404" t="s">
        <v>895</v>
      </c>
      <c r="C404" t="s">
        <v>916</v>
      </c>
      <c r="D404">
        <v>0.05</v>
      </c>
      <c r="E404" t="s">
        <v>1150</v>
      </c>
      <c r="F404" t="s">
        <v>754</v>
      </c>
      <c r="G404" t="s">
        <v>1186</v>
      </c>
      <c r="H404" t="s">
        <v>29</v>
      </c>
      <c r="I404" s="28" t="s">
        <v>28</v>
      </c>
    </row>
    <row r="405" spans="1:9" x14ac:dyDescent="0.3">
      <c r="A405" s="26">
        <v>45324</v>
      </c>
      <c r="B405" t="s">
        <v>895</v>
      </c>
      <c r="C405" t="s">
        <v>919</v>
      </c>
      <c r="D405">
        <v>0.05</v>
      </c>
      <c r="E405" t="s">
        <v>910</v>
      </c>
      <c r="F405" t="s">
        <v>754</v>
      </c>
      <c r="G405" t="s">
        <v>1187</v>
      </c>
      <c r="H405" t="s">
        <v>29</v>
      </c>
      <c r="I405" s="28" t="s">
        <v>28</v>
      </c>
    </row>
    <row r="406" spans="1:9" x14ac:dyDescent="0.3">
      <c r="A406" s="26">
        <v>45324</v>
      </c>
      <c r="B406" t="s">
        <v>895</v>
      </c>
      <c r="C406" t="s">
        <v>919</v>
      </c>
      <c r="D406">
        <v>0.18</v>
      </c>
      <c r="E406" t="s">
        <v>910</v>
      </c>
      <c r="F406" t="s">
        <v>754</v>
      </c>
      <c r="G406" t="s">
        <v>1188</v>
      </c>
      <c r="H406" t="s">
        <v>29</v>
      </c>
      <c r="I406" s="28" t="s">
        <v>28</v>
      </c>
    </row>
    <row r="407" spans="1:9" x14ac:dyDescent="0.3">
      <c r="A407" s="26">
        <v>45324</v>
      </c>
      <c r="B407" t="s">
        <v>895</v>
      </c>
      <c r="C407" t="s">
        <v>919</v>
      </c>
      <c r="D407">
        <v>0.43</v>
      </c>
      <c r="E407" t="s">
        <v>910</v>
      </c>
      <c r="F407" t="s">
        <v>754</v>
      </c>
      <c r="G407" t="s">
        <v>1189</v>
      </c>
      <c r="H407" t="s">
        <v>29</v>
      </c>
      <c r="I407" s="28" t="s">
        <v>28</v>
      </c>
    </row>
    <row r="408" spans="1:9" x14ac:dyDescent="0.3">
      <c r="A408" s="26">
        <v>45324</v>
      </c>
      <c r="B408" t="s">
        <v>895</v>
      </c>
      <c r="C408" t="s">
        <v>776</v>
      </c>
      <c r="D408">
        <v>0.13</v>
      </c>
      <c r="E408" t="s">
        <v>879</v>
      </c>
      <c r="F408" t="s">
        <v>754</v>
      </c>
      <c r="G408" t="s">
        <v>1190</v>
      </c>
      <c r="H408" t="s">
        <v>29</v>
      </c>
      <c r="I408" s="28" t="s">
        <v>28</v>
      </c>
    </row>
    <row r="409" spans="1:9" x14ac:dyDescent="0.3">
      <c r="A409" s="26">
        <v>45324</v>
      </c>
      <c r="B409" t="s">
        <v>895</v>
      </c>
      <c r="C409" t="s">
        <v>776</v>
      </c>
      <c r="D409">
        <v>0.42</v>
      </c>
      <c r="E409" t="s">
        <v>813</v>
      </c>
      <c r="F409" t="s">
        <v>754</v>
      </c>
      <c r="G409" t="s">
        <v>1191</v>
      </c>
      <c r="H409" t="s">
        <v>29</v>
      </c>
      <c r="I409" s="28" t="s">
        <v>28</v>
      </c>
    </row>
    <row r="410" spans="1:9" x14ac:dyDescent="0.3">
      <c r="A410" s="26">
        <v>45324</v>
      </c>
      <c r="B410" t="s">
        <v>895</v>
      </c>
      <c r="C410" t="s">
        <v>776</v>
      </c>
      <c r="D410">
        <v>0.5</v>
      </c>
      <c r="E410" t="s">
        <v>922</v>
      </c>
      <c r="F410" t="s">
        <v>754</v>
      </c>
      <c r="G410" t="s">
        <v>1192</v>
      </c>
      <c r="H410" t="s">
        <v>29</v>
      </c>
      <c r="I410" s="28" t="s">
        <v>28</v>
      </c>
    </row>
    <row r="411" spans="1:9" x14ac:dyDescent="0.3">
      <c r="A411" s="26">
        <v>45324</v>
      </c>
      <c r="B411" t="s">
        <v>895</v>
      </c>
      <c r="C411" t="s">
        <v>776</v>
      </c>
      <c r="D411">
        <v>0.57999999999999996</v>
      </c>
      <c r="E411" t="s">
        <v>879</v>
      </c>
      <c r="F411" t="s">
        <v>754</v>
      </c>
      <c r="G411" t="s">
        <v>1193</v>
      </c>
      <c r="H411" t="s">
        <v>29</v>
      </c>
      <c r="I411" s="28" t="s">
        <v>28</v>
      </c>
    </row>
    <row r="412" spans="1:9" x14ac:dyDescent="0.3">
      <c r="A412" s="26">
        <v>45324</v>
      </c>
      <c r="B412" t="s">
        <v>929</v>
      </c>
      <c r="C412" t="s">
        <v>789</v>
      </c>
      <c r="D412">
        <v>0.13</v>
      </c>
      <c r="E412" t="s">
        <v>7</v>
      </c>
      <c r="F412" t="s">
        <v>772</v>
      </c>
      <c r="G412" t="s">
        <v>1194</v>
      </c>
      <c r="H412" t="s">
        <v>29</v>
      </c>
      <c r="I412" s="28" t="s">
        <v>28</v>
      </c>
    </row>
    <row r="413" spans="1:9" x14ac:dyDescent="0.3">
      <c r="A413" s="26">
        <v>45324</v>
      </c>
      <c r="B413" t="s">
        <v>929</v>
      </c>
      <c r="C413" t="s">
        <v>826</v>
      </c>
      <c r="D413">
        <v>0.25</v>
      </c>
      <c r="E413" t="s">
        <v>1046</v>
      </c>
      <c r="F413" t="s">
        <v>754</v>
      </c>
      <c r="G413" t="s">
        <v>1195</v>
      </c>
      <c r="H413" t="s">
        <v>29</v>
      </c>
      <c r="I413" s="28" t="s">
        <v>28</v>
      </c>
    </row>
    <row r="414" spans="1:9" x14ac:dyDescent="0.3">
      <c r="A414" s="26">
        <v>45324</v>
      </c>
      <c r="B414" t="s">
        <v>929</v>
      </c>
      <c r="C414" t="s">
        <v>826</v>
      </c>
      <c r="D414">
        <v>0.3</v>
      </c>
      <c r="E414" t="s">
        <v>1046</v>
      </c>
      <c r="F414" t="s">
        <v>754</v>
      </c>
      <c r="G414" t="s">
        <v>1196</v>
      </c>
      <c r="H414" t="s">
        <v>29</v>
      </c>
      <c r="I414" s="28" t="s">
        <v>28</v>
      </c>
    </row>
    <row r="415" spans="1:9" x14ac:dyDescent="0.3">
      <c r="A415" s="26">
        <v>45324</v>
      </c>
      <c r="B415" t="s">
        <v>929</v>
      </c>
      <c r="C415" t="s">
        <v>771</v>
      </c>
      <c r="D415">
        <v>0.25</v>
      </c>
      <c r="E415" t="s">
        <v>7</v>
      </c>
      <c r="F415" t="s">
        <v>772</v>
      </c>
      <c r="G415" t="s">
        <v>1197</v>
      </c>
      <c r="H415" t="s">
        <v>29</v>
      </c>
      <c r="I415" s="28" t="s">
        <v>28</v>
      </c>
    </row>
    <row r="416" spans="1:9" x14ac:dyDescent="0.3">
      <c r="A416" s="26">
        <v>45324</v>
      </c>
      <c r="B416" t="s">
        <v>929</v>
      </c>
      <c r="C416" t="s">
        <v>771</v>
      </c>
      <c r="D416">
        <v>0.25</v>
      </c>
      <c r="E416" t="s">
        <v>7</v>
      </c>
      <c r="F416" t="s">
        <v>772</v>
      </c>
      <c r="G416" t="s">
        <v>941</v>
      </c>
      <c r="H416" t="s">
        <v>29</v>
      </c>
      <c r="I416" s="28" t="s">
        <v>28</v>
      </c>
    </row>
    <row r="417" spans="1:9" x14ac:dyDescent="0.3">
      <c r="A417" s="26">
        <v>45324</v>
      </c>
      <c r="B417" t="s">
        <v>929</v>
      </c>
      <c r="C417" t="s">
        <v>771</v>
      </c>
      <c r="D417">
        <v>0.28000000000000003</v>
      </c>
      <c r="E417" t="s">
        <v>7</v>
      </c>
      <c r="F417" t="s">
        <v>772</v>
      </c>
      <c r="G417" t="s">
        <v>1198</v>
      </c>
      <c r="H417" t="s">
        <v>29</v>
      </c>
      <c r="I417" s="28" t="s">
        <v>28</v>
      </c>
    </row>
    <row r="418" spans="1:9" x14ac:dyDescent="0.3">
      <c r="A418" s="26">
        <v>45324</v>
      </c>
      <c r="B418" t="s">
        <v>929</v>
      </c>
      <c r="C418" t="s">
        <v>771</v>
      </c>
      <c r="D418">
        <v>0.33</v>
      </c>
      <c r="E418" t="s">
        <v>7</v>
      </c>
      <c r="F418" t="s">
        <v>772</v>
      </c>
      <c r="G418" t="s">
        <v>1199</v>
      </c>
      <c r="H418" t="s">
        <v>29</v>
      </c>
      <c r="I418" s="28" t="s">
        <v>28</v>
      </c>
    </row>
    <row r="419" spans="1:9" x14ac:dyDescent="0.3">
      <c r="A419" s="26">
        <v>45324</v>
      </c>
      <c r="B419" t="s">
        <v>929</v>
      </c>
      <c r="C419" t="s">
        <v>942</v>
      </c>
      <c r="D419">
        <v>3.73</v>
      </c>
      <c r="E419" t="s">
        <v>7</v>
      </c>
      <c r="F419" t="s">
        <v>772</v>
      </c>
      <c r="G419" t="s">
        <v>1200</v>
      </c>
      <c r="H419" t="s">
        <v>29</v>
      </c>
      <c r="I419" s="28" t="s">
        <v>28</v>
      </c>
    </row>
    <row r="420" spans="1:9" x14ac:dyDescent="0.3">
      <c r="A420" s="26">
        <v>45324</v>
      </c>
      <c r="B420" t="s">
        <v>929</v>
      </c>
      <c r="C420" t="s">
        <v>1201</v>
      </c>
      <c r="D420">
        <v>1.2</v>
      </c>
      <c r="E420" t="s">
        <v>644</v>
      </c>
      <c r="F420" t="s">
        <v>754</v>
      </c>
      <c r="G420" t="s">
        <v>1202</v>
      </c>
      <c r="H420" t="s">
        <v>29</v>
      </c>
      <c r="I420" s="28" t="s">
        <v>28</v>
      </c>
    </row>
    <row r="421" spans="1:9" x14ac:dyDescent="0.3">
      <c r="A421" s="26">
        <v>45324</v>
      </c>
      <c r="B421" t="s">
        <v>929</v>
      </c>
      <c r="C421" t="s">
        <v>916</v>
      </c>
      <c r="D421">
        <v>1.2</v>
      </c>
      <c r="E421" t="s">
        <v>173</v>
      </c>
      <c r="F421" t="s">
        <v>754</v>
      </c>
      <c r="G421" t="s">
        <v>1203</v>
      </c>
      <c r="H421" t="s">
        <v>29</v>
      </c>
      <c r="I421" s="28" t="s">
        <v>28</v>
      </c>
    </row>
    <row r="422" spans="1:9" x14ac:dyDescent="0.3">
      <c r="A422" s="26">
        <v>45324</v>
      </c>
      <c r="B422" t="s">
        <v>929</v>
      </c>
      <c r="C422" t="s">
        <v>874</v>
      </c>
      <c r="D422">
        <v>0.08</v>
      </c>
      <c r="E422" t="s">
        <v>7</v>
      </c>
      <c r="F422" t="s">
        <v>772</v>
      </c>
      <c r="G422" t="s">
        <v>1204</v>
      </c>
      <c r="H422" t="s">
        <v>29</v>
      </c>
      <c r="I422" s="28" t="s">
        <v>28</v>
      </c>
    </row>
    <row r="423" spans="1:9" x14ac:dyDescent="0.3">
      <c r="A423" s="26">
        <v>45324</v>
      </c>
      <c r="B423" t="s">
        <v>961</v>
      </c>
      <c r="C423" t="s">
        <v>753</v>
      </c>
      <c r="D423">
        <v>1.25</v>
      </c>
      <c r="E423" t="s">
        <v>1013</v>
      </c>
      <c r="F423" t="s">
        <v>754</v>
      </c>
      <c r="G423" t="s">
        <v>1205</v>
      </c>
      <c r="H423" t="s">
        <v>29</v>
      </c>
      <c r="I423" s="28" t="s">
        <v>28</v>
      </c>
    </row>
    <row r="424" spans="1:9" x14ac:dyDescent="0.3">
      <c r="A424" s="26">
        <v>45324</v>
      </c>
      <c r="B424" t="s">
        <v>961</v>
      </c>
      <c r="C424" t="s">
        <v>753</v>
      </c>
      <c r="D424">
        <v>3.88</v>
      </c>
      <c r="E424" t="s">
        <v>790</v>
      </c>
      <c r="F424" t="s">
        <v>754</v>
      </c>
      <c r="H424" t="s">
        <v>29</v>
      </c>
      <c r="I424" s="28" t="s">
        <v>28</v>
      </c>
    </row>
    <row r="425" spans="1:9" x14ac:dyDescent="0.3">
      <c r="A425" s="26">
        <v>45324</v>
      </c>
      <c r="B425" t="s">
        <v>961</v>
      </c>
      <c r="C425" t="s">
        <v>874</v>
      </c>
      <c r="D425">
        <v>1.08</v>
      </c>
      <c r="E425" t="s">
        <v>7</v>
      </c>
      <c r="F425" t="s">
        <v>772</v>
      </c>
      <c r="G425" t="s">
        <v>1090</v>
      </c>
      <c r="H425" t="s">
        <v>29</v>
      </c>
      <c r="I425" s="28" t="s">
        <v>28</v>
      </c>
    </row>
    <row r="426" spans="1:9" x14ac:dyDescent="0.3">
      <c r="A426" s="26">
        <v>45324</v>
      </c>
      <c r="B426" t="s">
        <v>961</v>
      </c>
      <c r="C426" t="s">
        <v>776</v>
      </c>
      <c r="D426">
        <v>2.4</v>
      </c>
      <c r="E426" t="s">
        <v>234</v>
      </c>
      <c r="F426" t="s">
        <v>754</v>
      </c>
      <c r="G426" t="s">
        <v>1206</v>
      </c>
      <c r="H426" t="s">
        <v>29</v>
      </c>
      <c r="I426" s="28" t="s">
        <v>28</v>
      </c>
    </row>
    <row r="427" spans="1:9" x14ac:dyDescent="0.3">
      <c r="A427" s="26">
        <v>45324</v>
      </c>
      <c r="B427" t="s">
        <v>962</v>
      </c>
      <c r="C427" t="s">
        <v>753</v>
      </c>
      <c r="D427">
        <v>0.25</v>
      </c>
      <c r="E427" t="s">
        <v>717</v>
      </c>
      <c r="F427" t="s">
        <v>754</v>
      </c>
      <c r="G427" t="s">
        <v>1207</v>
      </c>
      <c r="H427" t="s">
        <v>29</v>
      </c>
      <c r="I427" s="28" t="s">
        <v>28</v>
      </c>
    </row>
    <row r="428" spans="1:9" x14ac:dyDescent="0.3">
      <c r="A428" s="26">
        <v>45324</v>
      </c>
      <c r="B428" t="s">
        <v>966</v>
      </c>
      <c r="C428" t="s">
        <v>967</v>
      </c>
      <c r="D428">
        <v>2</v>
      </c>
      <c r="E428" t="s">
        <v>790</v>
      </c>
      <c r="F428" t="s">
        <v>754</v>
      </c>
      <c r="H428" t="s">
        <v>29</v>
      </c>
      <c r="I428" s="28" t="s">
        <v>28</v>
      </c>
    </row>
    <row r="429" spans="1:9" x14ac:dyDescent="0.3">
      <c r="A429" s="26">
        <v>45324</v>
      </c>
      <c r="B429" t="s">
        <v>966</v>
      </c>
      <c r="C429" t="s">
        <v>967</v>
      </c>
      <c r="D429">
        <v>4</v>
      </c>
      <c r="E429" t="s">
        <v>7</v>
      </c>
      <c r="F429" t="s">
        <v>754</v>
      </c>
      <c r="H429" t="s">
        <v>29</v>
      </c>
      <c r="I429" s="28" t="s">
        <v>28</v>
      </c>
    </row>
    <row r="430" spans="1:9" x14ac:dyDescent="0.3">
      <c r="A430" s="26">
        <v>45324</v>
      </c>
      <c r="B430" t="s">
        <v>966</v>
      </c>
      <c r="C430" t="s">
        <v>771</v>
      </c>
      <c r="D430">
        <v>0.63</v>
      </c>
      <c r="E430" t="s">
        <v>7</v>
      </c>
      <c r="F430" t="s">
        <v>772</v>
      </c>
      <c r="G430" t="s">
        <v>1208</v>
      </c>
      <c r="H430" t="s">
        <v>29</v>
      </c>
      <c r="I430" s="28" t="s">
        <v>28</v>
      </c>
    </row>
    <row r="431" spans="1:9" x14ac:dyDescent="0.3">
      <c r="A431" s="26">
        <v>45324</v>
      </c>
      <c r="B431" t="s">
        <v>966</v>
      </c>
      <c r="C431" t="s">
        <v>874</v>
      </c>
      <c r="D431">
        <v>0.25</v>
      </c>
      <c r="E431" t="s">
        <v>7</v>
      </c>
      <c r="F431" t="s">
        <v>772</v>
      </c>
      <c r="G431" t="s">
        <v>1209</v>
      </c>
      <c r="H431" t="s">
        <v>29</v>
      </c>
      <c r="I431" s="28" t="s">
        <v>28</v>
      </c>
    </row>
    <row r="432" spans="1:9" x14ac:dyDescent="0.3">
      <c r="A432" s="26">
        <v>45324</v>
      </c>
      <c r="B432" t="s">
        <v>966</v>
      </c>
      <c r="C432" t="s">
        <v>874</v>
      </c>
      <c r="D432">
        <v>1.1200000000000001</v>
      </c>
      <c r="E432" t="s">
        <v>7</v>
      </c>
      <c r="F432" t="s">
        <v>772</v>
      </c>
      <c r="G432" t="s">
        <v>1210</v>
      </c>
      <c r="H432" t="s">
        <v>29</v>
      </c>
      <c r="I432" s="28" t="s">
        <v>28</v>
      </c>
    </row>
    <row r="433" spans="1:9" x14ac:dyDescent="0.3">
      <c r="A433" s="26">
        <v>45324</v>
      </c>
      <c r="B433" t="s">
        <v>969</v>
      </c>
      <c r="C433" t="s">
        <v>970</v>
      </c>
      <c r="D433">
        <v>0.35</v>
      </c>
      <c r="E433" t="s">
        <v>790</v>
      </c>
      <c r="F433" t="s">
        <v>754</v>
      </c>
      <c r="G433" t="s">
        <v>1211</v>
      </c>
      <c r="H433" t="s">
        <v>29</v>
      </c>
      <c r="I433" s="28" t="s">
        <v>28</v>
      </c>
    </row>
    <row r="434" spans="1:9" x14ac:dyDescent="0.3">
      <c r="A434" s="26">
        <v>45324</v>
      </c>
      <c r="B434" t="s">
        <v>969</v>
      </c>
      <c r="C434" t="s">
        <v>771</v>
      </c>
      <c r="D434">
        <v>0.95</v>
      </c>
      <c r="E434" t="s">
        <v>7</v>
      </c>
      <c r="F434" t="s">
        <v>772</v>
      </c>
      <c r="G434" t="s">
        <v>1212</v>
      </c>
      <c r="H434" t="s">
        <v>29</v>
      </c>
      <c r="I434" s="28" t="s">
        <v>28</v>
      </c>
    </row>
    <row r="435" spans="1:9" x14ac:dyDescent="0.3">
      <c r="A435" s="26">
        <v>45324</v>
      </c>
      <c r="B435" t="s">
        <v>969</v>
      </c>
      <c r="C435" t="s">
        <v>771</v>
      </c>
      <c r="D435">
        <v>0.98</v>
      </c>
      <c r="E435" t="s">
        <v>7</v>
      </c>
      <c r="F435" t="s">
        <v>772</v>
      </c>
      <c r="G435" t="s">
        <v>1213</v>
      </c>
      <c r="H435" t="s">
        <v>29</v>
      </c>
      <c r="I435" s="28" t="s">
        <v>28</v>
      </c>
    </row>
    <row r="436" spans="1:9" x14ac:dyDescent="0.3">
      <c r="A436" s="26">
        <v>45324</v>
      </c>
      <c r="B436" t="s">
        <v>969</v>
      </c>
      <c r="C436" t="s">
        <v>835</v>
      </c>
      <c r="D436">
        <v>0.85</v>
      </c>
      <c r="E436" t="s">
        <v>790</v>
      </c>
      <c r="F436" t="s">
        <v>754</v>
      </c>
      <c r="G436" t="s">
        <v>1214</v>
      </c>
      <c r="H436" t="s">
        <v>29</v>
      </c>
      <c r="I436" s="28" t="s">
        <v>28</v>
      </c>
    </row>
    <row r="437" spans="1:9" x14ac:dyDescent="0.3">
      <c r="A437" s="26">
        <v>45324</v>
      </c>
      <c r="B437" t="s">
        <v>969</v>
      </c>
      <c r="C437" t="s">
        <v>835</v>
      </c>
      <c r="D437">
        <v>2.57</v>
      </c>
      <c r="E437" t="s">
        <v>790</v>
      </c>
      <c r="F437" t="s">
        <v>754</v>
      </c>
      <c r="G437" t="s">
        <v>1215</v>
      </c>
      <c r="H437" t="s">
        <v>29</v>
      </c>
      <c r="I437" s="28" t="s">
        <v>28</v>
      </c>
    </row>
    <row r="438" spans="1:9" x14ac:dyDescent="0.3">
      <c r="A438" s="26">
        <v>45324</v>
      </c>
      <c r="B438" t="s">
        <v>969</v>
      </c>
      <c r="C438" t="s">
        <v>835</v>
      </c>
      <c r="D438">
        <v>3.65</v>
      </c>
      <c r="E438" t="s">
        <v>7</v>
      </c>
      <c r="F438" t="s">
        <v>772</v>
      </c>
      <c r="G438" t="s">
        <v>1216</v>
      </c>
      <c r="H438" t="s">
        <v>29</v>
      </c>
      <c r="I438" s="28" t="s">
        <v>28</v>
      </c>
    </row>
    <row r="439" spans="1:9" x14ac:dyDescent="0.3">
      <c r="A439" s="26">
        <v>45324</v>
      </c>
      <c r="B439" t="s">
        <v>977</v>
      </c>
      <c r="C439" t="s">
        <v>753</v>
      </c>
      <c r="D439">
        <v>1.72</v>
      </c>
      <c r="E439" t="s">
        <v>978</v>
      </c>
      <c r="F439" t="s">
        <v>754</v>
      </c>
      <c r="G439" t="s">
        <v>1217</v>
      </c>
      <c r="H439" t="s">
        <v>29</v>
      </c>
      <c r="I439" s="28" t="s">
        <v>28</v>
      </c>
    </row>
    <row r="440" spans="1:9" x14ac:dyDescent="0.3">
      <c r="A440" s="26">
        <v>45324</v>
      </c>
      <c r="B440" t="s">
        <v>977</v>
      </c>
      <c r="C440" t="s">
        <v>753</v>
      </c>
      <c r="D440">
        <v>5.13</v>
      </c>
      <c r="E440" t="s">
        <v>978</v>
      </c>
      <c r="F440" t="s">
        <v>754</v>
      </c>
      <c r="G440" t="s">
        <v>1218</v>
      </c>
      <c r="H440" t="s">
        <v>29</v>
      </c>
      <c r="I440" s="28" t="s">
        <v>28</v>
      </c>
    </row>
    <row r="441" spans="1:9" x14ac:dyDescent="0.3">
      <c r="A441" s="26">
        <v>45324</v>
      </c>
      <c r="B441" t="s">
        <v>977</v>
      </c>
      <c r="C441" t="s">
        <v>771</v>
      </c>
      <c r="D441">
        <v>0.22</v>
      </c>
      <c r="E441" t="s">
        <v>7</v>
      </c>
      <c r="F441" t="s">
        <v>772</v>
      </c>
      <c r="G441" t="s">
        <v>820</v>
      </c>
      <c r="H441" t="s">
        <v>29</v>
      </c>
      <c r="I441" s="28" t="s">
        <v>28</v>
      </c>
    </row>
    <row r="442" spans="1:9" x14ac:dyDescent="0.3">
      <c r="A442" s="26">
        <v>45324</v>
      </c>
      <c r="B442" t="s">
        <v>977</v>
      </c>
      <c r="C442" t="s">
        <v>874</v>
      </c>
      <c r="D442">
        <v>0.93</v>
      </c>
      <c r="E442" t="s">
        <v>7</v>
      </c>
      <c r="F442" t="s">
        <v>772</v>
      </c>
      <c r="G442" t="s">
        <v>1090</v>
      </c>
      <c r="H442" t="s">
        <v>29</v>
      </c>
      <c r="I442" s="28" t="s">
        <v>28</v>
      </c>
    </row>
    <row r="443" spans="1:9" x14ac:dyDescent="0.3">
      <c r="A443" s="26">
        <v>45324</v>
      </c>
      <c r="B443" t="s">
        <v>981</v>
      </c>
      <c r="C443" t="s">
        <v>982</v>
      </c>
      <c r="D443">
        <v>9</v>
      </c>
      <c r="E443" t="s">
        <v>7</v>
      </c>
      <c r="F443" t="s">
        <v>772</v>
      </c>
      <c r="G443" t="s">
        <v>1219</v>
      </c>
      <c r="H443" t="s">
        <v>29</v>
      </c>
      <c r="I443" s="28" t="s">
        <v>28</v>
      </c>
    </row>
    <row r="444" spans="1:9" x14ac:dyDescent="0.3">
      <c r="A444" s="26">
        <v>45324</v>
      </c>
      <c r="B444" t="s">
        <v>984</v>
      </c>
      <c r="C444" t="s">
        <v>753</v>
      </c>
      <c r="D444">
        <v>0.56999999999999995</v>
      </c>
      <c r="E444" t="s">
        <v>903</v>
      </c>
      <c r="F444" t="s">
        <v>754</v>
      </c>
      <c r="G444" t="s">
        <v>1220</v>
      </c>
      <c r="H444" t="s">
        <v>29</v>
      </c>
      <c r="I444" s="28" t="s">
        <v>28</v>
      </c>
    </row>
    <row r="445" spans="1:9" x14ac:dyDescent="0.3">
      <c r="A445" s="26">
        <v>45324</v>
      </c>
      <c r="B445" t="s">
        <v>984</v>
      </c>
      <c r="C445" t="s">
        <v>753</v>
      </c>
      <c r="D445">
        <v>1.48</v>
      </c>
      <c r="E445" t="s">
        <v>602</v>
      </c>
      <c r="F445" t="s">
        <v>754</v>
      </c>
      <c r="G445" t="s">
        <v>1221</v>
      </c>
      <c r="H445" t="s">
        <v>29</v>
      </c>
      <c r="I445" s="28" t="s">
        <v>28</v>
      </c>
    </row>
    <row r="446" spans="1:9" x14ac:dyDescent="0.3">
      <c r="A446" s="26">
        <v>45324</v>
      </c>
      <c r="B446" t="s">
        <v>984</v>
      </c>
      <c r="C446" t="s">
        <v>753</v>
      </c>
      <c r="D446">
        <v>3.32</v>
      </c>
      <c r="E446" t="s">
        <v>13</v>
      </c>
      <c r="F446" t="s">
        <v>754</v>
      </c>
      <c r="G446" t="s">
        <v>1222</v>
      </c>
      <c r="H446" t="s">
        <v>29</v>
      </c>
      <c r="I446" s="28" t="s">
        <v>28</v>
      </c>
    </row>
    <row r="447" spans="1:9" x14ac:dyDescent="0.3">
      <c r="A447" s="26">
        <v>45324</v>
      </c>
      <c r="B447" t="s">
        <v>984</v>
      </c>
      <c r="C447" t="s">
        <v>771</v>
      </c>
      <c r="D447">
        <v>1.6</v>
      </c>
      <c r="E447" t="s">
        <v>7</v>
      </c>
      <c r="F447" t="s">
        <v>772</v>
      </c>
      <c r="G447" t="s">
        <v>1223</v>
      </c>
      <c r="H447" t="s">
        <v>29</v>
      </c>
      <c r="I447" s="28" t="s">
        <v>28</v>
      </c>
    </row>
    <row r="448" spans="1:9" x14ac:dyDescent="0.3">
      <c r="A448" s="26">
        <v>45324</v>
      </c>
      <c r="B448" t="s">
        <v>984</v>
      </c>
      <c r="C448" t="s">
        <v>874</v>
      </c>
      <c r="D448">
        <v>1.08</v>
      </c>
      <c r="E448" t="s">
        <v>7</v>
      </c>
      <c r="F448" t="s">
        <v>772</v>
      </c>
      <c r="G448" t="s">
        <v>1224</v>
      </c>
      <c r="H448" t="s">
        <v>29</v>
      </c>
      <c r="I448" s="28" t="s">
        <v>28</v>
      </c>
    </row>
    <row r="449" spans="1:9" x14ac:dyDescent="0.3">
      <c r="A449" s="26">
        <v>45324</v>
      </c>
      <c r="B449" t="s">
        <v>991</v>
      </c>
      <c r="C449" t="s">
        <v>992</v>
      </c>
      <c r="D449">
        <v>0.18</v>
      </c>
      <c r="E449" t="s">
        <v>999</v>
      </c>
      <c r="F449" t="s">
        <v>772</v>
      </c>
      <c r="G449" t="s">
        <v>1225</v>
      </c>
      <c r="H449" t="s">
        <v>29</v>
      </c>
      <c r="I449" s="28" t="s">
        <v>28</v>
      </c>
    </row>
    <row r="450" spans="1:9" x14ac:dyDescent="0.3">
      <c r="A450" s="26">
        <v>45324</v>
      </c>
      <c r="B450" t="s">
        <v>991</v>
      </c>
      <c r="C450" t="s">
        <v>992</v>
      </c>
      <c r="D450">
        <v>0.23</v>
      </c>
      <c r="E450" t="s">
        <v>7</v>
      </c>
      <c r="F450" t="s">
        <v>772</v>
      </c>
      <c r="G450" t="s">
        <v>1226</v>
      </c>
      <c r="H450" t="s">
        <v>29</v>
      </c>
      <c r="I450" s="28" t="s">
        <v>28</v>
      </c>
    </row>
    <row r="451" spans="1:9" x14ac:dyDescent="0.3">
      <c r="A451" s="26">
        <v>45324</v>
      </c>
      <c r="B451" t="s">
        <v>991</v>
      </c>
      <c r="C451" t="s">
        <v>992</v>
      </c>
      <c r="D451">
        <v>0.3</v>
      </c>
      <c r="E451" t="s">
        <v>206</v>
      </c>
      <c r="F451" t="s">
        <v>772</v>
      </c>
      <c r="G451" t="s">
        <v>1227</v>
      </c>
      <c r="H451" t="s">
        <v>29</v>
      </c>
      <c r="I451" s="28" t="s">
        <v>28</v>
      </c>
    </row>
    <row r="452" spans="1:9" x14ac:dyDescent="0.3">
      <c r="A452" s="26">
        <v>45324</v>
      </c>
      <c r="B452" t="s">
        <v>991</v>
      </c>
      <c r="C452" t="s">
        <v>992</v>
      </c>
      <c r="D452">
        <v>0.5</v>
      </c>
      <c r="E452" t="s">
        <v>999</v>
      </c>
      <c r="F452" t="s">
        <v>772</v>
      </c>
      <c r="G452" t="s">
        <v>1228</v>
      </c>
      <c r="H452" t="s">
        <v>29</v>
      </c>
      <c r="I452" s="28" t="s">
        <v>28</v>
      </c>
    </row>
    <row r="453" spans="1:9" x14ac:dyDescent="0.3">
      <c r="A453" s="26">
        <v>45324</v>
      </c>
      <c r="B453" t="s">
        <v>991</v>
      </c>
      <c r="C453" t="s">
        <v>992</v>
      </c>
      <c r="D453">
        <v>0.56999999999999995</v>
      </c>
      <c r="E453" t="s">
        <v>999</v>
      </c>
      <c r="F453" t="s">
        <v>772</v>
      </c>
      <c r="G453" t="s">
        <v>1229</v>
      </c>
      <c r="H453" t="s">
        <v>29</v>
      </c>
      <c r="I453" s="28" t="s">
        <v>28</v>
      </c>
    </row>
    <row r="454" spans="1:9" x14ac:dyDescent="0.3">
      <c r="A454" s="26">
        <v>45324</v>
      </c>
      <c r="B454" t="s">
        <v>991</v>
      </c>
      <c r="C454" t="s">
        <v>992</v>
      </c>
      <c r="D454">
        <v>1.43</v>
      </c>
      <c r="E454" t="s">
        <v>7</v>
      </c>
      <c r="F454" t="s">
        <v>772</v>
      </c>
      <c r="G454" t="s">
        <v>1230</v>
      </c>
      <c r="H454" t="s">
        <v>29</v>
      </c>
      <c r="I454" s="28" t="s">
        <v>28</v>
      </c>
    </row>
    <row r="455" spans="1:9" x14ac:dyDescent="0.3">
      <c r="A455" s="26">
        <v>45324</v>
      </c>
      <c r="B455" t="s">
        <v>991</v>
      </c>
      <c r="C455" t="s">
        <v>992</v>
      </c>
      <c r="D455">
        <v>3.53</v>
      </c>
      <c r="E455" t="s">
        <v>7</v>
      </c>
      <c r="F455" t="s">
        <v>772</v>
      </c>
      <c r="G455" t="s">
        <v>1231</v>
      </c>
      <c r="H455" t="s">
        <v>29</v>
      </c>
      <c r="I455" s="28" t="s">
        <v>28</v>
      </c>
    </row>
    <row r="456" spans="1:9" x14ac:dyDescent="0.3">
      <c r="A456" s="26">
        <v>45324</v>
      </c>
      <c r="B456" t="s">
        <v>991</v>
      </c>
      <c r="C456" t="s">
        <v>874</v>
      </c>
      <c r="D456">
        <v>1.78</v>
      </c>
      <c r="E456" t="s">
        <v>999</v>
      </c>
      <c r="F456" t="s">
        <v>772</v>
      </c>
      <c r="G456" t="s">
        <v>1232</v>
      </c>
      <c r="H456" t="s">
        <v>29</v>
      </c>
      <c r="I456" s="28" t="s">
        <v>28</v>
      </c>
    </row>
    <row r="457" spans="1:9" x14ac:dyDescent="0.3">
      <c r="A457" s="26">
        <v>45324</v>
      </c>
      <c r="B457" t="s">
        <v>991</v>
      </c>
      <c r="C457" t="s">
        <v>776</v>
      </c>
      <c r="D457">
        <v>0.97</v>
      </c>
      <c r="E457" t="s">
        <v>999</v>
      </c>
      <c r="F457" t="s">
        <v>772</v>
      </c>
      <c r="G457" t="s">
        <v>1233</v>
      </c>
      <c r="H457" t="s">
        <v>29</v>
      </c>
      <c r="I457" s="28" t="s">
        <v>28</v>
      </c>
    </row>
    <row r="458" spans="1:9" x14ac:dyDescent="0.3">
      <c r="A458" s="26">
        <v>45324</v>
      </c>
      <c r="B458" t="s">
        <v>991</v>
      </c>
      <c r="C458" t="s">
        <v>776</v>
      </c>
      <c r="D458">
        <v>1.22</v>
      </c>
      <c r="E458" t="s">
        <v>999</v>
      </c>
      <c r="F458" t="s">
        <v>772</v>
      </c>
      <c r="G458" t="s">
        <v>1234</v>
      </c>
      <c r="H458" t="s">
        <v>29</v>
      </c>
      <c r="I458" s="28" t="s">
        <v>28</v>
      </c>
    </row>
    <row r="459" spans="1:9" x14ac:dyDescent="0.3">
      <c r="A459" s="26">
        <v>45324</v>
      </c>
      <c r="B459" t="s">
        <v>1002</v>
      </c>
      <c r="C459" t="s">
        <v>1003</v>
      </c>
      <c r="D459">
        <v>10</v>
      </c>
      <c r="E459" t="s">
        <v>7</v>
      </c>
      <c r="F459" t="s">
        <v>754</v>
      </c>
      <c r="G459" t="s">
        <v>1235</v>
      </c>
      <c r="H459" t="s">
        <v>29</v>
      </c>
      <c r="I459" s="28" t="s">
        <v>28</v>
      </c>
    </row>
    <row r="460" spans="1:9" x14ac:dyDescent="0.3">
      <c r="A460" s="26">
        <v>45324</v>
      </c>
      <c r="B460" t="s">
        <v>1006</v>
      </c>
      <c r="C460" t="s">
        <v>909</v>
      </c>
      <c r="D460">
        <v>0.18</v>
      </c>
      <c r="E460" t="s">
        <v>757</v>
      </c>
      <c r="F460" t="s">
        <v>772</v>
      </c>
      <c r="G460" t="s">
        <v>1010</v>
      </c>
      <c r="H460" t="s">
        <v>29</v>
      </c>
      <c r="I460" s="28" t="s">
        <v>28</v>
      </c>
    </row>
    <row r="461" spans="1:9" x14ac:dyDescent="0.3">
      <c r="A461" s="26">
        <v>45324</v>
      </c>
      <c r="B461" t="s">
        <v>1006</v>
      </c>
      <c r="C461" t="s">
        <v>909</v>
      </c>
      <c r="D461">
        <v>0.5</v>
      </c>
      <c r="E461" t="s">
        <v>757</v>
      </c>
      <c r="F461" t="s">
        <v>772</v>
      </c>
      <c r="G461" t="s">
        <v>1236</v>
      </c>
      <c r="H461" t="s">
        <v>29</v>
      </c>
      <c r="I461" s="28" t="s">
        <v>28</v>
      </c>
    </row>
    <row r="462" spans="1:9" x14ac:dyDescent="0.3">
      <c r="A462" s="26">
        <v>45324</v>
      </c>
      <c r="B462" t="s">
        <v>1006</v>
      </c>
      <c r="C462" t="s">
        <v>909</v>
      </c>
      <c r="D462">
        <v>1.8</v>
      </c>
      <c r="E462" t="s">
        <v>757</v>
      </c>
      <c r="F462" t="s">
        <v>772</v>
      </c>
      <c r="G462" t="s">
        <v>1237</v>
      </c>
      <c r="H462" t="s">
        <v>29</v>
      </c>
      <c r="I462" s="28" t="s">
        <v>28</v>
      </c>
    </row>
    <row r="463" spans="1:9" x14ac:dyDescent="0.3">
      <c r="A463" s="26">
        <v>45324</v>
      </c>
      <c r="B463" t="s">
        <v>1006</v>
      </c>
      <c r="C463" t="s">
        <v>771</v>
      </c>
      <c r="D463">
        <v>3.52</v>
      </c>
      <c r="E463" t="s">
        <v>7</v>
      </c>
      <c r="F463" t="s">
        <v>772</v>
      </c>
      <c r="G463" t="s">
        <v>1010</v>
      </c>
      <c r="H463" t="s">
        <v>29</v>
      </c>
      <c r="I463" s="28" t="s">
        <v>28</v>
      </c>
    </row>
    <row r="464" spans="1:9" x14ac:dyDescent="0.3">
      <c r="A464" s="26">
        <v>45324</v>
      </c>
      <c r="B464" t="s">
        <v>1011</v>
      </c>
      <c r="C464" t="s">
        <v>753</v>
      </c>
      <c r="D464">
        <v>0.35</v>
      </c>
      <c r="E464" t="s">
        <v>589</v>
      </c>
      <c r="F464" t="s">
        <v>754</v>
      </c>
      <c r="G464" t="s">
        <v>1238</v>
      </c>
      <c r="H464" t="s">
        <v>29</v>
      </c>
      <c r="I464" s="28" t="s">
        <v>28</v>
      </c>
    </row>
    <row r="465" spans="1:9" x14ac:dyDescent="0.3">
      <c r="A465" s="26">
        <v>45324</v>
      </c>
      <c r="B465" t="s">
        <v>1011</v>
      </c>
      <c r="C465" t="s">
        <v>753</v>
      </c>
      <c r="D465">
        <v>0.93</v>
      </c>
      <c r="E465" t="s">
        <v>1013</v>
      </c>
      <c r="F465" t="s">
        <v>754</v>
      </c>
      <c r="G465" t="s">
        <v>1239</v>
      </c>
      <c r="H465" t="s">
        <v>29</v>
      </c>
      <c r="I465" s="28" t="s">
        <v>28</v>
      </c>
    </row>
    <row r="466" spans="1:9" x14ac:dyDescent="0.3">
      <c r="A466" s="26">
        <v>45324</v>
      </c>
      <c r="B466" t="s">
        <v>1011</v>
      </c>
      <c r="C466" t="s">
        <v>753</v>
      </c>
      <c r="D466">
        <v>0.98</v>
      </c>
      <c r="E466" t="s">
        <v>589</v>
      </c>
      <c r="F466" t="s">
        <v>754</v>
      </c>
      <c r="G466" t="s">
        <v>1240</v>
      </c>
      <c r="H466" t="s">
        <v>29</v>
      </c>
      <c r="I466" s="28" t="s">
        <v>28</v>
      </c>
    </row>
    <row r="467" spans="1:9" x14ac:dyDescent="0.3">
      <c r="A467" s="26">
        <v>45324</v>
      </c>
      <c r="B467" t="s">
        <v>1011</v>
      </c>
      <c r="C467" t="s">
        <v>753</v>
      </c>
      <c r="D467">
        <v>1.1000000000000001</v>
      </c>
      <c r="E467" t="s">
        <v>1013</v>
      </c>
      <c r="F467" t="s">
        <v>754</v>
      </c>
      <c r="G467" t="s">
        <v>1241</v>
      </c>
      <c r="H467" t="s">
        <v>29</v>
      </c>
      <c r="I467" s="28" t="s">
        <v>28</v>
      </c>
    </row>
    <row r="468" spans="1:9" x14ac:dyDescent="0.3">
      <c r="A468" s="26">
        <v>45324</v>
      </c>
      <c r="B468" t="s">
        <v>1011</v>
      </c>
      <c r="C468" t="s">
        <v>753</v>
      </c>
      <c r="D468">
        <v>2.27</v>
      </c>
      <c r="E468" t="s">
        <v>589</v>
      </c>
      <c r="F468" t="s">
        <v>754</v>
      </c>
      <c r="H468" t="s">
        <v>29</v>
      </c>
      <c r="I468" s="28" t="s">
        <v>28</v>
      </c>
    </row>
    <row r="469" spans="1:9" x14ac:dyDescent="0.3">
      <c r="A469" s="26">
        <v>45324</v>
      </c>
      <c r="B469" t="s">
        <v>1011</v>
      </c>
      <c r="C469" t="s">
        <v>771</v>
      </c>
      <c r="D469">
        <v>0.18</v>
      </c>
      <c r="E469" t="s">
        <v>7</v>
      </c>
      <c r="F469" t="s">
        <v>772</v>
      </c>
      <c r="G469" t="s">
        <v>1242</v>
      </c>
      <c r="H469" t="s">
        <v>29</v>
      </c>
      <c r="I469" s="28" t="s">
        <v>28</v>
      </c>
    </row>
    <row r="470" spans="1:9" x14ac:dyDescent="0.3">
      <c r="A470" s="26">
        <v>45324</v>
      </c>
      <c r="B470" t="s">
        <v>1011</v>
      </c>
      <c r="C470" t="s">
        <v>771</v>
      </c>
      <c r="D470">
        <v>0.18</v>
      </c>
      <c r="E470" t="s">
        <v>7</v>
      </c>
      <c r="F470" t="s">
        <v>772</v>
      </c>
      <c r="G470" t="s">
        <v>1243</v>
      </c>
      <c r="H470" t="s">
        <v>29</v>
      </c>
      <c r="I470" s="28" t="s">
        <v>28</v>
      </c>
    </row>
    <row r="471" spans="1:9" x14ac:dyDescent="0.3">
      <c r="A471" s="26">
        <v>45324</v>
      </c>
      <c r="B471" t="s">
        <v>1011</v>
      </c>
      <c r="C471" t="s">
        <v>874</v>
      </c>
      <c r="D471">
        <v>1.1000000000000001</v>
      </c>
      <c r="E471" t="s">
        <v>7</v>
      </c>
      <c r="F471" t="s">
        <v>772</v>
      </c>
      <c r="G471" t="s">
        <v>1244</v>
      </c>
      <c r="H471" t="s">
        <v>29</v>
      </c>
      <c r="I471" s="28" t="s">
        <v>28</v>
      </c>
    </row>
    <row r="472" spans="1:9" x14ac:dyDescent="0.3">
      <c r="A472" s="26">
        <v>45324</v>
      </c>
      <c r="B472" t="s">
        <v>1020</v>
      </c>
      <c r="C472" t="s">
        <v>753</v>
      </c>
      <c r="D472">
        <v>0.38</v>
      </c>
      <c r="E472" t="s">
        <v>664</v>
      </c>
      <c r="F472" t="s">
        <v>754</v>
      </c>
      <c r="G472" t="s">
        <v>1245</v>
      </c>
      <c r="H472" t="s">
        <v>29</v>
      </c>
      <c r="I472" s="28" t="s">
        <v>28</v>
      </c>
    </row>
    <row r="473" spans="1:9" x14ac:dyDescent="0.3">
      <c r="A473" s="26">
        <v>45324</v>
      </c>
      <c r="B473" t="s">
        <v>1020</v>
      </c>
      <c r="C473" t="s">
        <v>771</v>
      </c>
      <c r="D473">
        <v>0.28000000000000003</v>
      </c>
      <c r="E473" t="s">
        <v>7</v>
      </c>
      <c r="F473" t="s">
        <v>772</v>
      </c>
      <c r="G473" t="s">
        <v>1024</v>
      </c>
      <c r="H473" t="s">
        <v>29</v>
      </c>
      <c r="I473" s="28" t="s">
        <v>28</v>
      </c>
    </row>
    <row r="474" spans="1:9" x14ac:dyDescent="0.3">
      <c r="A474" s="26">
        <v>45324</v>
      </c>
      <c r="B474" t="s">
        <v>1020</v>
      </c>
      <c r="C474" t="s">
        <v>835</v>
      </c>
      <c r="D474">
        <v>6.95</v>
      </c>
      <c r="E474" t="s">
        <v>11</v>
      </c>
      <c r="F474" t="s">
        <v>754</v>
      </c>
      <c r="H474" t="s">
        <v>29</v>
      </c>
      <c r="I474" s="28" t="s">
        <v>28</v>
      </c>
    </row>
    <row r="475" spans="1:9" x14ac:dyDescent="0.3">
      <c r="A475" s="26">
        <v>45324</v>
      </c>
      <c r="B475" t="s">
        <v>1020</v>
      </c>
      <c r="C475" t="s">
        <v>874</v>
      </c>
      <c r="D475">
        <v>0.37</v>
      </c>
      <c r="E475" t="s">
        <v>7</v>
      </c>
      <c r="F475" t="s">
        <v>772</v>
      </c>
      <c r="G475" t="s">
        <v>1246</v>
      </c>
      <c r="H475" t="s">
        <v>29</v>
      </c>
      <c r="I475" s="28" t="s">
        <v>28</v>
      </c>
    </row>
    <row r="476" spans="1:9" x14ac:dyDescent="0.3">
      <c r="A476" s="26">
        <v>45324</v>
      </c>
      <c r="B476" t="s">
        <v>1020</v>
      </c>
      <c r="C476" t="s">
        <v>874</v>
      </c>
      <c r="D476">
        <v>1</v>
      </c>
      <c r="E476" t="s">
        <v>7</v>
      </c>
      <c r="F476" t="s">
        <v>772</v>
      </c>
      <c r="G476" t="s">
        <v>1210</v>
      </c>
      <c r="H476" t="s">
        <v>29</v>
      </c>
      <c r="I476" s="28" t="s">
        <v>28</v>
      </c>
    </row>
    <row r="477" spans="1:9" x14ac:dyDescent="0.3">
      <c r="A477" s="26">
        <v>45324</v>
      </c>
      <c r="B477" t="s">
        <v>1026</v>
      </c>
      <c r="C477" t="s">
        <v>771</v>
      </c>
      <c r="D477">
        <v>1.33</v>
      </c>
      <c r="E477" t="s">
        <v>7</v>
      </c>
      <c r="F477" t="s">
        <v>772</v>
      </c>
      <c r="G477" t="s">
        <v>1247</v>
      </c>
      <c r="H477" t="s">
        <v>29</v>
      </c>
      <c r="I477" s="28" t="s">
        <v>28</v>
      </c>
    </row>
    <row r="478" spans="1:9" x14ac:dyDescent="0.3">
      <c r="A478" s="26">
        <v>45324</v>
      </c>
      <c r="B478" t="s">
        <v>1026</v>
      </c>
      <c r="C478" t="s">
        <v>771</v>
      </c>
      <c r="D478">
        <v>1.48</v>
      </c>
      <c r="E478" t="s">
        <v>7</v>
      </c>
      <c r="F478" t="s">
        <v>772</v>
      </c>
      <c r="G478" t="s">
        <v>1248</v>
      </c>
      <c r="H478" t="s">
        <v>29</v>
      </c>
      <c r="I478" s="28" t="s">
        <v>28</v>
      </c>
    </row>
    <row r="479" spans="1:9" x14ac:dyDescent="0.3">
      <c r="A479" s="26">
        <v>45324</v>
      </c>
      <c r="B479" t="s">
        <v>1026</v>
      </c>
      <c r="C479" t="s">
        <v>771</v>
      </c>
      <c r="D479">
        <v>2.38</v>
      </c>
      <c r="E479" t="s">
        <v>7</v>
      </c>
      <c r="F479" t="s">
        <v>772</v>
      </c>
      <c r="G479" t="s">
        <v>1249</v>
      </c>
      <c r="H479" t="s">
        <v>29</v>
      </c>
      <c r="I479" s="28" t="s">
        <v>28</v>
      </c>
    </row>
    <row r="480" spans="1:9" x14ac:dyDescent="0.3">
      <c r="A480" s="26">
        <v>45324</v>
      </c>
      <c r="B480" t="s">
        <v>1026</v>
      </c>
      <c r="C480" t="s">
        <v>771</v>
      </c>
      <c r="D480">
        <v>2.73</v>
      </c>
      <c r="E480" t="s">
        <v>7</v>
      </c>
      <c r="F480" t="s">
        <v>772</v>
      </c>
      <c r="H480" t="s">
        <v>29</v>
      </c>
      <c r="I480" s="28" t="s">
        <v>28</v>
      </c>
    </row>
    <row r="481" spans="1:9" x14ac:dyDescent="0.3">
      <c r="A481" s="26">
        <v>45324</v>
      </c>
      <c r="B481" t="s">
        <v>1026</v>
      </c>
      <c r="C481" t="s">
        <v>874</v>
      </c>
      <c r="D481">
        <v>0.4</v>
      </c>
      <c r="E481" t="s">
        <v>7</v>
      </c>
      <c r="F481" t="s">
        <v>772</v>
      </c>
      <c r="G481" t="s">
        <v>1250</v>
      </c>
      <c r="H481" t="s">
        <v>29</v>
      </c>
      <c r="I481" s="28" t="s">
        <v>28</v>
      </c>
    </row>
    <row r="482" spans="1:9" x14ac:dyDescent="0.3">
      <c r="A482" s="26">
        <v>45324</v>
      </c>
      <c r="B482" t="s">
        <v>1026</v>
      </c>
      <c r="C482" t="s">
        <v>874</v>
      </c>
      <c r="D482">
        <v>0.48</v>
      </c>
      <c r="E482" t="s">
        <v>7</v>
      </c>
      <c r="F482" t="s">
        <v>772</v>
      </c>
      <c r="G482" t="s">
        <v>1251</v>
      </c>
      <c r="H482" t="s">
        <v>29</v>
      </c>
      <c r="I482" s="28" t="s">
        <v>28</v>
      </c>
    </row>
    <row r="483" spans="1:9" x14ac:dyDescent="0.3">
      <c r="A483" s="26">
        <v>45324</v>
      </c>
      <c r="B483" t="s">
        <v>1026</v>
      </c>
      <c r="C483" t="s">
        <v>874</v>
      </c>
      <c r="D483">
        <v>0.52</v>
      </c>
      <c r="E483" t="s">
        <v>7</v>
      </c>
      <c r="F483" t="s">
        <v>772</v>
      </c>
      <c r="G483" t="s">
        <v>1105</v>
      </c>
      <c r="H483" t="s">
        <v>29</v>
      </c>
      <c r="I483" s="28" t="s">
        <v>28</v>
      </c>
    </row>
    <row r="484" spans="1:9" x14ac:dyDescent="0.3">
      <c r="A484" s="26">
        <v>45324</v>
      </c>
      <c r="B484" t="s">
        <v>1032</v>
      </c>
      <c r="C484" t="s">
        <v>753</v>
      </c>
      <c r="D484">
        <v>2.73</v>
      </c>
      <c r="E484" t="s">
        <v>790</v>
      </c>
      <c r="F484" t="s">
        <v>754</v>
      </c>
      <c r="G484" t="s">
        <v>1252</v>
      </c>
      <c r="H484" t="s">
        <v>29</v>
      </c>
      <c r="I484" s="28" t="s">
        <v>28</v>
      </c>
    </row>
    <row r="485" spans="1:9" x14ac:dyDescent="0.3">
      <c r="A485" s="26">
        <v>45324</v>
      </c>
      <c r="B485" t="s">
        <v>1032</v>
      </c>
      <c r="C485" t="s">
        <v>753</v>
      </c>
      <c r="D485">
        <v>4.3499999999999996</v>
      </c>
      <c r="E485" t="s">
        <v>790</v>
      </c>
      <c r="F485" t="s">
        <v>754</v>
      </c>
      <c r="H485" t="s">
        <v>29</v>
      </c>
      <c r="I485" s="28" t="s">
        <v>28</v>
      </c>
    </row>
    <row r="486" spans="1:9" x14ac:dyDescent="0.3">
      <c r="A486" s="26">
        <v>45324</v>
      </c>
      <c r="B486" t="s">
        <v>1032</v>
      </c>
      <c r="C486" t="s">
        <v>789</v>
      </c>
      <c r="D486">
        <v>0.63</v>
      </c>
      <c r="E486" t="s">
        <v>790</v>
      </c>
      <c r="F486" t="s">
        <v>754</v>
      </c>
      <c r="G486" t="s">
        <v>1253</v>
      </c>
      <c r="H486" t="s">
        <v>29</v>
      </c>
      <c r="I486" s="28" t="s">
        <v>28</v>
      </c>
    </row>
    <row r="487" spans="1:9" x14ac:dyDescent="0.3">
      <c r="A487" s="26">
        <v>45324</v>
      </c>
      <c r="B487" t="s">
        <v>1032</v>
      </c>
      <c r="C487" t="s">
        <v>874</v>
      </c>
      <c r="D487">
        <v>1.03</v>
      </c>
      <c r="E487" t="s">
        <v>7</v>
      </c>
      <c r="F487" t="s">
        <v>772</v>
      </c>
      <c r="G487" t="s">
        <v>1254</v>
      </c>
      <c r="H487" t="s">
        <v>29</v>
      </c>
      <c r="I487" s="28" t="s">
        <v>28</v>
      </c>
    </row>
    <row r="488" spans="1:9" x14ac:dyDescent="0.3">
      <c r="A488" s="26">
        <v>45324</v>
      </c>
      <c r="B488" t="s">
        <v>1034</v>
      </c>
      <c r="C488" t="s">
        <v>753</v>
      </c>
      <c r="D488">
        <v>0.22</v>
      </c>
      <c r="E488" t="s">
        <v>655</v>
      </c>
      <c r="F488" t="s">
        <v>754</v>
      </c>
      <c r="G488" t="s">
        <v>1255</v>
      </c>
      <c r="H488" t="s">
        <v>29</v>
      </c>
      <c r="I488" s="28" t="s">
        <v>28</v>
      </c>
    </row>
    <row r="489" spans="1:9" x14ac:dyDescent="0.3">
      <c r="A489" s="26">
        <v>45324</v>
      </c>
      <c r="B489" t="s">
        <v>1034</v>
      </c>
      <c r="C489" t="s">
        <v>753</v>
      </c>
      <c r="D489">
        <v>0.52</v>
      </c>
      <c r="E489" t="s">
        <v>978</v>
      </c>
      <c r="F489" t="s">
        <v>754</v>
      </c>
      <c r="G489" t="s">
        <v>1256</v>
      </c>
      <c r="H489" t="s">
        <v>29</v>
      </c>
      <c r="I489" s="28" t="s">
        <v>28</v>
      </c>
    </row>
    <row r="490" spans="1:9" x14ac:dyDescent="0.3">
      <c r="A490" s="26">
        <v>45324</v>
      </c>
      <c r="B490" t="s">
        <v>1034</v>
      </c>
      <c r="C490" t="s">
        <v>753</v>
      </c>
      <c r="D490">
        <v>0.88</v>
      </c>
      <c r="E490" t="s">
        <v>978</v>
      </c>
      <c r="F490" t="s">
        <v>754</v>
      </c>
      <c r="G490" t="s">
        <v>1257</v>
      </c>
      <c r="H490" t="s">
        <v>29</v>
      </c>
      <c r="I490" s="28" t="s">
        <v>28</v>
      </c>
    </row>
    <row r="491" spans="1:9" x14ac:dyDescent="0.3">
      <c r="A491" s="26">
        <v>45324</v>
      </c>
      <c r="B491" t="s">
        <v>1034</v>
      </c>
      <c r="C491" t="s">
        <v>771</v>
      </c>
      <c r="D491">
        <v>0.25</v>
      </c>
      <c r="E491" t="s">
        <v>7</v>
      </c>
      <c r="F491" t="s">
        <v>772</v>
      </c>
      <c r="G491" t="s">
        <v>1258</v>
      </c>
      <c r="H491" t="s">
        <v>29</v>
      </c>
      <c r="I491" s="28" t="s">
        <v>28</v>
      </c>
    </row>
    <row r="492" spans="1:9" x14ac:dyDescent="0.3">
      <c r="A492" s="26">
        <v>45324</v>
      </c>
      <c r="B492" t="s">
        <v>1034</v>
      </c>
      <c r="C492" t="s">
        <v>771</v>
      </c>
      <c r="D492">
        <v>0.42</v>
      </c>
      <c r="E492" t="s">
        <v>7</v>
      </c>
      <c r="F492" t="s">
        <v>772</v>
      </c>
      <c r="G492" t="s">
        <v>1259</v>
      </c>
      <c r="H492" t="s">
        <v>29</v>
      </c>
      <c r="I492" s="28" t="s">
        <v>28</v>
      </c>
    </row>
    <row r="493" spans="1:9" x14ac:dyDescent="0.3">
      <c r="A493" s="26">
        <v>45324</v>
      </c>
      <c r="B493" t="s">
        <v>1034</v>
      </c>
      <c r="C493" t="s">
        <v>771</v>
      </c>
      <c r="D493">
        <v>0.5</v>
      </c>
      <c r="E493" t="s">
        <v>7</v>
      </c>
      <c r="F493" t="s">
        <v>772</v>
      </c>
      <c r="G493" t="s">
        <v>781</v>
      </c>
      <c r="H493" t="s">
        <v>29</v>
      </c>
      <c r="I493" s="28" t="s">
        <v>28</v>
      </c>
    </row>
    <row r="494" spans="1:9" x14ac:dyDescent="0.3">
      <c r="A494" s="26">
        <v>45324</v>
      </c>
      <c r="B494" t="s">
        <v>1034</v>
      </c>
      <c r="C494" t="s">
        <v>771</v>
      </c>
      <c r="D494">
        <v>0.67</v>
      </c>
      <c r="E494" t="s">
        <v>7</v>
      </c>
      <c r="F494" t="s">
        <v>772</v>
      </c>
      <c r="G494" t="s">
        <v>1260</v>
      </c>
      <c r="H494" t="s">
        <v>29</v>
      </c>
      <c r="I494" s="28" t="s">
        <v>28</v>
      </c>
    </row>
    <row r="495" spans="1:9" x14ac:dyDescent="0.3">
      <c r="A495" s="26">
        <v>45324</v>
      </c>
      <c r="B495" t="s">
        <v>1034</v>
      </c>
      <c r="C495" t="s">
        <v>916</v>
      </c>
      <c r="D495">
        <v>0.47</v>
      </c>
      <c r="E495" t="s">
        <v>655</v>
      </c>
      <c r="F495" t="s">
        <v>754</v>
      </c>
      <c r="G495" t="s">
        <v>1261</v>
      </c>
      <c r="H495" t="s">
        <v>29</v>
      </c>
      <c r="I495" s="28" t="s">
        <v>28</v>
      </c>
    </row>
    <row r="496" spans="1:9" x14ac:dyDescent="0.3">
      <c r="A496" s="26">
        <v>45324</v>
      </c>
      <c r="B496" t="s">
        <v>1034</v>
      </c>
      <c r="C496" t="s">
        <v>874</v>
      </c>
      <c r="D496">
        <v>1.33</v>
      </c>
      <c r="E496" t="s">
        <v>7</v>
      </c>
      <c r="F496" t="s">
        <v>772</v>
      </c>
      <c r="G496" t="s">
        <v>1262</v>
      </c>
      <c r="H496" t="s">
        <v>29</v>
      </c>
      <c r="I496" s="28" t="s">
        <v>28</v>
      </c>
    </row>
    <row r="497" spans="1:9" x14ac:dyDescent="0.3">
      <c r="A497" s="26">
        <v>45324</v>
      </c>
      <c r="B497" t="s">
        <v>1034</v>
      </c>
      <c r="C497" t="s">
        <v>776</v>
      </c>
      <c r="D497">
        <v>0.23</v>
      </c>
      <c r="E497" t="s">
        <v>790</v>
      </c>
      <c r="F497" t="s">
        <v>754</v>
      </c>
      <c r="G497" t="s">
        <v>1263</v>
      </c>
      <c r="H497" t="s">
        <v>29</v>
      </c>
      <c r="I497" s="28" t="s">
        <v>28</v>
      </c>
    </row>
    <row r="498" spans="1:9" x14ac:dyDescent="0.3">
      <c r="A498" s="26">
        <v>45324</v>
      </c>
      <c r="B498" t="s">
        <v>1034</v>
      </c>
      <c r="C498" t="s">
        <v>776</v>
      </c>
      <c r="D498">
        <v>0.4</v>
      </c>
      <c r="E498" t="s">
        <v>790</v>
      </c>
      <c r="F498" t="s">
        <v>754</v>
      </c>
      <c r="G498" t="s">
        <v>1264</v>
      </c>
      <c r="H498" t="s">
        <v>29</v>
      </c>
      <c r="I498" s="28" t="s">
        <v>28</v>
      </c>
    </row>
    <row r="499" spans="1:9" x14ac:dyDescent="0.3">
      <c r="A499" s="26">
        <v>45324</v>
      </c>
      <c r="B499" t="s">
        <v>1034</v>
      </c>
      <c r="C499" t="s">
        <v>776</v>
      </c>
      <c r="D499">
        <v>0.85</v>
      </c>
      <c r="E499" t="s">
        <v>879</v>
      </c>
      <c r="F499" t="s">
        <v>754</v>
      </c>
      <c r="G499" t="s">
        <v>1265</v>
      </c>
      <c r="H499" t="s">
        <v>29</v>
      </c>
      <c r="I499" s="28" t="s">
        <v>28</v>
      </c>
    </row>
    <row r="500" spans="1:9" x14ac:dyDescent="0.3">
      <c r="A500" s="26">
        <v>45324</v>
      </c>
      <c r="B500" t="s">
        <v>1034</v>
      </c>
      <c r="C500" t="s">
        <v>776</v>
      </c>
      <c r="D500">
        <v>1.3</v>
      </c>
      <c r="E500" t="s">
        <v>790</v>
      </c>
      <c r="F500" t="s">
        <v>754</v>
      </c>
      <c r="G500" t="s">
        <v>1266</v>
      </c>
      <c r="H500" t="s">
        <v>29</v>
      </c>
      <c r="I500" s="28" t="s">
        <v>28</v>
      </c>
    </row>
    <row r="501" spans="1:9" x14ac:dyDescent="0.3">
      <c r="A501" s="26">
        <v>45324</v>
      </c>
      <c r="B501" t="s">
        <v>1043</v>
      </c>
      <c r="C501" t="s">
        <v>1044</v>
      </c>
      <c r="D501">
        <v>0.42</v>
      </c>
      <c r="E501" t="s">
        <v>373</v>
      </c>
      <c r="F501" t="s">
        <v>754</v>
      </c>
      <c r="G501" t="s">
        <v>1267</v>
      </c>
      <c r="H501" t="s">
        <v>29</v>
      </c>
      <c r="I501" s="28" t="s">
        <v>28</v>
      </c>
    </row>
    <row r="502" spans="1:9" x14ac:dyDescent="0.3">
      <c r="A502" s="26">
        <v>45324</v>
      </c>
      <c r="B502" t="s">
        <v>1043</v>
      </c>
      <c r="C502" t="s">
        <v>826</v>
      </c>
      <c r="D502">
        <v>0.25</v>
      </c>
      <c r="E502" t="s">
        <v>1046</v>
      </c>
      <c r="F502" t="s">
        <v>754</v>
      </c>
      <c r="G502" t="s">
        <v>1268</v>
      </c>
      <c r="H502" t="s">
        <v>29</v>
      </c>
      <c r="I502" s="28" t="s">
        <v>28</v>
      </c>
    </row>
    <row r="503" spans="1:9" x14ac:dyDescent="0.3">
      <c r="A503" s="26">
        <v>45324</v>
      </c>
      <c r="B503" t="s">
        <v>1043</v>
      </c>
      <c r="C503" t="s">
        <v>1269</v>
      </c>
      <c r="D503">
        <v>0.08</v>
      </c>
      <c r="E503" t="s">
        <v>964</v>
      </c>
      <c r="F503" t="s">
        <v>754</v>
      </c>
      <c r="G503" t="s">
        <v>1270</v>
      </c>
      <c r="H503" t="s">
        <v>29</v>
      </c>
      <c r="I503" s="28" t="s">
        <v>28</v>
      </c>
    </row>
    <row r="504" spans="1:9" x14ac:dyDescent="0.3">
      <c r="A504" s="26">
        <v>45324</v>
      </c>
      <c r="B504" t="s">
        <v>1049</v>
      </c>
      <c r="C504" t="s">
        <v>753</v>
      </c>
      <c r="D504">
        <v>1.1200000000000001</v>
      </c>
      <c r="E504" t="s">
        <v>316</v>
      </c>
      <c r="F504" t="s">
        <v>754</v>
      </c>
      <c r="G504" t="s">
        <v>1271</v>
      </c>
      <c r="H504" t="s">
        <v>29</v>
      </c>
      <c r="I504" s="28" t="s">
        <v>28</v>
      </c>
    </row>
    <row r="505" spans="1:9" x14ac:dyDescent="0.3">
      <c r="A505" s="26">
        <v>45324</v>
      </c>
      <c r="B505" t="s">
        <v>1049</v>
      </c>
      <c r="C505" t="s">
        <v>753</v>
      </c>
      <c r="D505">
        <v>1.55</v>
      </c>
      <c r="E505" t="s">
        <v>964</v>
      </c>
      <c r="F505" t="s">
        <v>754</v>
      </c>
      <c r="G505" t="s">
        <v>1272</v>
      </c>
      <c r="H505" t="s">
        <v>29</v>
      </c>
      <c r="I505" s="28" t="s">
        <v>28</v>
      </c>
    </row>
    <row r="506" spans="1:9" x14ac:dyDescent="0.3">
      <c r="A506" s="26">
        <v>45324</v>
      </c>
      <c r="B506" t="s">
        <v>1049</v>
      </c>
      <c r="C506" t="s">
        <v>771</v>
      </c>
      <c r="D506">
        <v>0.5</v>
      </c>
      <c r="E506" t="s">
        <v>7</v>
      </c>
      <c r="F506" t="s">
        <v>772</v>
      </c>
      <c r="G506" t="s">
        <v>1058</v>
      </c>
      <c r="H506" t="s">
        <v>29</v>
      </c>
      <c r="I506" s="28" t="s">
        <v>28</v>
      </c>
    </row>
    <row r="507" spans="1:9" x14ac:dyDescent="0.3">
      <c r="A507" s="26">
        <v>45324</v>
      </c>
      <c r="B507" t="s">
        <v>1049</v>
      </c>
      <c r="C507" t="s">
        <v>874</v>
      </c>
      <c r="D507">
        <v>0.92</v>
      </c>
      <c r="E507" t="s">
        <v>7</v>
      </c>
      <c r="F507" t="s">
        <v>772</v>
      </c>
      <c r="G507" t="s">
        <v>1162</v>
      </c>
      <c r="H507" t="s">
        <v>29</v>
      </c>
      <c r="I507" s="28" t="s">
        <v>28</v>
      </c>
    </row>
    <row r="508" spans="1:9" x14ac:dyDescent="0.3">
      <c r="A508" s="26">
        <v>45324</v>
      </c>
      <c r="B508" t="s">
        <v>1049</v>
      </c>
      <c r="C508" t="s">
        <v>776</v>
      </c>
      <c r="D508">
        <v>0.17</v>
      </c>
      <c r="E508" t="s">
        <v>1273</v>
      </c>
      <c r="F508" t="s">
        <v>754</v>
      </c>
      <c r="G508" t="s">
        <v>1274</v>
      </c>
      <c r="H508" t="s">
        <v>29</v>
      </c>
      <c r="I508" s="28" t="s">
        <v>28</v>
      </c>
    </row>
    <row r="509" spans="1:9" x14ac:dyDescent="0.3">
      <c r="A509" s="26">
        <v>45324</v>
      </c>
      <c r="B509" t="s">
        <v>1049</v>
      </c>
      <c r="C509" t="s">
        <v>776</v>
      </c>
      <c r="D509">
        <v>0.4</v>
      </c>
      <c r="E509" t="s">
        <v>1273</v>
      </c>
      <c r="F509" t="s">
        <v>754</v>
      </c>
      <c r="G509" t="s">
        <v>1275</v>
      </c>
      <c r="H509" t="s">
        <v>29</v>
      </c>
      <c r="I509" s="28" t="s">
        <v>28</v>
      </c>
    </row>
    <row r="510" spans="1:9" x14ac:dyDescent="0.3">
      <c r="A510" s="26">
        <v>45324</v>
      </c>
      <c r="B510" t="s">
        <v>1049</v>
      </c>
      <c r="C510" t="s">
        <v>776</v>
      </c>
      <c r="D510">
        <v>0.55000000000000004</v>
      </c>
      <c r="E510" t="s">
        <v>1273</v>
      </c>
      <c r="F510" t="s">
        <v>754</v>
      </c>
      <c r="G510" t="s">
        <v>1276</v>
      </c>
      <c r="H510" t="s">
        <v>29</v>
      </c>
      <c r="I510" s="28" t="s">
        <v>28</v>
      </c>
    </row>
    <row r="511" spans="1:9" x14ac:dyDescent="0.3">
      <c r="A511" s="26">
        <v>45324</v>
      </c>
      <c r="B511" t="s">
        <v>1049</v>
      </c>
      <c r="C511" t="s">
        <v>776</v>
      </c>
      <c r="D511">
        <v>1.32</v>
      </c>
      <c r="E511" t="s">
        <v>1273</v>
      </c>
      <c r="F511" t="s">
        <v>754</v>
      </c>
      <c r="G511" t="s">
        <v>1277</v>
      </c>
      <c r="H511" t="s">
        <v>29</v>
      </c>
      <c r="I511" s="28" t="s">
        <v>28</v>
      </c>
    </row>
    <row r="512" spans="1:9" x14ac:dyDescent="0.3">
      <c r="A512" s="26">
        <v>45324</v>
      </c>
      <c r="B512" t="s">
        <v>1049</v>
      </c>
      <c r="C512" t="s">
        <v>776</v>
      </c>
      <c r="D512">
        <v>1.38</v>
      </c>
      <c r="E512" t="s">
        <v>507</v>
      </c>
      <c r="F512" t="s">
        <v>754</v>
      </c>
      <c r="G512" t="s">
        <v>1277</v>
      </c>
      <c r="H512" t="s">
        <v>29</v>
      </c>
      <c r="I512" s="28" t="s">
        <v>28</v>
      </c>
    </row>
    <row r="513" spans="1:9" x14ac:dyDescent="0.3">
      <c r="A513" s="26">
        <v>45324</v>
      </c>
      <c r="B513" t="s">
        <v>1049</v>
      </c>
      <c r="C513" t="s">
        <v>1278</v>
      </c>
      <c r="D513">
        <v>0.17</v>
      </c>
      <c r="E513" t="s">
        <v>562</v>
      </c>
      <c r="F513" t="s">
        <v>754</v>
      </c>
      <c r="G513" t="s">
        <v>1279</v>
      </c>
      <c r="H513" t="s">
        <v>29</v>
      </c>
      <c r="I513" s="28" t="s">
        <v>28</v>
      </c>
    </row>
    <row r="514" spans="1:9" x14ac:dyDescent="0.3">
      <c r="A514" s="26">
        <v>45324</v>
      </c>
      <c r="B514" t="s">
        <v>1060</v>
      </c>
      <c r="C514" t="s">
        <v>909</v>
      </c>
      <c r="D514">
        <v>0.33</v>
      </c>
      <c r="E514" t="s">
        <v>201</v>
      </c>
      <c r="F514" t="s">
        <v>754</v>
      </c>
      <c r="G514" t="s">
        <v>1280</v>
      </c>
      <c r="H514" t="s">
        <v>29</v>
      </c>
      <c r="I514" s="28" t="s">
        <v>28</v>
      </c>
    </row>
    <row r="515" spans="1:9" x14ac:dyDescent="0.3">
      <c r="A515" s="26">
        <v>45324</v>
      </c>
      <c r="B515" t="s">
        <v>1060</v>
      </c>
      <c r="C515" t="s">
        <v>909</v>
      </c>
      <c r="D515">
        <v>0.5</v>
      </c>
      <c r="E515" t="s">
        <v>375</v>
      </c>
      <c r="F515" t="s">
        <v>754</v>
      </c>
      <c r="G515" t="s">
        <v>1281</v>
      </c>
      <c r="H515" t="s">
        <v>29</v>
      </c>
      <c r="I515" s="28" t="s">
        <v>28</v>
      </c>
    </row>
    <row r="516" spans="1:9" x14ac:dyDescent="0.3">
      <c r="A516" s="26">
        <v>45324</v>
      </c>
      <c r="B516" t="s">
        <v>1060</v>
      </c>
      <c r="C516" t="s">
        <v>909</v>
      </c>
      <c r="D516">
        <v>0.5</v>
      </c>
      <c r="E516" t="s">
        <v>563</v>
      </c>
      <c r="F516" t="s">
        <v>754</v>
      </c>
      <c r="G516" t="s">
        <v>1282</v>
      </c>
      <c r="H516" t="s">
        <v>29</v>
      </c>
      <c r="I516" s="28" t="s">
        <v>28</v>
      </c>
    </row>
    <row r="517" spans="1:9" x14ac:dyDescent="0.3">
      <c r="A517" s="26">
        <v>45324</v>
      </c>
      <c r="B517" t="s">
        <v>1060</v>
      </c>
      <c r="C517" t="s">
        <v>909</v>
      </c>
      <c r="D517">
        <v>0.5</v>
      </c>
      <c r="E517" t="s">
        <v>589</v>
      </c>
      <c r="F517" t="s">
        <v>754</v>
      </c>
      <c r="G517" t="s">
        <v>1283</v>
      </c>
      <c r="H517" t="s">
        <v>29</v>
      </c>
      <c r="I517" s="28" t="s">
        <v>28</v>
      </c>
    </row>
    <row r="518" spans="1:9" x14ac:dyDescent="0.3">
      <c r="A518" s="26">
        <v>45324</v>
      </c>
      <c r="B518" t="s">
        <v>1060</v>
      </c>
      <c r="C518" t="s">
        <v>771</v>
      </c>
      <c r="D518">
        <v>4</v>
      </c>
      <c r="E518" t="s">
        <v>7</v>
      </c>
      <c r="F518" t="s">
        <v>772</v>
      </c>
      <c r="G518" t="s">
        <v>1284</v>
      </c>
      <c r="H518" t="s">
        <v>29</v>
      </c>
      <c r="I518" s="28" t="s">
        <v>28</v>
      </c>
    </row>
    <row r="519" spans="1:9" x14ac:dyDescent="0.3">
      <c r="A519" s="26">
        <v>45324</v>
      </c>
      <c r="B519" t="s">
        <v>1060</v>
      </c>
      <c r="C519" t="s">
        <v>1068</v>
      </c>
      <c r="D519">
        <v>0.33</v>
      </c>
      <c r="E519" t="s">
        <v>790</v>
      </c>
      <c r="F519" t="s">
        <v>754</v>
      </c>
      <c r="G519" t="s">
        <v>1285</v>
      </c>
      <c r="H519" t="s">
        <v>29</v>
      </c>
      <c r="I519" s="28" t="s">
        <v>28</v>
      </c>
    </row>
    <row r="520" spans="1:9" x14ac:dyDescent="0.3">
      <c r="A520" s="26">
        <v>45324</v>
      </c>
      <c r="B520" t="s">
        <v>1060</v>
      </c>
      <c r="C520" t="s">
        <v>1201</v>
      </c>
      <c r="D520">
        <v>0.33</v>
      </c>
      <c r="E520" t="s">
        <v>644</v>
      </c>
      <c r="F520" t="s">
        <v>754</v>
      </c>
      <c r="G520" t="s">
        <v>1286</v>
      </c>
      <c r="H520" t="s">
        <v>29</v>
      </c>
      <c r="I520" s="28" t="s">
        <v>28</v>
      </c>
    </row>
    <row r="521" spans="1:9" x14ac:dyDescent="0.3">
      <c r="A521" s="26">
        <v>45324</v>
      </c>
      <c r="B521" t="s">
        <v>1060</v>
      </c>
      <c r="C521" t="s">
        <v>916</v>
      </c>
      <c r="D521">
        <v>0.33</v>
      </c>
      <c r="E521" t="s">
        <v>589</v>
      </c>
      <c r="F521" t="s">
        <v>754</v>
      </c>
      <c r="G521" t="s">
        <v>1071</v>
      </c>
      <c r="H521" t="s">
        <v>29</v>
      </c>
      <c r="I521" s="28" t="s">
        <v>28</v>
      </c>
    </row>
    <row r="522" spans="1:9" x14ac:dyDescent="0.3">
      <c r="A522" s="26">
        <v>45324</v>
      </c>
      <c r="B522" t="s">
        <v>1060</v>
      </c>
      <c r="C522" t="s">
        <v>916</v>
      </c>
      <c r="D522">
        <v>0.33</v>
      </c>
      <c r="E522" t="s">
        <v>917</v>
      </c>
      <c r="F522" t="s">
        <v>754</v>
      </c>
      <c r="G522" t="s">
        <v>1071</v>
      </c>
      <c r="H522" t="s">
        <v>29</v>
      </c>
      <c r="I522" s="28" t="s">
        <v>28</v>
      </c>
    </row>
    <row r="523" spans="1:9" x14ac:dyDescent="0.3">
      <c r="A523" s="26">
        <v>45324</v>
      </c>
      <c r="B523" t="s">
        <v>1060</v>
      </c>
      <c r="C523" t="s">
        <v>916</v>
      </c>
      <c r="D523">
        <v>0.5</v>
      </c>
      <c r="E523" t="s">
        <v>173</v>
      </c>
      <c r="F523" t="s">
        <v>754</v>
      </c>
      <c r="G523" t="s">
        <v>1287</v>
      </c>
      <c r="H523" t="s">
        <v>29</v>
      </c>
      <c r="I523" s="28" t="s">
        <v>28</v>
      </c>
    </row>
    <row r="524" spans="1:9" x14ac:dyDescent="0.3">
      <c r="A524" s="26">
        <v>45324</v>
      </c>
      <c r="B524" t="s">
        <v>1288</v>
      </c>
      <c r="C524" t="s">
        <v>753</v>
      </c>
      <c r="D524">
        <v>0.25</v>
      </c>
      <c r="E524" t="s">
        <v>845</v>
      </c>
      <c r="F524" t="s">
        <v>754</v>
      </c>
      <c r="G524" t="s">
        <v>1289</v>
      </c>
      <c r="H524" t="s">
        <v>29</v>
      </c>
      <c r="I524" s="28" t="s">
        <v>28</v>
      </c>
    </row>
    <row r="525" spans="1:9" x14ac:dyDescent="0.3">
      <c r="A525" s="26">
        <v>45324</v>
      </c>
      <c r="B525" t="s">
        <v>1074</v>
      </c>
      <c r="C525" t="s">
        <v>753</v>
      </c>
      <c r="D525">
        <v>0.4</v>
      </c>
      <c r="E525" t="s">
        <v>1096</v>
      </c>
      <c r="F525" t="s">
        <v>754</v>
      </c>
      <c r="G525" t="s">
        <v>1290</v>
      </c>
      <c r="H525" t="s">
        <v>29</v>
      </c>
      <c r="I525" s="28" t="s">
        <v>28</v>
      </c>
    </row>
    <row r="526" spans="1:9" x14ac:dyDescent="0.3">
      <c r="A526" s="26">
        <v>45324</v>
      </c>
      <c r="B526" t="s">
        <v>1074</v>
      </c>
      <c r="C526" t="s">
        <v>753</v>
      </c>
      <c r="D526">
        <v>0.4</v>
      </c>
      <c r="E526" t="s">
        <v>885</v>
      </c>
      <c r="F526" t="s">
        <v>754</v>
      </c>
      <c r="G526" t="s">
        <v>1291</v>
      </c>
      <c r="H526" t="s">
        <v>29</v>
      </c>
      <c r="I526" s="28" t="s">
        <v>28</v>
      </c>
    </row>
    <row r="527" spans="1:9" x14ac:dyDescent="0.3">
      <c r="A527" s="26">
        <v>45324</v>
      </c>
      <c r="B527" t="s">
        <v>1074</v>
      </c>
      <c r="C527" t="s">
        <v>753</v>
      </c>
      <c r="D527">
        <v>0.5</v>
      </c>
      <c r="E527" t="s">
        <v>964</v>
      </c>
      <c r="F527" t="s">
        <v>754</v>
      </c>
      <c r="G527" t="s">
        <v>1292</v>
      </c>
      <c r="H527" t="s">
        <v>29</v>
      </c>
      <c r="I527" s="28" t="s">
        <v>28</v>
      </c>
    </row>
    <row r="528" spans="1:9" x14ac:dyDescent="0.3">
      <c r="A528" s="26">
        <v>45324</v>
      </c>
      <c r="B528" t="s">
        <v>1074</v>
      </c>
      <c r="C528" t="s">
        <v>753</v>
      </c>
      <c r="D528">
        <v>0.5</v>
      </c>
      <c r="E528" t="s">
        <v>964</v>
      </c>
      <c r="F528" t="s">
        <v>754</v>
      </c>
      <c r="G528" t="s">
        <v>1293</v>
      </c>
      <c r="H528" t="s">
        <v>29</v>
      </c>
      <c r="I528" s="28" t="s">
        <v>28</v>
      </c>
    </row>
    <row r="529" spans="1:9" x14ac:dyDescent="0.3">
      <c r="A529" s="26">
        <v>45324</v>
      </c>
      <c r="B529" t="s">
        <v>1074</v>
      </c>
      <c r="C529" t="s">
        <v>753</v>
      </c>
      <c r="D529">
        <v>0.6</v>
      </c>
      <c r="E529" t="s">
        <v>964</v>
      </c>
      <c r="F529" t="s">
        <v>754</v>
      </c>
      <c r="G529" t="s">
        <v>1294</v>
      </c>
      <c r="H529" t="s">
        <v>29</v>
      </c>
      <c r="I529" s="28" t="s">
        <v>28</v>
      </c>
    </row>
    <row r="530" spans="1:9" x14ac:dyDescent="0.3">
      <c r="A530" s="26">
        <v>45324</v>
      </c>
      <c r="B530" t="s">
        <v>1074</v>
      </c>
      <c r="C530" t="s">
        <v>753</v>
      </c>
      <c r="D530">
        <v>0.6</v>
      </c>
      <c r="E530" t="s">
        <v>964</v>
      </c>
      <c r="F530" t="s">
        <v>754</v>
      </c>
      <c r="G530" t="s">
        <v>1295</v>
      </c>
      <c r="H530" t="s">
        <v>29</v>
      </c>
      <c r="I530" s="28" t="s">
        <v>28</v>
      </c>
    </row>
    <row r="531" spans="1:9" x14ac:dyDescent="0.3">
      <c r="A531" s="26">
        <v>45324</v>
      </c>
      <c r="B531" t="s">
        <v>1074</v>
      </c>
      <c r="C531" t="s">
        <v>909</v>
      </c>
      <c r="D531">
        <v>0.2</v>
      </c>
      <c r="E531" t="s">
        <v>1096</v>
      </c>
      <c r="F531" t="s">
        <v>754</v>
      </c>
      <c r="G531" t="s">
        <v>1296</v>
      </c>
      <c r="H531" t="s">
        <v>29</v>
      </c>
      <c r="I531" s="28" t="s">
        <v>28</v>
      </c>
    </row>
    <row r="532" spans="1:9" x14ac:dyDescent="0.3">
      <c r="A532" s="26">
        <v>45324</v>
      </c>
      <c r="B532" t="s">
        <v>1074</v>
      </c>
      <c r="C532" t="s">
        <v>909</v>
      </c>
      <c r="D532">
        <v>0.6</v>
      </c>
      <c r="E532" t="s">
        <v>964</v>
      </c>
      <c r="F532" t="s">
        <v>754</v>
      </c>
      <c r="G532" t="s">
        <v>1297</v>
      </c>
      <c r="H532" t="s">
        <v>29</v>
      </c>
      <c r="I532" s="28" t="s">
        <v>28</v>
      </c>
    </row>
    <row r="533" spans="1:9" x14ac:dyDescent="0.3">
      <c r="A533" s="26">
        <v>45324</v>
      </c>
      <c r="B533" t="s">
        <v>1074</v>
      </c>
      <c r="C533" t="s">
        <v>771</v>
      </c>
      <c r="D533">
        <v>1.2</v>
      </c>
      <c r="E533" t="s">
        <v>7</v>
      </c>
      <c r="F533" t="s">
        <v>772</v>
      </c>
      <c r="G533" t="s">
        <v>1298</v>
      </c>
      <c r="H533" t="s">
        <v>29</v>
      </c>
      <c r="I533" s="28" t="s">
        <v>28</v>
      </c>
    </row>
    <row r="534" spans="1:9" x14ac:dyDescent="0.3">
      <c r="A534" s="26">
        <v>45324</v>
      </c>
      <c r="B534" t="s">
        <v>1081</v>
      </c>
      <c r="C534" t="s">
        <v>771</v>
      </c>
      <c r="D534">
        <v>4</v>
      </c>
      <c r="E534" t="s">
        <v>7</v>
      </c>
      <c r="F534" t="s">
        <v>772</v>
      </c>
      <c r="G534" t="e">
        <f>- attend to queries re PerfPro - schedule CM candidate for interview - check PIP  - interview SA internal candidate</f>
        <v>#NAME?</v>
      </c>
      <c r="H534" t="s">
        <v>29</v>
      </c>
      <c r="I534" s="28" t="s">
        <v>28</v>
      </c>
    </row>
    <row r="535" spans="1:9" x14ac:dyDescent="0.3">
      <c r="A535" s="26">
        <v>45324</v>
      </c>
      <c r="B535" t="s">
        <v>1081</v>
      </c>
      <c r="C535" t="s">
        <v>771</v>
      </c>
      <c r="D535">
        <v>4</v>
      </c>
      <c r="E535" t="s">
        <v>7</v>
      </c>
      <c r="F535" t="s">
        <v>772</v>
      </c>
      <c r="G535" t="s">
        <v>1299</v>
      </c>
      <c r="H535" t="s">
        <v>29</v>
      </c>
      <c r="I535" s="28" t="s">
        <v>28</v>
      </c>
    </row>
    <row r="536" spans="1:9" x14ac:dyDescent="0.3">
      <c r="A536" s="26">
        <v>45325</v>
      </c>
      <c r="B536" t="s">
        <v>877</v>
      </c>
      <c r="C536" t="s">
        <v>878</v>
      </c>
      <c r="D536">
        <v>0.35</v>
      </c>
      <c r="E536" t="s">
        <v>879</v>
      </c>
      <c r="F536" t="s">
        <v>754</v>
      </c>
      <c r="G536" t="s">
        <v>1300</v>
      </c>
      <c r="H536" t="s">
        <v>29</v>
      </c>
      <c r="I536" s="28" t="s">
        <v>4520</v>
      </c>
    </row>
    <row r="537" spans="1:9" x14ac:dyDescent="0.3">
      <c r="A537" s="26">
        <v>45325</v>
      </c>
      <c r="B537" t="s">
        <v>877</v>
      </c>
      <c r="C537" t="s">
        <v>878</v>
      </c>
      <c r="D537">
        <v>0.45</v>
      </c>
      <c r="E537" t="s">
        <v>882</v>
      </c>
      <c r="F537" t="s">
        <v>754</v>
      </c>
      <c r="G537" t="s">
        <v>1301</v>
      </c>
      <c r="H537" t="s">
        <v>29</v>
      </c>
      <c r="I537" s="28" t="s">
        <v>4520</v>
      </c>
    </row>
    <row r="538" spans="1:9" x14ac:dyDescent="0.3">
      <c r="A538" s="26">
        <v>45327</v>
      </c>
      <c r="B538" t="s">
        <v>752</v>
      </c>
      <c r="C538" t="s">
        <v>753</v>
      </c>
      <c r="D538">
        <v>0.05</v>
      </c>
      <c r="E538" t="s">
        <v>664</v>
      </c>
      <c r="F538" t="s">
        <v>754</v>
      </c>
      <c r="G538" t="s">
        <v>1302</v>
      </c>
      <c r="H538" t="s">
        <v>30</v>
      </c>
      <c r="I538" s="28" t="s">
        <v>24</v>
      </c>
    </row>
    <row r="539" spans="1:9" x14ac:dyDescent="0.3">
      <c r="A539" s="26">
        <v>45327</v>
      </c>
      <c r="B539" t="s">
        <v>752</v>
      </c>
      <c r="C539" t="s">
        <v>753</v>
      </c>
      <c r="D539">
        <v>7.0000000000000007E-2</v>
      </c>
      <c r="E539" t="s">
        <v>757</v>
      </c>
      <c r="F539" t="s">
        <v>754</v>
      </c>
      <c r="G539" t="s">
        <v>755</v>
      </c>
      <c r="H539" t="s">
        <v>30</v>
      </c>
      <c r="I539" s="28" t="s">
        <v>24</v>
      </c>
    </row>
    <row r="540" spans="1:9" x14ac:dyDescent="0.3">
      <c r="A540" s="26">
        <v>45327</v>
      </c>
      <c r="B540" t="s">
        <v>752</v>
      </c>
      <c r="C540" t="s">
        <v>753</v>
      </c>
      <c r="D540">
        <v>7.0000000000000007E-2</v>
      </c>
      <c r="E540" t="s">
        <v>757</v>
      </c>
      <c r="F540" t="s">
        <v>754</v>
      </c>
      <c r="G540" t="s">
        <v>768</v>
      </c>
      <c r="H540" t="s">
        <v>30</v>
      </c>
      <c r="I540" s="28" t="s">
        <v>24</v>
      </c>
    </row>
    <row r="541" spans="1:9" x14ac:dyDescent="0.3">
      <c r="A541" s="26">
        <v>45327</v>
      </c>
      <c r="B541" t="s">
        <v>752</v>
      </c>
      <c r="C541" t="s">
        <v>753</v>
      </c>
      <c r="D541">
        <v>0.1</v>
      </c>
      <c r="E541" t="s">
        <v>561</v>
      </c>
      <c r="F541" t="s">
        <v>754</v>
      </c>
      <c r="G541" t="s">
        <v>765</v>
      </c>
      <c r="H541" t="s">
        <v>30</v>
      </c>
      <c r="I541" s="28" t="s">
        <v>24</v>
      </c>
    </row>
    <row r="542" spans="1:9" x14ac:dyDescent="0.3">
      <c r="A542" s="26">
        <v>45327</v>
      </c>
      <c r="B542" t="s">
        <v>752</v>
      </c>
      <c r="C542" t="s">
        <v>753</v>
      </c>
      <c r="D542">
        <v>0.18</v>
      </c>
      <c r="E542" t="s">
        <v>757</v>
      </c>
      <c r="F542" t="s">
        <v>754</v>
      </c>
      <c r="G542" t="s">
        <v>1303</v>
      </c>
      <c r="H542" t="s">
        <v>30</v>
      </c>
      <c r="I542" s="28" t="s">
        <v>24</v>
      </c>
    </row>
    <row r="543" spans="1:9" x14ac:dyDescent="0.3">
      <c r="A543" s="26">
        <v>45327</v>
      </c>
      <c r="B543" t="s">
        <v>752</v>
      </c>
      <c r="C543" t="s">
        <v>753</v>
      </c>
      <c r="D543">
        <v>0.2</v>
      </c>
      <c r="E543" t="s">
        <v>602</v>
      </c>
      <c r="F543" t="s">
        <v>754</v>
      </c>
      <c r="G543" t="s">
        <v>760</v>
      </c>
      <c r="H543" t="s">
        <v>30</v>
      </c>
      <c r="I543" s="28" t="s">
        <v>24</v>
      </c>
    </row>
    <row r="544" spans="1:9" x14ac:dyDescent="0.3">
      <c r="A544" s="26">
        <v>45327</v>
      </c>
      <c r="B544" t="s">
        <v>752</v>
      </c>
      <c r="C544" t="s">
        <v>753</v>
      </c>
      <c r="D544">
        <v>0.3</v>
      </c>
      <c r="E544" t="s">
        <v>430</v>
      </c>
      <c r="F544" t="s">
        <v>772</v>
      </c>
      <c r="G544" t="s">
        <v>1304</v>
      </c>
      <c r="H544" t="s">
        <v>30</v>
      </c>
      <c r="I544" s="28" t="s">
        <v>24</v>
      </c>
    </row>
    <row r="545" spans="1:9" x14ac:dyDescent="0.3">
      <c r="A545" s="26">
        <v>45327</v>
      </c>
      <c r="B545" t="s">
        <v>752</v>
      </c>
      <c r="C545" t="s">
        <v>753</v>
      </c>
      <c r="D545">
        <v>0.33</v>
      </c>
      <c r="E545" t="s">
        <v>602</v>
      </c>
      <c r="F545" t="s">
        <v>754</v>
      </c>
      <c r="G545" t="s">
        <v>766</v>
      </c>
      <c r="H545" t="s">
        <v>30</v>
      </c>
      <c r="I545" s="28" t="s">
        <v>24</v>
      </c>
    </row>
    <row r="546" spans="1:9" x14ac:dyDescent="0.3">
      <c r="A546" s="26">
        <v>45327</v>
      </c>
      <c r="B546" t="s">
        <v>752</v>
      </c>
      <c r="C546" t="s">
        <v>753</v>
      </c>
      <c r="D546">
        <v>0.35</v>
      </c>
      <c r="E546" t="s">
        <v>757</v>
      </c>
      <c r="F546" t="s">
        <v>754</v>
      </c>
      <c r="G546" t="s">
        <v>1305</v>
      </c>
      <c r="H546" t="s">
        <v>30</v>
      </c>
      <c r="I546" s="28" t="s">
        <v>24</v>
      </c>
    </row>
    <row r="547" spans="1:9" x14ac:dyDescent="0.3">
      <c r="A547" s="26">
        <v>45327</v>
      </c>
      <c r="B547" t="s">
        <v>752</v>
      </c>
      <c r="C547" t="s">
        <v>753</v>
      </c>
      <c r="D547">
        <v>0.42</v>
      </c>
      <c r="E547" t="s">
        <v>630</v>
      </c>
      <c r="F547" t="s">
        <v>754</v>
      </c>
      <c r="G547" t="s">
        <v>765</v>
      </c>
      <c r="H547" t="s">
        <v>30</v>
      </c>
      <c r="I547" s="28" t="s">
        <v>24</v>
      </c>
    </row>
    <row r="548" spans="1:9" x14ac:dyDescent="0.3">
      <c r="A548" s="26">
        <v>45327</v>
      </c>
      <c r="B548" t="s">
        <v>752</v>
      </c>
      <c r="C548" t="s">
        <v>753</v>
      </c>
      <c r="D548">
        <v>0.67</v>
      </c>
      <c r="E548" t="s">
        <v>1084</v>
      </c>
      <c r="F548" t="s">
        <v>754</v>
      </c>
      <c r="G548" t="s">
        <v>769</v>
      </c>
      <c r="H548" t="s">
        <v>30</v>
      </c>
      <c r="I548" s="28" t="s">
        <v>24</v>
      </c>
    </row>
    <row r="549" spans="1:9" x14ac:dyDescent="0.3">
      <c r="A549" s="26">
        <v>45327</v>
      </c>
      <c r="B549" t="s">
        <v>752</v>
      </c>
      <c r="C549" t="s">
        <v>753</v>
      </c>
      <c r="D549">
        <v>0.73</v>
      </c>
      <c r="E549" t="s">
        <v>664</v>
      </c>
      <c r="F549" t="s">
        <v>754</v>
      </c>
      <c r="G549" t="s">
        <v>1088</v>
      </c>
      <c r="H549" t="s">
        <v>30</v>
      </c>
      <c r="I549" s="28" t="s">
        <v>24</v>
      </c>
    </row>
    <row r="550" spans="1:9" x14ac:dyDescent="0.3">
      <c r="A550" s="26">
        <v>45327</v>
      </c>
      <c r="B550" t="s">
        <v>752</v>
      </c>
      <c r="C550" t="s">
        <v>753</v>
      </c>
      <c r="D550">
        <v>0.88</v>
      </c>
      <c r="E550" t="s">
        <v>757</v>
      </c>
      <c r="F550" t="s">
        <v>754</v>
      </c>
      <c r="G550" t="s">
        <v>1306</v>
      </c>
      <c r="H550" t="s">
        <v>30</v>
      </c>
      <c r="I550" s="28" t="s">
        <v>24</v>
      </c>
    </row>
    <row r="551" spans="1:9" x14ac:dyDescent="0.3">
      <c r="A551" s="26">
        <v>45327</v>
      </c>
      <c r="B551" t="s">
        <v>752</v>
      </c>
      <c r="C551" t="s">
        <v>753</v>
      </c>
      <c r="D551">
        <v>1</v>
      </c>
      <c r="E551" t="s">
        <v>602</v>
      </c>
      <c r="F551" t="s">
        <v>754</v>
      </c>
      <c r="G551" t="s">
        <v>765</v>
      </c>
      <c r="H551" t="s">
        <v>30</v>
      </c>
      <c r="I551" s="28" t="s">
        <v>24</v>
      </c>
    </row>
    <row r="552" spans="1:9" x14ac:dyDescent="0.3">
      <c r="A552" s="26">
        <v>45327</v>
      </c>
      <c r="B552" t="s">
        <v>752</v>
      </c>
      <c r="C552" t="s">
        <v>771</v>
      </c>
      <c r="D552">
        <v>0.15</v>
      </c>
      <c r="E552" t="s">
        <v>7</v>
      </c>
      <c r="F552" t="s">
        <v>772</v>
      </c>
      <c r="G552" t="s">
        <v>1307</v>
      </c>
      <c r="H552" t="s">
        <v>30</v>
      </c>
      <c r="I552" s="28" t="s">
        <v>24</v>
      </c>
    </row>
    <row r="553" spans="1:9" x14ac:dyDescent="0.3">
      <c r="A553" s="26">
        <v>45327</v>
      </c>
      <c r="B553" t="s">
        <v>752</v>
      </c>
      <c r="C553" t="s">
        <v>771</v>
      </c>
      <c r="D553">
        <v>0.25</v>
      </c>
      <c r="E553" t="s">
        <v>7</v>
      </c>
      <c r="F553" t="s">
        <v>772</v>
      </c>
      <c r="G553" t="s">
        <v>774</v>
      </c>
      <c r="H553" t="s">
        <v>30</v>
      </c>
      <c r="I553" s="28" t="s">
        <v>24</v>
      </c>
    </row>
    <row r="554" spans="1:9" x14ac:dyDescent="0.3">
      <c r="A554" s="26">
        <v>45327</v>
      </c>
      <c r="B554" t="s">
        <v>752</v>
      </c>
      <c r="C554" t="s">
        <v>771</v>
      </c>
      <c r="D554">
        <v>0.25</v>
      </c>
      <c r="E554" t="s">
        <v>7</v>
      </c>
      <c r="F554" t="s">
        <v>772</v>
      </c>
      <c r="G554" t="s">
        <v>775</v>
      </c>
      <c r="H554" t="s">
        <v>30</v>
      </c>
      <c r="I554" s="28" t="s">
        <v>24</v>
      </c>
    </row>
    <row r="555" spans="1:9" x14ac:dyDescent="0.3">
      <c r="A555" s="26">
        <v>45327</v>
      </c>
      <c r="B555" t="s">
        <v>752</v>
      </c>
      <c r="C555" t="s">
        <v>835</v>
      </c>
      <c r="D555">
        <v>1.05</v>
      </c>
      <c r="E555" t="s">
        <v>757</v>
      </c>
      <c r="F555" t="s">
        <v>754</v>
      </c>
      <c r="G555" t="s">
        <v>1089</v>
      </c>
      <c r="H555" t="s">
        <v>30</v>
      </c>
      <c r="I555" s="28" t="s">
        <v>24</v>
      </c>
    </row>
    <row r="556" spans="1:9" x14ac:dyDescent="0.3">
      <c r="A556" s="26">
        <v>45327</v>
      </c>
      <c r="B556" t="s">
        <v>752</v>
      </c>
      <c r="C556" t="s">
        <v>776</v>
      </c>
      <c r="D556">
        <v>7.0000000000000007E-2</v>
      </c>
      <c r="E556" t="s">
        <v>373</v>
      </c>
      <c r="F556" t="s">
        <v>754</v>
      </c>
      <c r="G556" t="s">
        <v>768</v>
      </c>
      <c r="H556" t="s">
        <v>30</v>
      </c>
      <c r="I556" s="28" t="s">
        <v>24</v>
      </c>
    </row>
    <row r="557" spans="1:9" x14ac:dyDescent="0.3">
      <c r="A557" s="26">
        <v>45327</v>
      </c>
      <c r="B557" t="s">
        <v>752</v>
      </c>
      <c r="C557" t="s">
        <v>776</v>
      </c>
      <c r="D557">
        <v>0.13</v>
      </c>
      <c r="E557" t="s">
        <v>458</v>
      </c>
      <c r="F557" t="s">
        <v>754</v>
      </c>
      <c r="G557" t="s">
        <v>1092</v>
      </c>
      <c r="H557" t="s">
        <v>30</v>
      </c>
      <c r="I557" s="28" t="s">
        <v>24</v>
      </c>
    </row>
    <row r="558" spans="1:9" x14ac:dyDescent="0.3">
      <c r="A558" s="26">
        <v>45327</v>
      </c>
      <c r="B558" t="s">
        <v>752</v>
      </c>
      <c r="C558" t="s">
        <v>776</v>
      </c>
      <c r="D558">
        <v>0.3</v>
      </c>
      <c r="E558" t="s">
        <v>659</v>
      </c>
      <c r="F558" t="s">
        <v>754</v>
      </c>
      <c r="H558" t="s">
        <v>30</v>
      </c>
      <c r="I558" s="28" t="s">
        <v>24</v>
      </c>
    </row>
    <row r="559" spans="1:9" x14ac:dyDescent="0.3">
      <c r="A559" s="26">
        <v>45327</v>
      </c>
      <c r="B559" t="s">
        <v>752</v>
      </c>
      <c r="C559" t="s">
        <v>776</v>
      </c>
      <c r="D559">
        <v>0.45</v>
      </c>
      <c r="E559" t="s">
        <v>1096</v>
      </c>
      <c r="F559" t="s">
        <v>754</v>
      </c>
      <c r="G559" t="s">
        <v>1308</v>
      </c>
      <c r="H559" t="s">
        <v>30</v>
      </c>
      <c r="I559" s="28" t="s">
        <v>24</v>
      </c>
    </row>
    <row r="560" spans="1:9" x14ac:dyDescent="0.3">
      <c r="A560" s="26">
        <v>45327</v>
      </c>
      <c r="B560" t="s">
        <v>1093</v>
      </c>
      <c r="C560" t="s">
        <v>1309</v>
      </c>
      <c r="D560">
        <v>1</v>
      </c>
      <c r="E560" t="s">
        <v>455</v>
      </c>
      <c r="F560" t="s">
        <v>754</v>
      </c>
      <c r="G560" t="s">
        <v>1310</v>
      </c>
      <c r="H560" t="s">
        <v>30</v>
      </c>
      <c r="I560" s="28" t="s">
        <v>24</v>
      </c>
    </row>
    <row r="561" spans="1:9" x14ac:dyDescent="0.3">
      <c r="A561" s="26">
        <v>45327</v>
      </c>
      <c r="B561" t="s">
        <v>1093</v>
      </c>
      <c r="C561" t="s">
        <v>1094</v>
      </c>
      <c r="D561">
        <v>0.17</v>
      </c>
      <c r="E561" t="s">
        <v>455</v>
      </c>
      <c r="F561" t="s">
        <v>754</v>
      </c>
      <c r="G561" t="s">
        <v>1311</v>
      </c>
      <c r="H561" t="s">
        <v>30</v>
      </c>
      <c r="I561" s="28" t="s">
        <v>24</v>
      </c>
    </row>
    <row r="562" spans="1:9" x14ac:dyDescent="0.3">
      <c r="A562" s="26">
        <v>45327</v>
      </c>
      <c r="B562" t="s">
        <v>21</v>
      </c>
      <c r="C562" t="s">
        <v>753</v>
      </c>
      <c r="D562">
        <v>0.43</v>
      </c>
      <c r="E562" t="s">
        <v>1096</v>
      </c>
      <c r="F562" t="s">
        <v>754</v>
      </c>
      <c r="G562" t="s">
        <v>1312</v>
      </c>
      <c r="H562" t="s">
        <v>30</v>
      </c>
      <c r="I562" s="28" t="s">
        <v>24</v>
      </c>
    </row>
    <row r="563" spans="1:9" x14ac:dyDescent="0.3">
      <c r="A563" s="26">
        <v>45327</v>
      </c>
      <c r="B563" t="s">
        <v>21</v>
      </c>
      <c r="C563" t="s">
        <v>753</v>
      </c>
      <c r="D563">
        <v>1.07</v>
      </c>
      <c r="E563" t="s">
        <v>13</v>
      </c>
      <c r="F563" t="s">
        <v>754</v>
      </c>
      <c r="H563" t="s">
        <v>30</v>
      </c>
      <c r="I563" s="28" t="s">
        <v>24</v>
      </c>
    </row>
    <row r="564" spans="1:9" x14ac:dyDescent="0.3">
      <c r="A564" s="26">
        <v>45327</v>
      </c>
      <c r="B564" t="s">
        <v>21</v>
      </c>
      <c r="C564" t="s">
        <v>753</v>
      </c>
      <c r="D564">
        <v>1.47</v>
      </c>
      <c r="E564" t="s">
        <v>1096</v>
      </c>
      <c r="F564" t="s">
        <v>754</v>
      </c>
      <c r="G564" t="s">
        <v>1313</v>
      </c>
      <c r="H564" t="s">
        <v>30</v>
      </c>
      <c r="I564" s="28" t="s">
        <v>24</v>
      </c>
    </row>
    <row r="565" spans="1:9" x14ac:dyDescent="0.3">
      <c r="A565" s="26">
        <v>45327</v>
      </c>
      <c r="B565" t="s">
        <v>21</v>
      </c>
      <c r="C565" t="s">
        <v>771</v>
      </c>
      <c r="D565">
        <v>0.15</v>
      </c>
      <c r="E565" t="s">
        <v>7</v>
      </c>
      <c r="F565" t="s">
        <v>772</v>
      </c>
      <c r="G565" t="s">
        <v>1314</v>
      </c>
      <c r="H565" t="s">
        <v>30</v>
      </c>
      <c r="I565" s="28" t="s">
        <v>24</v>
      </c>
    </row>
    <row r="566" spans="1:9" x14ac:dyDescent="0.3">
      <c r="A566" s="26">
        <v>45327</v>
      </c>
      <c r="B566" t="s">
        <v>21</v>
      </c>
      <c r="C566" t="s">
        <v>771</v>
      </c>
      <c r="D566">
        <v>0.22</v>
      </c>
      <c r="E566" t="s">
        <v>7</v>
      </c>
      <c r="F566" t="s">
        <v>772</v>
      </c>
      <c r="G566" t="s">
        <v>1315</v>
      </c>
      <c r="H566" t="s">
        <v>30</v>
      </c>
      <c r="I566" s="28" t="s">
        <v>24</v>
      </c>
    </row>
    <row r="567" spans="1:9" x14ac:dyDescent="0.3">
      <c r="A567" s="26">
        <v>45327</v>
      </c>
      <c r="B567" t="s">
        <v>21</v>
      </c>
      <c r="C567" t="s">
        <v>771</v>
      </c>
      <c r="D567">
        <v>1.03</v>
      </c>
      <c r="E567" t="s">
        <v>7</v>
      </c>
      <c r="F567" t="s">
        <v>772</v>
      </c>
      <c r="G567" t="s">
        <v>1316</v>
      </c>
      <c r="H567" t="s">
        <v>30</v>
      </c>
      <c r="I567" s="28" t="s">
        <v>24</v>
      </c>
    </row>
    <row r="568" spans="1:9" x14ac:dyDescent="0.3">
      <c r="A568" s="26">
        <v>45327</v>
      </c>
      <c r="B568" t="s">
        <v>21</v>
      </c>
      <c r="C568" t="s">
        <v>771</v>
      </c>
      <c r="D568">
        <v>1.03</v>
      </c>
      <c r="E568" t="s">
        <v>7</v>
      </c>
      <c r="F568" t="s">
        <v>772</v>
      </c>
      <c r="G568" t="s">
        <v>1317</v>
      </c>
      <c r="H568" t="s">
        <v>30</v>
      </c>
      <c r="I568" s="28" t="s">
        <v>24</v>
      </c>
    </row>
    <row r="569" spans="1:9" x14ac:dyDescent="0.3">
      <c r="A569" s="26">
        <v>45327</v>
      </c>
      <c r="B569" t="s">
        <v>21</v>
      </c>
      <c r="C569" t="s">
        <v>771</v>
      </c>
      <c r="D569">
        <v>1.05</v>
      </c>
      <c r="E569" t="s">
        <v>7</v>
      </c>
      <c r="F569" t="s">
        <v>772</v>
      </c>
      <c r="H569" t="s">
        <v>30</v>
      </c>
      <c r="I569" s="28" t="s">
        <v>24</v>
      </c>
    </row>
    <row r="570" spans="1:9" x14ac:dyDescent="0.3">
      <c r="A570" s="26">
        <v>45327</v>
      </c>
      <c r="B570" t="s">
        <v>21</v>
      </c>
      <c r="C570" t="s">
        <v>771</v>
      </c>
      <c r="D570">
        <v>1.32</v>
      </c>
      <c r="E570" t="s">
        <v>7</v>
      </c>
      <c r="F570" t="s">
        <v>772</v>
      </c>
      <c r="G570" t="s">
        <v>1318</v>
      </c>
      <c r="H570" t="s">
        <v>30</v>
      </c>
      <c r="I570" s="28" t="s">
        <v>24</v>
      </c>
    </row>
    <row r="571" spans="1:9" x14ac:dyDescent="0.3">
      <c r="A571" s="26">
        <v>45327</v>
      </c>
      <c r="B571" t="s">
        <v>21</v>
      </c>
      <c r="C571" t="s">
        <v>874</v>
      </c>
      <c r="D571">
        <v>0.27</v>
      </c>
      <c r="E571" t="s">
        <v>7</v>
      </c>
      <c r="F571" t="s">
        <v>772</v>
      </c>
      <c r="G571" t="s">
        <v>1319</v>
      </c>
      <c r="H571" t="s">
        <v>30</v>
      </c>
      <c r="I571" s="28" t="s">
        <v>24</v>
      </c>
    </row>
    <row r="572" spans="1:9" x14ac:dyDescent="0.3">
      <c r="A572" s="26">
        <v>45327</v>
      </c>
      <c r="B572" t="s">
        <v>783</v>
      </c>
      <c r="C572" t="s">
        <v>753</v>
      </c>
      <c r="D572">
        <v>1.75</v>
      </c>
      <c r="E572" t="s">
        <v>288</v>
      </c>
      <c r="F572" t="s">
        <v>754</v>
      </c>
      <c r="G572" t="s">
        <v>1320</v>
      </c>
      <c r="H572" t="s">
        <v>30</v>
      </c>
      <c r="I572" s="28" t="s">
        <v>24</v>
      </c>
    </row>
    <row r="573" spans="1:9" x14ac:dyDescent="0.3">
      <c r="A573" s="26">
        <v>45327</v>
      </c>
      <c r="B573" t="s">
        <v>783</v>
      </c>
      <c r="C573" t="s">
        <v>753</v>
      </c>
      <c r="D573">
        <v>1.83</v>
      </c>
      <c r="E573" t="s">
        <v>690</v>
      </c>
      <c r="F573" t="s">
        <v>754</v>
      </c>
      <c r="G573" t="s">
        <v>1321</v>
      </c>
      <c r="H573" t="s">
        <v>30</v>
      </c>
      <c r="I573" s="28" t="s">
        <v>24</v>
      </c>
    </row>
    <row r="574" spans="1:9" x14ac:dyDescent="0.3">
      <c r="A574" s="26">
        <v>45327</v>
      </c>
      <c r="B574" t="s">
        <v>783</v>
      </c>
      <c r="C574" t="s">
        <v>753</v>
      </c>
      <c r="D574">
        <v>2.0699999999999998</v>
      </c>
      <c r="E574" t="s">
        <v>170</v>
      </c>
      <c r="F574" t="s">
        <v>754</v>
      </c>
      <c r="G574" t="s">
        <v>1322</v>
      </c>
      <c r="H574" t="s">
        <v>30</v>
      </c>
      <c r="I574" s="28" t="s">
        <v>24</v>
      </c>
    </row>
    <row r="575" spans="1:9" x14ac:dyDescent="0.3">
      <c r="A575" s="26">
        <v>45327</v>
      </c>
      <c r="B575" t="s">
        <v>783</v>
      </c>
      <c r="C575" t="s">
        <v>753</v>
      </c>
      <c r="D575">
        <v>2.0699999999999998</v>
      </c>
      <c r="E575" t="s">
        <v>564</v>
      </c>
      <c r="F575" t="s">
        <v>754</v>
      </c>
      <c r="G575" t="s">
        <v>1321</v>
      </c>
      <c r="H575" t="s">
        <v>30</v>
      </c>
      <c r="I575" s="28" t="s">
        <v>24</v>
      </c>
    </row>
    <row r="576" spans="1:9" x14ac:dyDescent="0.3">
      <c r="A576" s="26">
        <v>45327</v>
      </c>
      <c r="B576" t="s">
        <v>783</v>
      </c>
      <c r="C576" t="s">
        <v>771</v>
      </c>
      <c r="D576">
        <v>0.32</v>
      </c>
      <c r="E576" t="s">
        <v>7</v>
      </c>
      <c r="F576" t="s">
        <v>772</v>
      </c>
      <c r="G576" t="s">
        <v>1323</v>
      </c>
      <c r="H576" t="s">
        <v>30</v>
      </c>
      <c r="I576" s="28" t="s">
        <v>24</v>
      </c>
    </row>
    <row r="577" spans="1:9" x14ac:dyDescent="0.3">
      <c r="A577" s="26">
        <v>45327</v>
      </c>
      <c r="B577" t="s">
        <v>785</v>
      </c>
      <c r="C577" t="s">
        <v>786</v>
      </c>
      <c r="D577">
        <v>8</v>
      </c>
      <c r="E577" t="s">
        <v>7</v>
      </c>
      <c r="F577" t="s">
        <v>772</v>
      </c>
      <c r="G577" t="s">
        <v>1324</v>
      </c>
      <c r="H577" t="s">
        <v>30</v>
      </c>
      <c r="I577" s="28" t="s">
        <v>24</v>
      </c>
    </row>
    <row r="578" spans="1:9" x14ac:dyDescent="0.3">
      <c r="A578" s="26">
        <v>45327</v>
      </c>
      <c r="B578" t="s">
        <v>788</v>
      </c>
      <c r="C578" t="s">
        <v>786</v>
      </c>
      <c r="D578">
        <v>11</v>
      </c>
      <c r="E578" t="s">
        <v>7</v>
      </c>
      <c r="F578" t="s">
        <v>772</v>
      </c>
      <c r="H578" t="s">
        <v>30</v>
      </c>
      <c r="I578" s="28" t="s">
        <v>24</v>
      </c>
    </row>
    <row r="579" spans="1:9" x14ac:dyDescent="0.3">
      <c r="A579" s="26">
        <v>45327</v>
      </c>
      <c r="B579" t="s">
        <v>792</v>
      </c>
      <c r="C579" t="s">
        <v>753</v>
      </c>
      <c r="D579">
        <v>1.38</v>
      </c>
      <c r="E579" t="s">
        <v>790</v>
      </c>
      <c r="F579" t="s">
        <v>754</v>
      </c>
      <c r="G579" t="s">
        <v>1325</v>
      </c>
      <c r="H579" t="s">
        <v>30</v>
      </c>
      <c r="I579" s="28" t="s">
        <v>24</v>
      </c>
    </row>
    <row r="580" spans="1:9" x14ac:dyDescent="0.3">
      <c r="A580" s="26">
        <v>45327</v>
      </c>
      <c r="B580" t="s">
        <v>792</v>
      </c>
      <c r="C580" t="s">
        <v>753</v>
      </c>
      <c r="D580">
        <v>1.6</v>
      </c>
      <c r="E580" t="s">
        <v>790</v>
      </c>
      <c r="F580" t="s">
        <v>754</v>
      </c>
      <c r="G580" t="s">
        <v>1326</v>
      </c>
      <c r="H580" t="s">
        <v>30</v>
      </c>
      <c r="I580" s="28" t="s">
        <v>24</v>
      </c>
    </row>
    <row r="581" spans="1:9" x14ac:dyDescent="0.3">
      <c r="A581" s="26">
        <v>45327</v>
      </c>
      <c r="B581" t="s">
        <v>792</v>
      </c>
      <c r="C581" t="s">
        <v>753</v>
      </c>
      <c r="D581">
        <v>2.2200000000000002</v>
      </c>
      <c r="E581" t="s">
        <v>790</v>
      </c>
      <c r="F581" t="s">
        <v>754</v>
      </c>
      <c r="G581" t="s">
        <v>793</v>
      </c>
      <c r="H581" t="s">
        <v>30</v>
      </c>
      <c r="I581" s="28" t="s">
        <v>24</v>
      </c>
    </row>
    <row r="582" spans="1:9" x14ac:dyDescent="0.3">
      <c r="A582" s="26">
        <v>45327</v>
      </c>
      <c r="B582" t="s">
        <v>792</v>
      </c>
      <c r="C582" t="s">
        <v>753</v>
      </c>
      <c r="D582">
        <v>3.18</v>
      </c>
      <c r="E582" t="s">
        <v>790</v>
      </c>
      <c r="F582" t="s">
        <v>754</v>
      </c>
      <c r="G582" t="s">
        <v>1327</v>
      </c>
      <c r="H582" t="s">
        <v>30</v>
      </c>
      <c r="I582" s="28" t="s">
        <v>24</v>
      </c>
    </row>
    <row r="583" spans="1:9" x14ac:dyDescent="0.3">
      <c r="A583" s="26">
        <v>45327</v>
      </c>
      <c r="B583" t="s">
        <v>796</v>
      </c>
      <c r="C583" t="s">
        <v>753</v>
      </c>
      <c r="D583">
        <v>0.75</v>
      </c>
      <c r="E583" t="s">
        <v>655</v>
      </c>
      <c r="F583" t="s">
        <v>754</v>
      </c>
      <c r="G583" t="s">
        <v>1328</v>
      </c>
      <c r="H583" t="s">
        <v>30</v>
      </c>
      <c r="I583" s="28" t="s">
        <v>24</v>
      </c>
    </row>
    <row r="584" spans="1:9" x14ac:dyDescent="0.3">
      <c r="A584" s="26">
        <v>45327</v>
      </c>
      <c r="B584" t="s">
        <v>796</v>
      </c>
      <c r="C584" t="s">
        <v>753</v>
      </c>
      <c r="D584">
        <v>1.75</v>
      </c>
      <c r="E584" t="s">
        <v>585</v>
      </c>
      <c r="F584" t="s">
        <v>754</v>
      </c>
      <c r="G584" t="s">
        <v>1329</v>
      </c>
      <c r="H584" t="s">
        <v>30</v>
      </c>
      <c r="I584" s="28" t="s">
        <v>24</v>
      </c>
    </row>
    <row r="585" spans="1:9" x14ac:dyDescent="0.3">
      <c r="A585" s="26">
        <v>45327</v>
      </c>
      <c r="B585" t="s">
        <v>796</v>
      </c>
      <c r="C585" t="s">
        <v>753</v>
      </c>
      <c r="D585">
        <v>1.95</v>
      </c>
      <c r="E585" t="s">
        <v>430</v>
      </c>
      <c r="F585" t="s">
        <v>754</v>
      </c>
      <c r="G585" t="s">
        <v>1330</v>
      </c>
      <c r="H585" t="s">
        <v>30</v>
      </c>
      <c r="I585" s="28" t="s">
        <v>24</v>
      </c>
    </row>
    <row r="586" spans="1:9" x14ac:dyDescent="0.3">
      <c r="A586" s="26">
        <v>45327</v>
      </c>
      <c r="B586" t="s">
        <v>796</v>
      </c>
      <c r="C586" t="s">
        <v>753</v>
      </c>
      <c r="D586">
        <v>5.58</v>
      </c>
      <c r="E586" t="s">
        <v>430</v>
      </c>
      <c r="F586" t="s">
        <v>754</v>
      </c>
      <c r="G586" t="s">
        <v>1331</v>
      </c>
      <c r="H586" t="s">
        <v>30</v>
      </c>
      <c r="I586" s="28" t="s">
        <v>24</v>
      </c>
    </row>
    <row r="587" spans="1:9" x14ac:dyDescent="0.3">
      <c r="A587" s="26">
        <v>45327</v>
      </c>
      <c r="B587" t="s">
        <v>796</v>
      </c>
      <c r="C587" t="s">
        <v>771</v>
      </c>
      <c r="D587">
        <v>0.42</v>
      </c>
      <c r="E587" t="s">
        <v>7</v>
      </c>
      <c r="F587" t="s">
        <v>772</v>
      </c>
      <c r="G587" t="s">
        <v>1332</v>
      </c>
      <c r="H587" t="s">
        <v>30</v>
      </c>
      <c r="I587" s="28" t="s">
        <v>24</v>
      </c>
    </row>
    <row r="588" spans="1:9" x14ac:dyDescent="0.3">
      <c r="A588" s="26">
        <v>45327</v>
      </c>
      <c r="B588" t="s">
        <v>801</v>
      </c>
      <c r="C588" t="s">
        <v>802</v>
      </c>
      <c r="D588">
        <v>10.28</v>
      </c>
      <c r="E588" t="s">
        <v>7</v>
      </c>
      <c r="F588" t="s">
        <v>772</v>
      </c>
      <c r="H588" t="s">
        <v>30</v>
      </c>
      <c r="I588" s="28" t="s">
        <v>24</v>
      </c>
    </row>
    <row r="589" spans="1:9" x14ac:dyDescent="0.3">
      <c r="A589" s="26">
        <v>45327</v>
      </c>
      <c r="B589" t="s">
        <v>806</v>
      </c>
      <c r="C589" t="s">
        <v>802</v>
      </c>
      <c r="D589">
        <v>4</v>
      </c>
      <c r="E589" t="s">
        <v>7</v>
      </c>
      <c r="F589" t="s">
        <v>772</v>
      </c>
      <c r="G589" t="s">
        <v>1333</v>
      </c>
      <c r="H589" t="s">
        <v>30</v>
      </c>
      <c r="I589" s="28" t="s">
        <v>24</v>
      </c>
    </row>
    <row r="590" spans="1:9" x14ac:dyDescent="0.3">
      <c r="A590" s="26">
        <v>45327</v>
      </c>
      <c r="B590" t="s">
        <v>808</v>
      </c>
      <c r="C590" t="s">
        <v>802</v>
      </c>
      <c r="D590">
        <v>9.25</v>
      </c>
      <c r="E590" t="s">
        <v>7</v>
      </c>
      <c r="F590" t="s">
        <v>772</v>
      </c>
      <c r="G590" t="s">
        <v>1334</v>
      </c>
      <c r="H590" t="s">
        <v>30</v>
      </c>
      <c r="I590" s="28" t="s">
        <v>24</v>
      </c>
    </row>
    <row r="591" spans="1:9" x14ac:dyDescent="0.3">
      <c r="A591" s="26">
        <v>45327</v>
      </c>
      <c r="B591" t="s">
        <v>810</v>
      </c>
      <c r="C591" t="s">
        <v>753</v>
      </c>
      <c r="D591">
        <v>0.33</v>
      </c>
      <c r="E591" t="s">
        <v>898</v>
      </c>
      <c r="F591" t="s">
        <v>772</v>
      </c>
      <c r="G591" t="s">
        <v>1335</v>
      </c>
      <c r="H591" t="s">
        <v>30</v>
      </c>
      <c r="I591" s="28" t="s">
        <v>24</v>
      </c>
    </row>
    <row r="592" spans="1:9" x14ac:dyDescent="0.3">
      <c r="A592" s="26">
        <v>45327</v>
      </c>
      <c r="B592" t="s">
        <v>810</v>
      </c>
      <c r="C592" t="s">
        <v>753</v>
      </c>
      <c r="D592">
        <v>0.57999999999999996</v>
      </c>
      <c r="E592" t="s">
        <v>813</v>
      </c>
      <c r="F592" t="s">
        <v>772</v>
      </c>
      <c r="G592" t="s">
        <v>1336</v>
      </c>
      <c r="H592" t="s">
        <v>30</v>
      </c>
      <c r="I592" s="28" t="s">
        <v>24</v>
      </c>
    </row>
    <row r="593" spans="1:9" x14ac:dyDescent="0.3">
      <c r="A593" s="26">
        <v>45327</v>
      </c>
      <c r="B593" t="s">
        <v>810</v>
      </c>
      <c r="C593" t="s">
        <v>753</v>
      </c>
      <c r="D593">
        <v>1.58</v>
      </c>
      <c r="E593" t="s">
        <v>516</v>
      </c>
      <c r="F593" t="s">
        <v>754</v>
      </c>
      <c r="G593" t="s">
        <v>1337</v>
      </c>
      <c r="H593" t="s">
        <v>30</v>
      </c>
      <c r="I593" s="28" t="s">
        <v>24</v>
      </c>
    </row>
    <row r="594" spans="1:9" x14ac:dyDescent="0.3">
      <c r="A594" s="26">
        <v>45327</v>
      </c>
      <c r="B594" t="s">
        <v>810</v>
      </c>
      <c r="C594" t="s">
        <v>753</v>
      </c>
      <c r="D594">
        <v>1.58</v>
      </c>
      <c r="E594" t="s">
        <v>898</v>
      </c>
      <c r="F594" t="s">
        <v>754</v>
      </c>
      <c r="G594" t="s">
        <v>1338</v>
      </c>
      <c r="H594" t="s">
        <v>30</v>
      </c>
      <c r="I594" s="28" t="s">
        <v>24</v>
      </c>
    </row>
    <row r="595" spans="1:9" x14ac:dyDescent="0.3">
      <c r="A595" s="26">
        <v>45327</v>
      </c>
      <c r="B595" t="s">
        <v>810</v>
      </c>
      <c r="C595" t="s">
        <v>753</v>
      </c>
      <c r="D595">
        <v>2.75</v>
      </c>
      <c r="E595" t="s">
        <v>813</v>
      </c>
      <c r="F595" t="s">
        <v>754</v>
      </c>
      <c r="G595" t="s">
        <v>1339</v>
      </c>
      <c r="H595" t="s">
        <v>30</v>
      </c>
      <c r="I595" s="28" t="s">
        <v>24</v>
      </c>
    </row>
    <row r="596" spans="1:9" x14ac:dyDescent="0.3">
      <c r="A596" s="26">
        <v>45327</v>
      </c>
      <c r="B596" t="s">
        <v>810</v>
      </c>
      <c r="C596" t="s">
        <v>771</v>
      </c>
      <c r="D596">
        <v>0.5</v>
      </c>
      <c r="E596" t="s">
        <v>7</v>
      </c>
      <c r="F596" t="s">
        <v>772</v>
      </c>
      <c r="G596" t="s">
        <v>781</v>
      </c>
      <c r="H596" t="s">
        <v>30</v>
      </c>
      <c r="I596" s="28" t="s">
        <v>24</v>
      </c>
    </row>
    <row r="597" spans="1:9" x14ac:dyDescent="0.3">
      <c r="A597" s="26">
        <v>45327</v>
      </c>
      <c r="B597" t="s">
        <v>810</v>
      </c>
      <c r="C597" t="s">
        <v>919</v>
      </c>
      <c r="D597">
        <v>0.17</v>
      </c>
      <c r="E597" t="s">
        <v>1340</v>
      </c>
      <c r="F597" t="s">
        <v>754</v>
      </c>
      <c r="G597" t="s">
        <v>1341</v>
      </c>
      <c r="H597" t="s">
        <v>30</v>
      </c>
      <c r="I597" s="28" t="s">
        <v>24</v>
      </c>
    </row>
    <row r="598" spans="1:9" x14ac:dyDescent="0.3">
      <c r="A598" s="26">
        <v>45327</v>
      </c>
      <c r="B598" t="s">
        <v>810</v>
      </c>
      <c r="C598" t="s">
        <v>919</v>
      </c>
      <c r="D598">
        <v>0.25</v>
      </c>
      <c r="E598" t="s">
        <v>1342</v>
      </c>
      <c r="F598" t="s">
        <v>754</v>
      </c>
      <c r="G598" t="s">
        <v>1341</v>
      </c>
      <c r="H598" t="s">
        <v>30</v>
      </c>
      <c r="I598" s="28" t="s">
        <v>24</v>
      </c>
    </row>
    <row r="599" spans="1:9" x14ac:dyDescent="0.3">
      <c r="A599" s="26">
        <v>45327</v>
      </c>
      <c r="B599" t="s">
        <v>810</v>
      </c>
      <c r="C599" t="s">
        <v>919</v>
      </c>
      <c r="D599">
        <v>0.25</v>
      </c>
      <c r="E599" t="s">
        <v>1343</v>
      </c>
      <c r="F599" t="s">
        <v>754</v>
      </c>
      <c r="G599" t="s">
        <v>1341</v>
      </c>
      <c r="H599" t="s">
        <v>30</v>
      </c>
      <c r="I599" s="28" t="s">
        <v>24</v>
      </c>
    </row>
    <row r="600" spans="1:9" x14ac:dyDescent="0.3">
      <c r="A600" s="26">
        <v>45327</v>
      </c>
      <c r="B600" t="s">
        <v>225</v>
      </c>
      <c r="C600" t="s">
        <v>821</v>
      </c>
      <c r="D600">
        <v>1.5</v>
      </c>
      <c r="E600" t="s">
        <v>630</v>
      </c>
      <c r="F600" t="s">
        <v>754</v>
      </c>
      <c r="G600" t="s">
        <v>1344</v>
      </c>
      <c r="H600" t="s">
        <v>30</v>
      </c>
      <c r="I600" s="28" t="s">
        <v>24</v>
      </c>
    </row>
    <row r="601" spans="1:9" x14ac:dyDescent="0.3">
      <c r="A601" s="26">
        <v>45327</v>
      </c>
      <c r="B601" t="s">
        <v>225</v>
      </c>
      <c r="C601" t="s">
        <v>823</v>
      </c>
      <c r="D601">
        <v>2</v>
      </c>
      <c r="E601" t="s">
        <v>602</v>
      </c>
      <c r="F601" t="s">
        <v>754</v>
      </c>
      <c r="G601" t="s">
        <v>1345</v>
      </c>
      <c r="H601" t="s">
        <v>30</v>
      </c>
      <c r="I601" s="28" t="s">
        <v>24</v>
      </c>
    </row>
    <row r="602" spans="1:9" x14ac:dyDescent="0.3">
      <c r="A602" s="26">
        <v>45327</v>
      </c>
      <c r="B602" t="s">
        <v>825</v>
      </c>
      <c r="C602" t="s">
        <v>826</v>
      </c>
      <c r="D602">
        <v>0.25</v>
      </c>
      <c r="E602" t="s">
        <v>47</v>
      </c>
      <c r="F602" t="s">
        <v>754</v>
      </c>
      <c r="G602" t="s">
        <v>1346</v>
      </c>
      <c r="H602" t="s">
        <v>30</v>
      </c>
      <c r="I602" s="28" t="s">
        <v>24</v>
      </c>
    </row>
    <row r="603" spans="1:9" x14ac:dyDescent="0.3">
      <c r="A603" s="26">
        <v>45327</v>
      </c>
      <c r="B603" t="s">
        <v>829</v>
      </c>
      <c r="C603" t="s">
        <v>753</v>
      </c>
      <c r="D603">
        <v>0.18</v>
      </c>
      <c r="E603" t="s">
        <v>248</v>
      </c>
      <c r="F603" t="s">
        <v>754</v>
      </c>
      <c r="G603" t="s">
        <v>830</v>
      </c>
      <c r="H603" t="s">
        <v>30</v>
      </c>
      <c r="I603" s="28" t="s">
        <v>24</v>
      </c>
    </row>
    <row r="604" spans="1:9" x14ac:dyDescent="0.3">
      <c r="A604" s="26">
        <v>45327</v>
      </c>
      <c r="B604" t="s">
        <v>829</v>
      </c>
      <c r="C604" t="s">
        <v>753</v>
      </c>
      <c r="D604">
        <v>0.2</v>
      </c>
      <c r="E604" t="s">
        <v>375</v>
      </c>
      <c r="F604" t="s">
        <v>754</v>
      </c>
      <c r="G604" t="s">
        <v>830</v>
      </c>
      <c r="H604" t="s">
        <v>30</v>
      </c>
      <c r="I604" s="28" t="s">
        <v>24</v>
      </c>
    </row>
    <row r="605" spans="1:9" x14ac:dyDescent="0.3">
      <c r="A605" s="26">
        <v>45327</v>
      </c>
      <c r="B605" t="s">
        <v>829</v>
      </c>
      <c r="C605" t="s">
        <v>753</v>
      </c>
      <c r="D605">
        <v>0.73</v>
      </c>
      <c r="E605" t="s">
        <v>857</v>
      </c>
      <c r="F605" t="s">
        <v>754</v>
      </c>
      <c r="G605" t="s">
        <v>1347</v>
      </c>
      <c r="H605" t="s">
        <v>30</v>
      </c>
      <c r="I605" s="28" t="s">
        <v>24</v>
      </c>
    </row>
    <row r="606" spans="1:9" x14ac:dyDescent="0.3">
      <c r="A606" s="26">
        <v>45327</v>
      </c>
      <c r="B606" t="s">
        <v>829</v>
      </c>
      <c r="C606" t="s">
        <v>753</v>
      </c>
      <c r="D606">
        <v>0.73</v>
      </c>
      <c r="E606" t="s">
        <v>857</v>
      </c>
      <c r="F606" t="s">
        <v>754</v>
      </c>
      <c r="G606" t="s">
        <v>838</v>
      </c>
      <c r="H606" t="s">
        <v>30</v>
      </c>
      <c r="I606" s="28" t="s">
        <v>24</v>
      </c>
    </row>
    <row r="607" spans="1:9" x14ac:dyDescent="0.3">
      <c r="A607" s="26">
        <v>45327</v>
      </c>
      <c r="B607" t="s">
        <v>829</v>
      </c>
      <c r="C607" t="s">
        <v>771</v>
      </c>
      <c r="D607">
        <v>0.23</v>
      </c>
      <c r="E607" t="s">
        <v>7</v>
      </c>
      <c r="F607" t="s">
        <v>772</v>
      </c>
      <c r="G607" t="s">
        <v>1348</v>
      </c>
      <c r="H607" t="s">
        <v>30</v>
      </c>
      <c r="I607" s="28" t="s">
        <v>24</v>
      </c>
    </row>
    <row r="608" spans="1:9" x14ac:dyDescent="0.3">
      <c r="A608" s="26">
        <v>45327</v>
      </c>
      <c r="B608" t="s">
        <v>829</v>
      </c>
      <c r="C608" t="s">
        <v>771</v>
      </c>
      <c r="D608">
        <v>0.56999999999999995</v>
      </c>
      <c r="E608" t="s">
        <v>7</v>
      </c>
      <c r="F608" t="s">
        <v>772</v>
      </c>
      <c r="G608" t="s">
        <v>833</v>
      </c>
      <c r="H608" t="s">
        <v>30</v>
      </c>
      <c r="I608" s="28" t="s">
        <v>24</v>
      </c>
    </row>
    <row r="609" spans="1:9" x14ac:dyDescent="0.3">
      <c r="A609" s="26">
        <v>45327</v>
      </c>
      <c r="B609" t="s">
        <v>829</v>
      </c>
      <c r="C609" t="s">
        <v>916</v>
      </c>
      <c r="D609">
        <v>0.18</v>
      </c>
      <c r="E609" t="s">
        <v>226</v>
      </c>
      <c r="F609" t="s">
        <v>754</v>
      </c>
      <c r="G609" t="s">
        <v>1349</v>
      </c>
      <c r="H609" t="s">
        <v>30</v>
      </c>
      <c r="I609" s="28" t="s">
        <v>24</v>
      </c>
    </row>
    <row r="610" spans="1:9" x14ac:dyDescent="0.3">
      <c r="A610" s="26">
        <v>45327</v>
      </c>
      <c r="B610" t="s">
        <v>829</v>
      </c>
      <c r="C610" t="s">
        <v>916</v>
      </c>
      <c r="D610">
        <v>0.63</v>
      </c>
      <c r="E610" t="s">
        <v>857</v>
      </c>
      <c r="F610" t="s">
        <v>754</v>
      </c>
      <c r="G610" t="s">
        <v>1350</v>
      </c>
      <c r="H610" t="s">
        <v>30</v>
      </c>
      <c r="I610" s="28" t="s">
        <v>24</v>
      </c>
    </row>
    <row r="611" spans="1:9" x14ac:dyDescent="0.3">
      <c r="A611" s="26">
        <v>45327</v>
      </c>
      <c r="B611" t="s">
        <v>829</v>
      </c>
      <c r="C611" t="s">
        <v>916</v>
      </c>
      <c r="D611">
        <v>1.02</v>
      </c>
      <c r="E611" t="s">
        <v>226</v>
      </c>
      <c r="F611" t="s">
        <v>754</v>
      </c>
      <c r="G611" t="s">
        <v>1351</v>
      </c>
      <c r="H611" t="s">
        <v>30</v>
      </c>
      <c r="I611" s="28" t="s">
        <v>24</v>
      </c>
    </row>
    <row r="612" spans="1:9" x14ac:dyDescent="0.3">
      <c r="A612" s="26">
        <v>45327</v>
      </c>
      <c r="B612" t="s">
        <v>829</v>
      </c>
      <c r="C612" t="s">
        <v>916</v>
      </c>
      <c r="D612">
        <v>1.37</v>
      </c>
      <c r="E612" t="s">
        <v>226</v>
      </c>
      <c r="F612" t="s">
        <v>754</v>
      </c>
      <c r="G612" t="s">
        <v>1352</v>
      </c>
      <c r="H612" t="s">
        <v>30</v>
      </c>
      <c r="I612" s="28" t="s">
        <v>24</v>
      </c>
    </row>
    <row r="613" spans="1:9" x14ac:dyDescent="0.3">
      <c r="A613" s="26">
        <v>45327</v>
      </c>
      <c r="B613" t="s">
        <v>829</v>
      </c>
      <c r="C613" t="s">
        <v>916</v>
      </c>
      <c r="D613">
        <v>1.67</v>
      </c>
      <c r="E613" t="s">
        <v>7</v>
      </c>
      <c r="F613" t="s">
        <v>754</v>
      </c>
      <c r="G613" t="s">
        <v>1353</v>
      </c>
      <c r="H613" t="s">
        <v>30</v>
      </c>
      <c r="I613" s="28" t="s">
        <v>24</v>
      </c>
    </row>
    <row r="614" spans="1:9" x14ac:dyDescent="0.3">
      <c r="A614" s="26">
        <v>45327</v>
      </c>
      <c r="B614" t="s">
        <v>829</v>
      </c>
      <c r="C614" t="s">
        <v>776</v>
      </c>
      <c r="D614">
        <v>0.48</v>
      </c>
      <c r="E614" t="s">
        <v>458</v>
      </c>
      <c r="F614" t="s">
        <v>754</v>
      </c>
      <c r="G614" t="s">
        <v>1354</v>
      </c>
      <c r="H614" t="s">
        <v>30</v>
      </c>
      <c r="I614" s="28" t="s">
        <v>24</v>
      </c>
    </row>
    <row r="615" spans="1:9" x14ac:dyDescent="0.3">
      <c r="A615" s="26">
        <v>45327</v>
      </c>
      <c r="B615" t="s">
        <v>840</v>
      </c>
      <c r="C615" t="s">
        <v>784</v>
      </c>
      <c r="D615">
        <v>8</v>
      </c>
      <c r="E615" t="s">
        <v>7</v>
      </c>
      <c r="F615" t="s">
        <v>772</v>
      </c>
      <c r="H615" t="s">
        <v>30</v>
      </c>
      <c r="I615" s="28" t="s">
        <v>24</v>
      </c>
    </row>
    <row r="616" spans="1:9" x14ac:dyDescent="0.3">
      <c r="A616" s="26">
        <v>45327</v>
      </c>
      <c r="B616" t="s">
        <v>843</v>
      </c>
      <c r="C616" t="s">
        <v>753</v>
      </c>
      <c r="D616">
        <v>0.5</v>
      </c>
      <c r="E616" t="s">
        <v>628</v>
      </c>
      <c r="F616" t="s">
        <v>754</v>
      </c>
      <c r="G616" t="s">
        <v>1355</v>
      </c>
      <c r="H616" t="s">
        <v>30</v>
      </c>
      <c r="I616" s="28" t="s">
        <v>24</v>
      </c>
    </row>
    <row r="617" spans="1:9" x14ac:dyDescent="0.3">
      <c r="A617" s="26">
        <v>45327</v>
      </c>
      <c r="B617" t="s">
        <v>843</v>
      </c>
      <c r="C617" t="s">
        <v>753</v>
      </c>
      <c r="D617">
        <v>1.43</v>
      </c>
      <c r="E617" t="s">
        <v>234</v>
      </c>
      <c r="F617" t="s">
        <v>772</v>
      </c>
      <c r="G617" t="s">
        <v>1356</v>
      </c>
      <c r="H617" t="s">
        <v>30</v>
      </c>
      <c r="I617" s="28" t="s">
        <v>24</v>
      </c>
    </row>
    <row r="618" spans="1:9" x14ac:dyDescent="0.3">
      <c r="A618" s="26">
        <v>45327</v>
      </c>
      <c r="B618" t="s">
        <v>843</v>
      </c>
      <c r="C618" t="s">
        <v>753</v>
      </c>
      <c r="D618">
        <v>1.6</v>
      </c>
      <c r="E618" t="s">
        <v>234</v>
      </c>
      <c r="F618" t="s">
        <v>754</v>
      </c>
      <c r="G618" t="s">
        <v>1357</v>
      </c>
      <c r="H618" t="s">
        <v>30</v>
      </c>
      <c r="I618" s="28" t="s">
        <v>24</v>
      </c>
    </row>
    <row r="619" spans="1:9" x14ac:dyDescent="0.3">
      <c r="A619" s="26">
        <v>45327</v>
      </c>
      <c r="B619" t="s">
        <v>843</v>
      </c>
      <c r="C619" t="s">
        <v>753</v>
      </c>
      <c r="D619">
        <v>2.2200000000000002</v>
      </c>
      <c r="E619" t="s">
        <v>234</v>
      </c>
      <c r="F619" t="s">
        <v>754</v>
      </c>
      <c r="G619" t="s">
        <v>1358</v>
      </c>
      <c r="H619" t="s">
        <v>30</v>
      </c>
      <c r="I619" s="28" t="s">
        <v>24</v>
      </c>
    </row>
    <row r="620" spans="1:9" x14ac:dyDescent="0.3">
      <c r="A620" s="26">
        <v>45327</v>
      </c>
      <c r="B620" t="s">
        <v>843</v>
      </c>
      <c r="C620" t="s">
        <v>853</v>
      </c>
      <c r="D620">
        <v>0.55000000000000004</v>
      </c>
      <c r="E620" t="s">
        <v>259</v>
      </c>
      <c r="F620" t="s">
        <v>754</v>
      </c>
      <c r="G620" t="s">
        <v>846</v>
      </c>
      <c r="H620" t="s">
        <v>30</v>
      </c>
      <c r="I620" s="28" t="s">
        <v>24</v>
      </c>
    </row>
    <row r="621" spans="1:9" x14ac:dyDescent="0.3">
      <c r="A621" s="26">
        <v>45327</v>
      </c>
      <c r="B621" t="s">
        <v>843</v>
      </c>
      <c r="C621" t="s">
        <v>1359</v>
      </c>
      <c r="D621">
        <v>0.25</v>
      </c>
      <c r="E621" t="s">
        <v>259</v>
      </c>
      <c r="F621" t="s">
        <v>754</v>
      </c>
      <c r="G621" t="s">
        <v>849</v>
      </c>
      <c r="H621" t="s">
        <v>30</v>
      </c>
      <c r="I621" s="28" t="s">
        <v>24</v>
      </c>
    </row>
    <row r="622" spans="1:9" x14ac:dyDescent="0.3">
      <c r="A622" s="26">
        <v>45327</v>
      </c>
      <c r="B622" t="s">
        <v>843</v>
      </c>
      <c r="C622" t="s">
        <v>771</v>
      </c>
      <c r="D622">
        <v>0.5</v>
      </c>
      <c r="E622" t="s">
        <v>7</v>
      </c>
      <c r="F622" t="s">
        <v>772</v>
      </c>
      <c r="G622" t="s">
        <v>781</v>
      </c>
      <c r="H622" t="s">
        <v>30</v>
      </c>
      <c r="I622" s="28" t="s">
        <v>24</v>
      </c>
    </row>
    <row r="623" spans="1:9" x14ac:dyDescent="0.3">
      <c r="A623" s="26">
        <v>45327</v>
      </c>
      <c r="B623" t="s">
        <v>843</v>
      </c>
      <c r="C623" t="s">
        <v>834</v>
      </c>
      <c r="D623">
        <v>0.95</v>
      </c>
      <c r="E623" t="s">
        <v>7</v>
      </c>
      <c r="F623" t="s">
        <v>772</v>
      </c>
      <c r="G623" t="s">
        <v>1360</v>
      </c>
      <c r="H623" t="s">
        <v>30</v>
      </c>
      <c r="I623" s="28" t="s">
        <v>24</v>
      </c>
    </row>
    <row r="624" spans="1:9" x14ac:dyDescent="0.3">
      <c r="A624" s="26">
        <v>45327</v>
      </c>
      <c r="B624" t="s">
        <v>856</v>
      </c>
      <c r="C624" t="s">
        <v>1163</v>
      </c>
      <c r="D624">
        <v>8</v>
      </c>
      <c r="E624" t="s">
        <v>7</v>
      </c>
      <c r="F624" t="s">
        <v>772</v>
      </c>
      <c r="G624" t="s">
        <v>1361</v>
      </c>
      <c r="H624" t="s">
        <v>30</v>
      </c>
      <c r="I624" s="28" t="s">
        <v>24</v>
      </c>
    </row>
    <row r="625" spans="1:9" x14ac:dyDescent="0.3">
      <c r="A625" s="26">
        <v>45327</v>
      </c>
      <c r="B625" t="s">
        <v>33</v>
      </c>
      <c r="C625" t="s">
        <v>753</v>
      </c>
      <c r="D625">
        <v>0.3</v>
      </c>
      <c r="E625" t="s">
        <v>11</v>
      </c>
      <c r="F625" t="s">
        <v>772</v>
      </c>
      <c r="G625" t="s">
        <v>1362</v>
      </c>
      <c r="H625" t="s">
        <v>30</v>
      </c>
      <c r="I625" s="28" t="s">
        <v>24</v>
      </c>
    </row>
    <row r="626" spans="1:9" x14ac:dyDescent="0.3">
      <c r="A626" s="26">
        <v>45327</v>
      </c>
      <c r="B626" t="s">
        <v>33</v>
      </c>
      <c r="C626" t="s">
        <v>753</v>
      </c>
      <c r="D626">
        <v>0.42</v>
      </c>
      <c r="E626" t="s">
        <v>898</v>
      </c>
      <c r="F626" t="s">
        <v>754</v>
      </c>
      <c r="G626" t="s">
        <v>1363</v>
      </c>
      <c r="H626" t="s">
        <v>30</v>
      </c>
      <c r="I626" s="28" t="s">
        <v>24</v>
      </c>
    </row>
    <row r="627" spans="1:9" x14ac:dyDescent="0.3">
      <c r="A627" s="26">
        <v>45327</v>
      </c>
      <c r="B627" t="s">
        <v>33</v>
      </c>
      <c r="C627" t="s">
        <v>753</v>
      </c>
      <c r="D627">
        <v>1.92</v>
      </c>
      <c r="E627" t="s">
        <v>898</v>
      </c>
      <c r="F627" t="s">
        <v>754</v>
      </c>
      <c r="G627" t="s">
        <v>1364</v>
      </c>
      <c r="H627" t="s">
        <v>30</v>
      </c>
      <c r="I627" s="28" t="s">
        <v>24</v>
      </c>
    </row>
    <row r="628" spans="1:9" x14ac:dyDescent="0.3">
      <c r="A628" s="26">
        <v>45327</v>
      </c>
      <c r="B628" t="s">
        <v>33</v>
      </c>
      <c r="C628" t="s">
        <v>753</v>
      </c>
      <c r="D628">
        <v>2.0499999999999998</v>
      </c>
      <c r="E628" t="s">
        <v>898</v>
      </c>
      <c r="F628" t="s">
        <v>754</v>
      </c>
      <c r="G628" t="s">
        <v>1365</v>
      </c>
      <c r="H628" t="s">
        <v>30</v>
      </c>
      <c r="I628" s="28" t="s">
        <v>24</v>
      </c>
    </row>
    <row r="629" spans="1:9" x14ac:dyDescent="0.3">
      <c r="A629" s="26">
        <v>45327</v>
      </c>
      <c r="B629" t="s">
        <v>33</v>
      </c>
      <c r="C629" t="s">
        <v>771</v>
      </c>
      <c r="D629">
        <v>0.15</v>
      </c>
      <c r="E629" t="s">
        <v>7</v>
      </c>
      <c r="F629" t="s">
        <v>772</v>
      </c>
      <c r="G629" t="s">
        <v>1012</v>
      </c>
      <c r="H629" t="s">
        <v>30</v>
      </c>
      <c r="I629" s="28" t="s">
        <v>24</v>
      </c>
    </row>
    <row r="630" spans="1:9" x14ac:dyDescent="0.3">
      <c r="A630" s="26">
        <v>45327</v>
      </c>
      <c r="B630" t="s">
        <v>33</v>
      </c>
      <c r="C630" t="s">
        <v>771</v>
      </c>
      <c r="D630">
        <v>0.35</v>
      </c>
      <c r="E630" t="s">
        <v>7</v>
      </c>
      <c r="F630" t="s">
        <v>772</v>
      </c>
      <c r="G630" t="s">
        <v>1366</v>
      </c>
      <c r="H630" t="s">
        <v>30</v>
      </c>
      <c r="I630" s="28" t="s">
        <v>24</v>
      </c>
    </row>
    <row r="631" spans="1:9" x14ac:dyDescent="0.3">
      <c r="A631" s="26">
        <v>45327</v>
      </c>
      <c r="B631" t="s">
        <v>33</v>
      </c>
      <c r="C631" t="s">
        <v>835</v>
      </c>
      <c r="D631">
        <v>1.3</v>
      </c>
      <c r="E631" t="s">
        <v>898</v>
      </c>
      <c r="F631" t="s">
        <v>754</v>
      </c>
      <c r="G631" t="s">
        <v>1367</v>
      </c>
      <c r="H631" t="s">
        <v>30</v>
      </c>
      <c r="I631" s="28" t="s">
        <v>24</v>
      </c>
    </row>
    <row r="632" spans="1:9" x14ac:dyDescent="0.3">
      <c r="A632" s="26">
        <v>45327</v>
      </c>
      <c r="B632" t="s">
        <v>33</v>
      </c>
      <c r="C632" t="s">
        <v>874</v>
      </c>
      <c r="D632">
        <v>0.4</v>
      </c>
      <c r="E632" t="s">
        <v>7</v>
      </c>
      <c r="F632" t="s">
        <v>772</v>
      </c>
      <c r="G632" t="s">
        <v>1368</v>
      </c>
      <c r="H632" t="s">
        <v>30</v>
      </c>
      <c r="I632" s="28" t="s">
        <v>24</v>
      </c>
    </row>
    <row r="633" spans="1:9" x14ac:dyDescent="0.3">
      <c r="A633" s="26">
        <v>45327</v>
      </c>
      <c r="B633" t="s">
        <v>33</v>
      </c>
      <c r="C633" t="s">
        <v>776</v>
      </c>
      <c r="D633">
        <v>1.1200000000000001</v>
      </c>
      <c r="E633" t="s">
        <v>11</v>
      </c>
      <c r="F633" t="s">
        <v>772</v>
      </c>
      <c r="G633" t="s">
        <v>1369</v>
      </c>
      <c r="H633" t="s">
        <v>30</v>
      </c>
      <c r="I633" s="28" t="s">
        <v>24</v>
      </c>
    </row>
    <row r="634" spans="1:9" x14ac:dyDescent="0.3">
      <c r="A634" s="26">
        <v>45327</v>
      </c>
      <c r="B634" t="s">
        <v>876</v>
      </c>
      <c r="C634" t="s">
        <v>753</v>
      </c>
      <c r="D634">
        <v>3.97</v>
      </c>
      <c r="E634" t="s">
        <v>11</v>
      </c>
      <c r="F634" t="s">
        <v>754</v>
      </c>
      <c r="H634" t="s">
        <v>30</v>
      </c>
      <c r="I634" s="28" t="s">
        <v>24</v>
      </c>
    </row>
    <row r="635" spans="1:9" x14ac:dyDescent="0.3">
      <c r="A635" s="26">
        <v>45327</v>
      </c>
      <c r="B635" t="s">
        <v>876</v>
      </c>
      <c r="C635" t="s">
        <v>776</v>
      </c>
      <c r="D635">
        <v>0.73</v>
      </c>
      <c r="E635" t="s">
        <v>657</v>
      </c>
      <c r="F635" t="s">
        <v>754</v>
      </c>
      <c r="H635" t="s">
        <v>30</v>
      </c>
      <c r="I635" s="28" t="s">
        <v>24</v>
      </c>
    </row>
    <row r="636" spans="1:9" x14ac:dyDescent="0.3">
      <c r="A636" s="26">
        <v>45327</v>
      </c>
      <c r="B636" t="s">
        <v>876</v>
      </c>
      <c r="C636" t="s">
        <v>776</v>
      </c>
      <c r="D636">
        <v>3.4</v>
      </c>
      <c r="E636" t="s">
        <v>151</v>
      </c>
      <c r="F636" t="s">
        <v>754</v>
      </c>
      <c r="H636" t="s">
        <v>30</v>
      </c>
      <c r="I636" s="28" t="s">
        <v>24</v>
      </c>
    </row>
    <row r="637" spans="1:9" x14ac:dyDescent="0.3">
      <c r="A637" s="26">
        <v>45327</v>
      </c>
      <c r="B637" t="s">
        <v>877</v>
      </c>
      <c r="C637" t="s">
        <v>878</v>
      </c>
      <c r="D637">
        <v>6.63</v>
      </c>
      <c r="E637" t="s">
        <v>879</v>
      </c>
      <c r="F637" t="s">
        <v>754</v>
      </c>
      <c r="G637" t="s">
        <v>1370</v>
      </c>
      <c r="H637" t="s">
        <v>30</v>
      </c>
      <c r="I637" s="28" t="s">
        <v>24</v>
      </c>
    </row>
    <row r="638" spans="1:9" x14ac:dyDescent="0.3">
      <c r="A638" s="26">
        <v>45327</v>
      </c>
      <c r="B638" t="s">
        <v>884</v>
      </c>
      <c r="C638" t="s">
        <v>753</v>
      </c>
      <c r="D638">
        <v>0.23</v>
      </c>
      <c r="E638" t="s">
        <v>646</v>
      </c>
      <c r="F638" t="s">
        <v>754</v>
      </c>
      <c r="H638" t="s">
        <v>30</v>
      </c>
      <c r="I638" s="28" t="s">
        <v>24</v>
      </c>
    </row>
    <row r="639" spans="1:9" x14ac:dyDescent="0.3">
      <c r="A639" s="26">
        <v>45327</v>
      </c>
      <c r="B639" t="s">
        <v>884</v>
      </c>
      <c r="C639" t="s">
        <v>753</v>
      </c>
      <c r="D639">
        <v>0.35</v>
      </c>
      <c r="E639" t="s">
        <v>248</v>
      </c>
      <c r="F639" t="s">
        <v>754</v>
      </c>
      <c r="G639" t="s">
        <v>1371</v>
      </c>
      <c r="H639" t="s">
        <v>30</v>
      </c>
      <c r="I639" s="28" t="s">
        <v>24</v>
      </c>
    </row>
    <row r="640" spans="1:9" x14ac:dyDescent="0.3">
      <c r="A640" s="26">
        <v>45327</v>
      </c>
      <c r="B640" t="s">
        <v>884</v>
      </c>
      <c r="C640" t="s">
        <v>753</v>
      </c>
      <c r="D640">
        <v>0.67</v>
      </c>
      <c r="E640" t="s">
        <v>316</v>
      </c>
      <c r="F640" t="s">
        <v>754</v>
      </c>
      <c r="G640" t="s">
        <v>1372</v>
      </c>
      <c r="H640" t="s">
        <v>30</v>
      </c>
      <c r="I640" s="28" t="s">
        <v>24</v>
      </c>
    </row>
    <row r="641" spans="1:9" x14ac:dyDescent="0.3">
      <c r="A641" s="26">
        <v>45327</v>
      </c>
      <c r="B641" t="s">
        <v>884</v>
      </c>
      <c r="C641" t="s">
        <v>753</v>
      </c>
      <c r="D641">
        <v>0.68</v>
      </c>
      <c r="E641" t="s">
        <v>375</v>
      </c>
      <c r="F641" t="s">
        <v>754</v>
      </c>
      <c r="G641" t="s">
        <v>1373</v>
      </c>
      <c r="H641" t="s">
        <v>30</v>
      </c>
      <c r="I641" s="28" t="s">
        <v>24</v>
      </c>
    </row>
    <row r="642" spans="1:9" x14ac:dyDescent="0.3">
      <c r="A642" s="26">
        <v>45327</v>
      </c>
      <c r="B642" t="s">
        <v>884</v>
      </c>
      <c r="C642" t="s">
        <v>753</v>
      </c>
      <c r="D642">
        <v>0.73</v>
      </c>
      <c r="E642" t="s">
        <v>375</v>
      </c>
      <c r="F642" t="s">
        <v>754</v>
      </c>
      <c r="G642" t="s">
        <v>1374</v>
      </c>
      <c r="H642" t="s">
        <v>30</v>
      </c>
      <c r="I642" s="28" t="s">
        <v>24</v>
      </c>
    </row>
    <row r="643" spans="1:9" x14ac:dyDescent="0.3">
      <c r="A643" s="26">
        <v>45327</v>
      </c>
      <c r="B643" t="s">
        <v>884</v>
      </c>
      <c r="C643" t="s">
        <v>753</v>
      </c>
      <c r="D643">
        <v>0.95</v>
      </c>
      <c r="E643" t="s">
        <v>885</v>
      </c>
      <c r="F643" t="s">
        <v>754</v>
      </c>
      <c r="G643" t="s">
        <v>1375</v>
      </c>
      <c r="H643" t="s">
        <v>30</v>
      </c>
      <c r="I643" s="28" t="s">
        <v>24</v>
      </c>
    </row>
    <row r="644" spans="1:9" x14ac:dyDescent="0.3">
      <c r="A644" s="26">
        <v>45327</v>
      </c>
      <c r="B644" t="s">
        <v>884</v>
      </c>
      <c r="C644" t="s">
        <v>753</v>
      </c>
      <c r="D644">
        <v>1.33</v>
      </c>
      <c r="E644" t="s">
        <v>375</v>
      </c>
      <c r="F644" t="s">
        <v>754</v>
      </c>
      <c r="G644" t="s">
        <v>1376</v>
      </c>
      <c r="H644" t="s">
        <v>30</v>
      </c>
      <c r="I644" s="28" t="s">
        <v>24</v>
      </c>
    </row>
    <row r="645" spans="1:9" x14ac:dyDescent="0.3">
      <c r="A645" s="26">
        <v>45327</v>
      </c>
      <c r="B645" t="s">
        <v>884</v>
      </c>
      <c r="C645" t="s">
        <v>753</v>
      </c>
      <c r="D645">
        <v>1.38</v>
      </c>
      <c r="E645" t="s">
        <v>562</v>
      </c>
      <c r="F645" t="s">
        <v>754</v>
      </c>
      <c r="H645" t="s">
        <v>30</v>
      </c>
      <c r="I645" s="28" t="s">
        <v>24</v>
      </c>
    </row>
    <row r="646" spans="1:9" x14ac:dyDescent="0.3">
      <c r="A646" s="26">
        <v>45327</v>
      </c>
      <c r="B646" t="s">
        <v>884</v>
      </c>
      <c r="C646" t="s">
        <v>753</v>
      </c>
      <c r="D646">
        <v>1.7</v>
      </c>
      <c r="E646" t="s">
        <v>562</v>
      </c>
      <c r="F646" t="s">
        <v>754</v>
      </c>
      <c r="G646" t="s">
        <v>1377</v>
      </c>
      <c r="H646" t="s">
        <v>30</v>
      </c>
      <c r="I646" s="28" t="s">
        <v>24</v>
      </c>
    </row>
    <row r="647" spans="1:9" x14ac:dyDescent="0.3">
      <c r="A647" s="26">
        <v>45327</v>
      </c>
      <c r="B647" t="s">
        <v>891</v>
      </c>
      <c r="C647" t="s">
        <v>802</v>
      </c>
      <c r="D647">
        <v>8</v>
      </c>
      <c r="E647" t="s">
        <v>7</v>
      </c>
      <c r="F647" t="s">
        <v>772</v>
      </c>
      <c r="G647" t="s">
        <v>892</v>
      </c>
      <c r="H647" t="s">
        <v>30</v>
      </c>
      <c r="I647" s="28" t="s">
        <v>24</v>
      </c>
    </row>
    <row r="648" spans="1:9" x14ac:dyDescent="0.3">
      <c r="A648" s="26">
        <v>45327</v>
      </c>
      <c r="B648" t="s">
        <v>34</v>
      </c>
      <c r="C648" t="s">
        <v>802</v>
      </c>
      <c r="D648">
        <v>8</v>
      </c>
      <c r="E648" t="s">
        <v>7</v>
      </c>
      <c r="F648" t="s">
        <v>772</v>
      </c>
      <c r="H648" t="s">
        <v>30</v>
      </c>
      <c r="I648" s="28" t="s">
        <v>24</v>
      </c>
    </row>
    <row r="649" spans="1:9" x14ac:dyDescent="0.3">
      <c r="A649" s="26">
        <v>45327</v>
      </c>
      <c r="B649" t="s">
        <v>893</v>
      </c>
      <c r="C649" t="s">
        <v>802</v>
      </c>
      <c r="D649">
        <v>8</v>
      </c>
      <c r="E649" t="s">
        <v>7</v>
      </c>
      <c r="F649" t="s">
        <v>772</v>
      </c>
      <c r="G649" t="s">
        <v>1378</v>
      </c>
      <c r="H649" t="s">
        <v>30</v>
      </c>
      <c r="I649" s="28" t="s">
        <v>24</v>
      </c>
    </row>
    <row r="650" spans="1:9" x14ac:dyDescent="0.3">
      <c r="A650" s="26">
        <v>45327</v>
      </c>
      <c r="B650" t="s">
        <v>895</v>
      </c>
      <c r="C650" t="s">
        <v>753</v>
      </c>
      <c r="D650">
        <v>0.15</v>
      </c>
      <c r="E650" t="s">
        <v>985</v>
      </c>
      <c r="F650" t="s">
        <v>754</v>
      </c>
      <c r="G650" t="s">
        <v>1379</v>
      </c>
      <c r="H650" t="s">
        <v>30</v>
      </c>
      <c r="I650" s="28" t="s">
        <v>24</v>
      </c>
    </row>
    <row r="651" spans="1:9" x14ac:dyDescent="0.3">
      <c r="A651" s="26">
        <v>45327</v>
      </c>
      <c r="B651" t="s">
        <v>895</v>
      </c>
      <c r="C651" t="s">
        <v>753</v>
      </c>
      <c r="D651">
        <v>0.18</v>
      </c>
      <c r="E651" t="s">
        <v>1172</v>
      </c>
      <c r="F651" t="s">
        <v>754</v>
      </c>
      <c r="G651" t="s">
        <v>1380</v>
      </c>
      <c r="H651" t="s">
        <v>30</v>
      </c>
      <c r="I651" s="28" t="s">
        <v>24</v>
      </c>
    </row>
    <row r="652" spans="1:9" x14ac:dyDescent="0.3">
      <c r="A652" s="26">
        <v>45327</v>
      </c>
      <c r="B652" t="s">
        <v>895</v>
      </c>
      <c r="C652" t="s">
        <v>753</v>
      </c>
      <c r="D652">
        <v>0.22</v>
      </c>
      <c r="E652" t="s">
        <v>898</v>
      </c>
      <c r="F652" t="s">
        <v>754</v>
      </c>
      <c r="G652" t="s">
        <v>1381</v>
      </c>
      <c r="H652" t="s">
        <v>30</v>
      </c>
      <c r="I652" s="28" t="s">
        <v>24</v>
      </c>
    </row>
    <row r="653" spans="1:9" x14ac:dyDescent="0.3">
      <c r="A653" s="26">
        <v>45327</v>
      </c>
      <c r="B653" t="s">
        <v>895</v>
      </c>
      <c r="C653" t="s">
        <v>753</v>
      </c>
      <c r="D653">
        <v>0.67</v>
      </c>
      <c r="E653" t="s">
        <v>516</v>
      </c>
      <c r="F653" t="s">
        <v>754</v>
      </c>
      <c r="G653" t="s">
        <v>1382</v>
      </c>
      <c r="H653" t="s">
        <v>30</v>
      </c>
      <c r="I653" s="28" t="s">
        <v>24</v>
      </c>
    </row>
    <row r="654" spans="1:9" x14ac:dyDescent="0.3">
      <c r="A654" s="26">
        <v>45327</v>
      </c>
      <c r="B654" t="s">
        <v>895</v>
      </c>
      <c r="C654" t="s">
        <v>753</v>
      </c>
      <c r="D654">
        <v>0.68</v>
      </c>
      <c r="E654" t="s">
        <v>1172</v>
      </c>
      <c r="F654" t="s">
        <v>754</v>
      </c>
      <c r="G654" t="s">
        <v>1383</v>
      </c>
      <c r="H654" t="s">
        <v>30</v>
      </c>
      <c r="I654" s="28" t="s">
        <v>24</v>
      </c>
    </row>
    <row r="655" spans="1:9" x14ac:dyDescent="0.3">
      <c r="A655" s="26">
        <v>45327</v>
      </c>
      <c r="B655" t="s">
        <v>895</v>
      </c>
      <c r="C655" t="s">
        <v>906</v>
      </c>
      <c r="D655">
        <v>0.17</v>
      </c>
      <c r="E655" t="s">
        <v>7</v>
      </c>
      <c r="F655" t="s">
        <v>772</v>
      </c>
      <c r="G655" t="s">
        <v>1384</v>
      </c>
      <c r="H655" t="s">
        <v>30</v>
      </c>
      <c r="I655" s="28" t="s">
        <v>24</v>
      </c>
    </row>
    <row r="656" spans="1:9" x14ac:dyDescent="0.3">
      <c r="A656" s="26">
        <v>45327</v>
      </c>
      <c r="B656" t="s">
        <v>895</v>
      </c>
      <c r="C656" t="s">
        <v>906</v>
      </c>
      <c r="D656">
        <v>0.47</v>
      </c>
      <c r="E656" t="s">
        <v>7</v>
      </c>
      <c r="F656" t="s">
        <v>772</v>
      </c>
      <c r="G656" t="s">
        <v>1385</v>
      </c>
      <c r="H656" t="s">
        <v>30</v>
      </c>
      <c r="I656" s="28" t="s">
        <v>24</v>
      </c>
    </row>
    <row r="657" spans="1:9" x14ac:dyDescent="0.3">
      <c r="A657" s="26">
        <v>45327</v>
      </c>
      <c r="B657" t="s">
        <v>895</v>
      </c>
      <c r="C657" t="s">
        <v>776</v>
      </c>
      <c r="D657">
        <v>0.15</v>
      </c>
      <c r="E657" t="s">
        <v>922</v>
      </c>
      <c r="F657" t="s">
        <v>754</v>
      </c>
      <c r="G657" t="s">
        <v>1386</v>
      </c>
      <c r="H657" t="s">
        <v>30</v>
      </c>
      <c r="I657" s="28" t="s">
        <v>24</v>
      </c>
    </row>
    <row r="658" spans="1:9" x14ac:dyDescent="0.3">
      <c r="A658" s="26">
        <v>45327</v>
      </c>
      <c r="B658" t="s">
        <v>895</v>
      </c>
      <c r="C658" t="s">
        <v>776</v>
      </c>
      <c r="D658">
        <v>0.15</v>
      </c>
      <c r="E658" t="s">
        <v>879</v>
      </c>
      <c r="F658" t="s">
        <v>754</v>
      </c>
      <c r="G658" t="s">
        <v>1387</v>
      </c>
      <c r="H658" t="s">
        <v>30</v>
      </c>
      <c r="I658" s="28" t="s">
        <v>24</v>
      </c>
    </row>
    <row r="659" spans="1:9" x14ac:dyDescent="0.3">
      <c r="A659" s="26">
        <v>45327</v>
      </c>
      <c r="B659" t="s">
        <v>895</v>
      </c>
      <c r="C659" t="s">
        <v>776</v>
      </c>
      <c r="D659">
        <v>0.15</v>
      </c>
      <c r="E659" t="s">
        <v>879</v>
      </c>
      <c r="F659" t="s">
        <v>754</v>
      </c>
      <c r="G659" t="s">
        <v>1388</v>
      </c>
      <c r="H659" t="s">
        <v>30</v>
      </c>
      <c r="I659" s="28" t="s">
        <v>24</v>
      </c>
    </row>
    <row r="660" spans="1:9" x14ac:dyDescent="0.3">
      <c r="A660" s="26">
        <v>45327</v>
      </c>
      <c r="B660" t="s">
        <v>895</v>
      </c>
      <c r="C660" t="s">
        <v>776</v>
      </c>
      <c r="D660">
        <v>0.22</v>
      </c>
      <c r="E660" t="s">
        <v>879</v>
      </c>
      <c r="F660" t="s">
        <v>754</v>
      </c>
      <c r="G660" t="s">
        <v>1389</v>
      </c>
      <c r="H660" t="s">
        <v>30</v>
      </c>
      <c r="I660" s="28" t="s">
        <v>24</v>
      </c>
    </row>
    <row r="661" spans="1:9" x14ac:dyDescent="0.3">
      <c r="A661" s="26">
        <v>45327</v>
      </c>
      <c r="B661" t="s">
        <v>895</v>
      </c>
      <c r="C661" t="s">
        <v>776</v>
      </c>
      <c r="D661">
        <v>3.75</v>
      </c>
      <c r="E661" t="s">
        <v>879</v>
      </c>
      <c r="F661" t="s">
        <v>754</v>
      </c>
      <c r="G661" t="s">
        <v>1390</v>
      </c>
      <c r="H661" t="s">
        <v>30</v>
      </c>
      <c r="I661" s="28" t="s">
        <v>24</v>
      </c>
    </row>
    <row r="662" spans="1:9" x14ac:dyDescent="0.3">
      <c r="A662" s="26">
        <v>45327</v>
      </c>
      <c r="B662" t="s">
        <v>1391</v>
      </c>
      <c r="C662" t="s">
        <v>771</v>
      </c>
      <c r="D662">
        <v>0.33</v>
      </c>
      <c r="E662" t="s">
        <v>7</v>
      </c>
      <c r="F662" t="s">
        <v>772</v>
      </c>
      <c r="G662" t="s">
        <v>1392</v>
      </c>
      <c r="H662" t="s">
        <v>30</v>
      </c>
      <c r="I662" s="28" t="s">
        <v>24</v>
      </c>
    </row>
    <row r="663" spans="1:9" x14ac:dyDescent="0.3">
      <c r="A663" s="26">
        <v>45327</v>
      </c>
      <c r="B663" t="s">
        <v>1391</v>
      </c>
      <c r="C663" t="s">
        <v>874</v>
      </c>
      <c r="D663">
        <v>0.5</v>
      </c>
      <c r="E663" t="s">
        <v>7</v>
      </c>
      <c r="F663" t="s">
        <v>772</v>
      </c>
      <c r="G663" t="s">
        <v>1393</v>
      </c>
      <c r="H663" t="s">
        <v>30</v>
      </c>
      <c r="I663" s="28" t="s">
        <v>24</v>
      </c>
    </row>
    <row r="664" spans="1:9" x14ac:dyDescent="0.3">
      <c r="A664" s="26">
        <v>45327</v>
      </c>
      <c r="B664" t="s">
        <v>1391</v>
      </c>
      <c r="C664" t="s">
        <v>1094</v>
      </c>
      <c r="D664">
        <v>0.08</v>
      </c>
      <c r="E664" t="s">
        <v>455</v>
      </c>
      <c r="F664" t="s">
        <v>754</v>
      </c>
      <c r="G664" t="s">
        <v>1394</v>
      </c>
      <c r="H664" t="s">
        <v>30</v>
      </c>
      <c r="I664" s="28" t="s">
        <v>24</v>
      </c>
    </row>
    <row r="665" spans="1:9" x14ac:dyDescent="0.3">
      <c r="A665" s="26">
        <v>45327</v>
      </c>
      <c r="B665" t="s">
        <v>1391</v>
      </c>
      <c r="C665" t="s">
        <v>1094</v>
      </c>
      <c r="D665">
        <v>0.17</v>
      </c>
      <c r="E665" t="s">
        <v>455</v>
      </c>
      <c r="F665" t="s">
        <v>754</v>
      </c>
      <c r="G665" t="s">
        <v>1395</v>
      </c>
      <c r="H665" t="s">
        <v>30</v>
      </c>
      <c r="I665" s="28" t="s">
        <v>24</v>
      </c>
    </row>
    <row r="666" spans="1:9" x14ac:dyDescent="0.3">
      <c r="A666" s="26">
        <v>45327</v>
      </c>
      <c r="B666" t="s">
        <v>1391</v>
      </c>
      <c r="C666" t="s">
        <v>1094</v>
      </c>
      <c r="D666">
        <v>0.5</v>
      </c>
      <c r="E666" t="s">
        <v>455</v>
      </c>
      <c r="F666" t="s">
        <v>754</v>
      </c>
      <c r="G666" t="s">
        <v>1396</v>
      </c>
      <c r="H666" t="s">
        <v>30</v>
      </c>
      <c r="I666" s="28" t="s">
        <v>24</v>
      </c>
    </row>
    <row r="667" spans="1:9" x14ac:dyDescent="0.3">
      <c r="A667" s="26">
        <v>45327</v>
      </c>
      <c r="B667" t="s">
        <v>1391</v>
      </c>
      <c r="C667" t="s">
        <v>1094</v>
      </c>
      <c r="D667">
        <v>1</v>
      </c>
      <c r="E667" t="s">
        <v>455</v>
      </c>
      <c r="F667" t="s">
        <v>754</v>
      </c>
      <c r="G667" t="s">
        <v>1397</v>
      </c>
      <c r="H667" t="s">
        <v>30</v>
      </c>
      <c r="I667" s="28" t="s">
        <v>24</v>
      </c>
    </row>
    <row r="668" spans="1:9" x14ac:dyDescent="0.3">
      <c r="A668" s="26">
        <v>45327</v>
      </c>
      <c r="B668" t="s">
        <v>929</v>
      </c>
      <c r="C668" t="s">
        <v>789</v>
      </c>
      <c r="D668">
        <v>0.1</v>
      </c>
      <c r="E668" t="s">
        <v>1069</v>
      </c>
      <c r="F668" t="s">
        <v>772</v>
      </c>
      <c r="G668" t="s">
        <v>1398</v>
      </c>
      <c r="H668" t="s">
        <v>30</v>
      </c>
      <c r="I668" s="28" t="s">
        <v>24</v>
      </c>
    </row>
    <row r="669" spans="1:9" x14ac:dyDescent="0.3">
      <c r="A669" s="26">
        <v>45327</v>
      </c>
      <c r="B669" t="s">
        <v>929</v>
      </c>
      <c r="C669" t="s">
        <v>789</v>
      </c>
      <c r="D669">
        <v>0.57999999999999996</v>
      </c>
      <c r="E669" t="s">
        <v>7</v>
      </c>
      <c r="F669" t="s">
        <v>772</v>
      </c>
      <c r="G669" t="s">
        <v>1399</v>
      </c>
      <c r="H669" t="s">
        <v>30</v>
      </c>
      <c r="I669" s="28" t="s">
        <v>24</v>
      </c>
    </row>
    <row r="670" spans="1:9" x14ac:dyDescent="0.3">
      <c r="A670" s="26">
        <v>45327</v>
      </c>
      <c r="B670" t="s">
        <v>929</v>
      </c>
      <c r="C670" t="s">
        <v>771</v>
      </c>
      <c r="D670">
        <v>0.17</v>
      </c>
      <c r="E670" t="s">
        <v>7</v>
      </c>
      <c r="F670" t="s">
        <v>772</v>
      </c>
      <c r="G670" t="s">
        <v>1400</v>
      </c>
      <c r="H670" t="s">
        <v>30</v>
      </c>
      <c r="I670" s="28" t="s">
        <v>24</v>
      </c>
    </row>
    <row r="671" spans="1:9" x14ac:dyDescent="0.3">
      <c r="A671" s="26">
        <v>45327</v>
      </c>
      <c r="B671" t="s">
        <v>929</v>
      </c>
      <c r="C671" t="s">
        <v>771</v>
      </c>
      <c r="D671">
        <v>0.18</v>
      </c>
      <c r="E671" t="s">
        <v>7</v>
      </c>
      <c r="F671" t="s">
        <v>772</v>
      </c>
      <c r="G671" t="s">
        <v>1401</v>
      </c>
      <c r="H671" t="s">
        <v>30</v>
      </c>
      <c r="I671" s="28" t="s">
        <v>24</v>
      </c>
    </row>
    <row r="672" spans="1:9" x14ac:dyDescent="0.3">
      <c r="A672" s="26">
        <v>45327</v>
      </c>
      <c r="B672" t="s">
        <v>929</v>
      </c>
      <c r="C672" t="s">
        <v>771</v>
      </c>
      <c r="D672">
        <v>0.25</v>
      </c>
      <c r="E672" t="s">
        <v>7</v>
      </c>
      <c r="F672" t="s">
        <v>772</v>
      </c>
      <c r="G672" t="s">
        <v>940</v>
      </c>
      <c r="H672" t="s">
        <v>30</v>
      </c>
      <c r="I672" s="28" t="s">
        <v>24</v>
      </c>
    </row>
    <row r="673" spans="1:9" x14ac:dyDescent="0.3">
      <c r="A673" s="26">
        <v>45327</v>
      </c>
      <c r="B673" t="s">
        <v>929</v>
      </c>
      <c r="C673" t="s">
        <v>771</v>
      </c>
      <c r="D673">
        <v>0.25</v>
      </c>
      <c r="E673" t="s">
        <v>7</v>
      </c>
      <c r="F673" t="s">
        <v>772</v>
      </c>
      <c r="G673" t="s">
        <v>941</v>
      </c>
      <c r="H673" t="s">
        <v>30</v>
      </c>
      <c r="I673" s="28" t="s">
        <v>24</v>
      </c>
    </row>
    <row r="674" spans="1:9" x14ac:dyDescent="0.3">
      <c r="A674" s="26">
        <v>45327</v>
      </c>
      <c r="B674" t="s">
        <v>929</v>
      </c>
      <c r="C674" t="s">
        <v>771</v>
      </c>
      <c r="D674">
        <v>0.42</v>
      </c>
      <c r="E674" t="s">
        <v>7</v>
      </c>
      <c r="F674" t="s">
        <v>772</v>
      </c>
      <c r="G674" t="s">
        <v>1402</v>
      </c>
      <c r="H674" t="s">
        <v>30</v>
      </c>
      <c r="I674" s="28" t="s">
        <v>24</v>
      </c>
    </row>
    <row r="675" spans="1:9" x14ac:dyDescent="0.3">
      <c r="A675" s="26">
        <v>45327</v>
      </c>
      <c r="B675" t="s">
        <v>929</v>
      </c>
      <c r="C675" t="s">
        <v>916</v>
      </c>
      <c r="D675">
        <v>0.23</v>
      </c>
      <c r="E675" t="s">
        <v>944</v>
      </c>
      <c r="F675" t="s">
        <v>754</v>
      </c>
      <c r="G675" t="s">
        <v>1403</v>
      </c>
      <c r="H675" t="s">
        <v>30</v>
      </c>
      <c r="I675" s="28" t="s">
        <v>24</v>
      </c>
    </row>
    <row r="676" spans="1:9" x14ac:dyDescent="0.3">
      <c r="A676" s="26">
        <v>45327</v>
      </c>
      <c r="B676" t="s">
        <v>929</v>
      </c>
      <c r="C676" t="s">
        <v>916</v>
      </c>
      <c r="D676">
        <v>0.72</v>
      </c>
      <c r="E676" t="s">
        <v>1150</v>
      </c>
      <c r="F676" t="s">
        <v>754</v>
      </c>
      <c r="H676" t="s">
        <v>30</v>
      </c>
      <c r="I676" s="28" t="s">
        <v>24</v>
      </c>
    </row>
    <row r="677" spans="1:9" x14ac:dyDescent="0.3">
      <c r="A677" s="26">
        <v>45327</v>
      </c>
      <c r="B677" t="s">
        <v>929</v>
      </c>
      <c r="C677" t="s">
        <v>916</v>
      </c>
      <c r="D677">
        <v>0.78</v>
      </c>
      <c r="E677" t="s">
        <v>944</v>
      </c>
      <c r="F677" t="s">
        <v>754</v>
      </c>
      <c r="G677" t="s">
        <v>1203</v>
      </c>
      <c r="H677" t="s">
        <v>30</v>
      </c>
      <c r="I677" s="28" t="s">
        <v>24</v>
      </c>
    </row>
    <row r="678" spans="1:9" x14ac:dyDescent="0.3">
      <c r="A678" s="26">
        <v>45327</v>
      </c>
      <c r="B678" t="s">
        <v>929</v>
      </c>
      <c r="C678" t="s">
        <v>954</v>
      </c>
      <c r="D678">
        <v>0.12</v>
      </c>
      <c r="E678" t="s">
        <v>7</v>
      </c>
      <c r="F678" t="s">
        <v>772</v>
      </c>
      <c r="G678" t="s">
        <v>1404</v>
      </c>
      <c r="H678" t="s">
        <v>30</v>
      </c>
      <c r="I678" s="28" t="s">
        <v>24</v>
      </c>
    </row>
    <row r="679" spans="1:9" x14ac:dyDescent="0.3">
      <c r="A679" s="26">
        <v>45327</v>
      </c>
      <c r="B679" t="s">
        <v>929</v>
      </c>
      <c r="C679" t="s">
        <v>954</v>
      </c>
      <c r="D679">
        <v>1.67</v>
      </c>
      <c r="E679" t="s">
        <v>7</v>
      </c>
      <c r="F679" t="s">
        <v>772</v>
      </c>
      <c r="G679" t="s">
        <v>1405</v>
      </c>
      <c r="H679" t="s">
        <v>30</v>
      </c>
      <c r="I679" s="28" t="s">
        <v>24</v>
      </c>
    </row>
    <row r="680" spans="1:9" x14ac:dyDescent="0.3">
      <c r="A680" s="26">
        <v>45327</v>
      </c>
      <c r="B680" t="s">
        <v>929</v>
      </c>
      <c r="C680" t="s">
        <v>954</v>
      </c>
      <c r="D680">
        <v>2.5</v>
      </c>
      <c r="E680" t="s">
        <v>7</v>
      </c>
      <c r="F680" t="s">
        <v>772</v>
      </c>
      <c r="G680" t="s">
        <v>1406</v>
      </c>
      <c r="H680" t="s">
        <v>30</v>
      </c>
      <c r="I680" s="28" t="s">
        <v>24</v>
      </c>
    </row>
    <row r="681" spans="1:9" x14ac:dyDescent="0.3">
      <c r="A681" s="26">
        <v>45327</v>
      </c>
      <c r="B681" t="s">
        <v>929</v>
      </c>
      <c r="C681" t="s">
        <v>957</v>
      </c>
      <c r="D681">
        <v>0.15</v>
      </c>
      <c r="E681" t="s">
        <v>7</v>
      </c>
      <c r="F681" t="s">
        <v>772</v>
      </c>
      <c r="G681" t="s">
        <v>1407</v>
      </c>
      <c r="H681" t="s">
        <v>30</v>
      </c>
      <c r="I681" s="28" t="s">
        <v>24</v>
      </c>
    </row>
    <row r="682" spans="1:9" x14ac:dyDescent="0.3">
      <c r="A682" s="26">
        <v>45327</v>
      </c>
      <c r="B682" t="s">
        <v>959</v>
      </c>
      <c r="C682" t="s">
        <v>874</v>
      </c>
      <c r="D682">
        <v>0.5</v>
      </c>
      <c r="E682" t="s">
        <v>7</v>
      </c>
      <c r="F682" t="s">
        <v>772</v>
      </c>
      <c r="G682" t="s">
        <v>1408</v>
      </c>
      <c r="H682" t="s">
        <v>30</v>
      </c>
      <c r="I682" s="28" t="s">
        <v>24</v>
      </c>
    </row>
    <row r="683" spans="1:9" x14ac:dyDescent="0.3">
      <c r="A683" s="26">
        <v>45327</v>
      </c>
      <c r="B683" t="s">
        <v>959</v>
      </c>
      <c r="C683" t="s">
        <v>878</v>
      </c>
      <c r="D683">
        <v>0.33</v>
      </c>
      <c r="E683" t="s">
        <v>1409</v>
      </c>
      <c r="F683" t="s">
        <v>754</v>
      </c>
      <c r="G683" t="s">
        <v>1410</v>
      </c>
      <c r="H683" t="s">
        <v>30</v>
      </c>
      <c r="I683" s="28" t="s">
        <v>24</v>
      </c>
    </row>
    <row r="684" spans="1:9" x14ac:dyDescent="0.3">
      <c r="A684" s="26">
        <v>45327</v>
      </c>
      <c r="B684" t="s">
        <v>959</v>
      </c>
      <c r="C684" t="s">
        <v>878</v>
      </c>
      <c r="D684">
        <v>7.17</v>
      </c>
      <c r="E684" t="s">
        <v>430</v>
      </c>
      <c r="F684" t="s">
        <v>754</v>
      </c>
      <c r="G684" t="s">
        <v>1411</v>
      </c>
      <c r="H684" t="s">
        <v>30</v>
      </c>
      <c r="I684" s="28" t="s">
        <v>24</v>
      </c>
    </row>
    <row r="685" spans="1:9" x14ac:dyDescent="0.3">
      <c r="A685" s="26">
        <v>45327</v>
      </c>
      <c r="B685" t="s">
        <v>961</v>
      </c>
      <c r="C685" t="s">
        <v>753</v>
      </c>
      <c r="D685">
        <v>8.9700000000000006</v>
      </c>
      <c r="E685" t="s">
        <v>790</v>
      </c>
      <c r="F685" t="s">
        <v>754</v>
      </c>
      <c r="H685" t="s">
        <v>30</v>
      </c>
      <c r="I685" s="28" t="s">
        <v>24</v>
      </c>
    </row>
    <row r="686" spans="1:9" x14ac:dyDescent="0.3">
      <c r="A686" s="26">
        <v>45327</v>
      </c>
      <c r="B686" t="s">
        <v>962</v>
      </c>
      <c r="C686" t="s">
        <v>753</v>
      </c>
      <c r="D686">
        <v>0.5</v>
      </c>
      <c r="E686" t="s">
        <v>717</v>
      </c>
      <c r="F686" t="s">
        <v>754</v>
      </c>
      <c r="G686" t="s">
        <v>1412</v>
      </c>
      <c r="H686" t="s">
        <v>30</v>
      </c>
      <c r="I686" s="28" t="s">
        <v>24</v>
      </c>
    </row>
    <row r="687" spans="1:9" x14ac:dyDescent="0.3">
      <c r="A687" s="26">
        <v>45327</v>
      </c>
      <c r="B687" t="s">
        <v>962</v>
      </c>
      <c r="C687" t="s">
        <v>753</v>
      </c>
      <c r="D687">
        <v>0.5</v>
      </c>
      <c r="E687" t="s">
        <v>717</v>
      </c>
      <c r="F687" t="s">
        <v>754</v>
      </c>
      <c r="G687" t="s">
        <v>1413</v>
      </c>
      <c r="H687" t="s">
        <v>30</v>
      </c>
      <c r="I687" s="28" t="s">
        <v>24</v>
      </c>
    </row>
    <row r="688" spans="1:9" x14ac:dyDescent="0.3">
      <c r="A688" s="26">
        <v>45327</v>
      </c>
      <c r="B688" t="s">
        <v>962</v>
      </c>
      <c r="C688" t="s">
        <v>1414</v>
      </c>
      <c r="D688">
        <v>0.75</v>
      </c>
      <c r="E688" t="s">
        <v>717</v>
      </c>
      <c r="F688" t="s">
        <v>754</v>
      </c>
      <c r="G688" t="s">
        <v>1415</v>
      </c>
      <c r="H688" t="s">
        <v>30</v>
      </c>
      <c r="I688" s="28" t="s">
        <v>24</v>
      </c>
    </row>
    <row r="689" spans="1:9" x14ac:dyDescent="0.3">
      <c r="A689" s="26">
        <v>45327</v>
      </c>
      <c r="B689" t="s">
        <v>966</v>
      </c>
      <c r="C689" t="s">
        <v>1163</v>
      </c>
      <c r="D689">
        <v>8</v>
      </c>
      <c r="E689" t="s">
        <v>7</v>
      </c>
      <c r="F689" t="s">
        <v>772</v>
      </c>
      <c r="H689" t="s">
        <v>30</v>
      </c>
      <c r="I689" s="28" t="s">
        <v>24</v>
      </c>
    </row>
    <row r="690" spans="1:9" x14ac:dyDescent="0.3">
      <c r="A690" s="26">
        <v>45327</v>
      </c>
      <c r="B690" t="s">
        <v>969</v>
      </c>
      <c r="C690" t="s">
        <v>970</v>
      </c>
      <c r="D690">
        <v>0.65</v>
      </c>
      <c r="E690" t="s">
        <v>790</v>
      </c>
      <c r="F690" t="s">
        <v>772</v>
      </c>
      <c r="G690" t="s">
        <v>1416</v>
      </c>
      <c r="H690" t="s">
        <v>30</v>
      </c>
      <c r="I690" s="28" t="s">
        <v>24</v>
      </c>
    </row>
    <row r="691" spans="1:9" x14ac:dyDescent="0.3">
      <c r="A691" s="26">
        <v>45327</v>
      </c>
      <c r="B691" t="s">
        <v>969</v>
      </c>
      <c r="C691" t="s">
        <v>789</v>
      </c>
      <c r="D691">
        <v>0.63</v>
      </c>
      <c r="E691" t="s">
        <v>7</v>
      </c>
      <c r="F691" t="s">
        <v>772</v>
      </c>
      <c r="G691" t="s">
        <v>1417</v>
      </c>
      <c r="H691" t="s">
        <v>30</v>
      </c>
      <c r="I691" s="28" t="s">
        <v>24</v>
      </c>
    </row>
    <row r="692" spans="1:9" x14ac:dyDescent="0.3">
      <c r="A692" s="26">
        <v>45327</v>
      </c>
      <c r="B692" t="s">
        <v>969</v>
      </c>
      <c r="C692" t="s">
        <v>789</v>
      </c>
      <c r="D692">
        <v>0.95</v>
      </c>
      <c r="E692" t="s">
        <v>790</v>
      </c>
      <c r="F692" t="s">
        <v>754</v>
      </c>
      <c r="G692" t="s">
        <v>1418</v>
      </c>
      <c r="H692" t="s">
        <v>30</v>
      </c>
      <c r="I692" s="28" t="s">
        <v>24</v>
      </c>
    </row>
    <row r="693" spans="1:9" x14ac:dyDescent="0.3">
      <c r="A693" s="26">
        <v>45327</v>
      </c>
      <c r="B693" t="s">
        <v>969</v>
      </c>
      <c r="C693" t="s">
        <v>835</v>
      </c>
      <c r="D693">
        <v>0.17</v>
      </c>
      <c r="E693" t="s">
        <v>7</v>
      </c>
      <c r="F693" t="s">
        <v>772</v>
      </c>
      <c r="G693" t="s">
        <v>1419</v>
      </c>
      <c r="H693" t="s">
        <v>30</v>
      </c>
      <c r="I693" s="28" t="s">
        <v>24</v>
      </c>
    </row>
    <row r="694" spans="1:9" x14ac:dyDescent="0.3">
      <c r="A694" s="26">
        <v>45327</v>
      </c>
      <c r="B694" t="s">
        <v>969</v>
      </c>
      <c r="C694" t="s">
        <v>835</v>
      </c>
      <c r="D694">
        <v>0.38</v>
      </c>
      <c r="E694" t="s">
        <v>7</v>
      </c>
      <c r="F694" t="s">
        <v>772</v>
      </c>
      <c r="G694" t="s">
        <v>1420</v>
      </c>
      <c r="H694" t="s">
        <v>30</v>
      </c>
      <c r="I694" s="28" t="s">
        <v>24</v>
      </c>
    </row>
    <row r="695" spans="1:9" x14ac:dyDescent="0.3">
      <c r="A695" s="26">
        <v>45327</v>
      </c>
      <c r="B695" t="s">
        <v>969</v>
      </c>
      <c r="C695" t="s">
        <v>835</v>
      </c>
      <c r="D695">
        <v>0.53</v>
      </c>
      <c r="E695" t="s">
        <v>7</v>
      </c>
      <c r="F695" t="s">
        <v>772</v>
      </c>
      <c r="G695" t="s">
        <v>1421</v>
      </c>
      <c r="H695" t="s">
        <v>30</v>
      </c>
      <c r="I695" s="28" t="s">
        <v>24</v>
      </c>
    </row>
    <row r="696" spans="1:9" x14ac:dyDescent="0.3">
      <c r="A696" s="26">
        <v>45327</v>
      </c>
      <c r="B696" t="s">
        <v>969</v>
      </c>
      <c r="C696" t="s">
        <v>835</v>
      </c>
      <c r="D696">
        <v>1.05</v>
      </c>
      <c r="E696" t="s">
        <v>7</v>
      </c>
      <c r="F696" t="s">
        <v>772</v>
      </c>
      <c r="G696" t="s">
        <v>1422</v>
      </c>
      <c r="H696" t="s">
        <v>30</v>
      </c>
      <c r="I696" s="28" t="s">
        <v>24</v>
      </c>
    </row>
    <row r="697" spans="1:9" x14ac:dyDescent="0.3">
      <c r="A697" s="26">
        <v>45327</v>
      </c>
      <c r="B697" t="s">
        <v>969</v>
      </c>
      <c r="C697" t="s">
        <v>835</v>
      </c>
      <c r="D697">
        <v>1.18</v>
      </c>
      <c r="E697" t="s">
        <v>7</v>
      </c>
      <c r="F697" t="s">
        <v>772</v>
      </c>
      <c r="G697" t="s">
        <v>1423</v>
      </c>
      <c r="H697" t="s">
        <v>30</v>
      </c>
      <c r="I697" s="28" t="s">
        <v>24</v>
      </c>
    </row>
    <row r="698" spans="1:9" x14ac:dyDescent="0.3">
      <c r="A698" s="26">
        <v>45327</v>
      </c>
      <c r="B698" t="s">
        <v>969</v>
      </c>
      <c r="C698" t="s">
        <v>835</v>
      </c>
      <c r="D698">
        <v>1.55</v>
      </c>
      <c r="E698" t="s">
        <v>7</v>
      </c>
      <c r="F698" t="s">
        <v>772</v>
      </c>
      <c r="G698" t="s">
        <v>1216</v>
      </c>
      <c r="H698" t="s">
        <v>30</v>
      </c>
      <c r="I698" s="28" t="s">
        <v>24</v>
      </c>
    </row>
    <row r="699" spans="1:9" x14ac:dyDescent="0.3">
      <c r="A699" s="26">
        <v>45327</v>
      </c>
      <c r="B699" t="s">
        <v>969</v>
      </c>
      <c r="C699" t="s">
        <v>835</v>
      </c>
      <c r="D699">
        <v>1.95</v>
      </c>
      <c r="E699" t="s">
        <v>7</v>
      </c>
      <c r="F699" t="s">
        <v>772</v>
      </c>
      <c r="G699" t="s">
        <v>1424</v>
      </c>
      <c r="H699" t="s">
        <v>30</v>
      </c>
      <c r="I699" s="28" t="s">
        <v>24</v>
      </c>
    </row>
    <row r="700" spans="1:9" x14ac:dyDescent="0.3">
      <c r="A700" s="26">
        <v>45327</v>
      </c>
      <c r="B700" t="s">
        <v>977</v>
      </c>
      <c r="C700" t="s">
        <v>753</v>
      </c>
      <c r="D700">
        <v>1.22</v>
      </c>
      <c r="E700" t="s">
        <v>978</v>
      </c>
      <c r="F700" t="s">
        <v>754</v>
      </c>
      <c r="G700" t="s">
        <v>1425</v>
      </c>
      <c r="H700" t="s">
        <v>30</v>
      </c>
      <c r="I700" s="28" t="s">
        <v>24</v>
      </c>
    </row>
    <row r="701" spans="1:9" x14ac:dyDescent="0.3">
      <c r="A701" s="26">
        <v>45327</v>
      </c>
      <c r="B701" t="s">
        <v>977</v>
      </c>
      <c r="C701" t="s">
        <v>753</v>
      </c>
      <c r="D701">
        <v>6.28</v>
      </c>
      <c r="E701" t="s">
        <v>978</v>
      </c>
      <c r="F701" t="s">
        <v>754</v>
      </c>
      <c r="G701" t="s">
        <v>1426</v>
      </c>
      <c r="H701" t="s">
        <v>30</v>
      </c>
      <c r="I701" s="28" t="s">
        <v>24</v>
      </c>
    </row>
    <row r="702" spans="1:9" x14ac:dyDescent="0.3">
      <c r="A702" s="26">
        <v>45327</v>
      </c>
      <c r="B702" t="s">
        <v>977</v>
      </c>
      <c r="C702" t="s">
        <v>771</v>
      </c>
      <c r="D702">
        <v>0.5</v>
      </c>
      <c r="E702" t="s">
        <v>7</v>
      </c>
      <c r="F702" t="s">
        <v>772</v>
      </c>
      <c r="G702" t="s">
        <v>820</v>
      </c>
      <c r="H702" t="s">
        <v>30</v>
      </c>
      <c r="I702" s="28" t="s">
        <v>24</v>
      </c>
    </row>
    <row r="703" spans="1:9" x14ac:dyDescent="0.3">
      <c r="A703" s="26">
        <v>45327</v>
      </c>
      <c r="B703" t="s">
        <v>981</v>
      </c>
      <c r="C703" t="s">
        <v>982</v>
      </c>
      <c r="D703">
        <v>9</v>
      </c>
      <c r="E703" t="s">
        <v>7</v>
      </c>
      <c r="F703" t="s">
        <v>772</v>
      </c>
      <c r="G703" t="s">
        <v>983</v>
      </c>
      <c r="H703" t="s">
        <v>30</v>
      </c>
      <c r="I703" s="28" t="s">
        <v>24</v>
      </c>
    </row>
    <row r="704" spans="1:9" x14ac:dyDescent="0.3">
      <c r="A704" s="26">
        <v>45327</v>
      </c>
      <c r="B704" t="s">
        <v>984</v>
      </c>
      <c r="C704" t="s">
        <v>753</v>
      </c>
      <c r="D704">
        <v>0.55000000000000004</v>
      </c>
      <c r="E704" t="s">
        <v>917</v>
      </c>
      <c r="F704" t="s">
        <v>754</v>
      </c>
      <c r="G704" t="s">
        <v>1427</v>
      </c>
      <c r="H704" t="s">
        <v>30</v>
      </c>
      <c r="I704" s="28" t="s">
        <v>24</v>
      </c>
    </row>
    <row r="705" spans="1:9" x14ac:dyDescent="0.3">
      <c r="A705" s="26">
        <v>45327</v>
      </c>
      <c r="B705" t="s">
        <v>984</v>
      </c>
      <c r="C705" t="s">
        <v>753</v>
      </c>
      <c r="D705">
        <v>1.05</v>
      </c>
      <c r="E705" t="s">
        <v>903</v>
      </c>
      <c r="F705" t="s">
        <v>754</v>
      </c>
      <c r="G705" t="s">
        <v>1428</v>
      </c>
      <c r="H705" t="s">
        <v>30</v>
      </c>
      <c r="I705" s="28" t="s">
        <v>24</v>
      </c>
    </row>
    <row r="706" spans="1:9" x14ac:dyDescent="0.3">
      <c r="A706" s="26">
        <v>45327</v>
      </c>
      <c r="B706" t="s">
        <v>984</v>
      </c>
      <c r="C706" t="s">
        <v>753</v>
      </c>
      <c r="D706">
        <v>4.82</v>
      </c>
      <c r="E706" t="s">
        <v>13</v>
      </c>
      <c r="F706" t="s">
        <v>754</v>
      </c>
      <c r="G706" t="s">
        <v>1429</v>
      </c>
      <c r="H706" t="s">
        <v>30</v>
      </c>
      <c r="I706" s="28" t="s">
        <v>24</v>
      </c>
    </row>
    <row r="707" spans="1:9" x14ac:dyDescent="0.3">
      <c r="A707" s="26">
        <v>45327</v>
      </c>
      <c r="B707" t="s">
        <v>984</v>
      </c>
      <c r="C707" t="s">
        <v>771</v>
      </c>
      <c r="D707">
        <v>0.72</v>
      </c>
      <c r="E707" t="s">
        <v>7</v>
      </c>
      <c r="F707" t="s">
        <v>772</v>
      </c>
      <c r="G707" t="s">
        <v>793</v>
      </c>
      <c r="H707" t="s">
        <v>30</v>
      </c>
      <c r="I707" s="28" t="s">
        <v>24</v>
      </c>
    </row>
    <row r="708" spans="1:9" x14ac:dyDescent="0.3">
      <c r="A708" s="26">
        <v>45327</v>
      </c>
      <c r="B708" t="s">
        <v>984</v>
      </c>
      <c r="C708" t="s">
        <v>776</v>
      </c>
      <c r="D708">
        <v>0.88</v>
      </c>
      <c r="E708" t="s">
        <v>903</v>
      </c>
      <c r="F708" t="s">
        <v>754</v>
      </c>
      <c r="G708" t="s">
        <v>1430</v>
      </c>
      <c r="H708" t="s">
        <v>30</v>
      </c>
      <c r="I708" s="28" t="s">
        <v>24</v>
      </c>
    </row>
    <row r="709" spans="1:9" x14ac:dyDescent="0.3">
      <c r="A709" s="26">
        <v>45327</v>
      </c>
      <c r="B709" t="s">
        <v>991</v>
      </c>
      <c r="C709" t="s">
        <v>992</v>
      </c>
      <c r="D709">
        <v>0.53</v>
      </c>
      <c r="E709" t="s">
        <v>7</v>
      </c>
      <c r="F709" t="s">
        <v>772</v>
      </c>
      <c r="G709" t="s">
        <v>1431</v>
      </c>
      <c r="H709" t="s">
        <v>30</v>
      </c>
      <c r="I709" s="28" t="s">
        <v>24</v>
      </c>
    </row>
    <row r="710" spans="1:9" x14ac:dyDescent="0.3">
      <c r="A710" s="26">
        <v>45327</v>
      </c>
      <c r="B710" t="s">
        <v>991</v>
      </c>
      <c r="C710" t="s">
        <v>992</v>
      </c>
      <c r="D710">
        <v>1</v>
      </c>
      <c r="E710" t="s">
        <v>7</v>
      </c>
      <c r="F710" t="s">
        <v>772</v>
      </c>
      <c r="G710" t="s">
        <v>1432</v>
      </c>
      <c r="H710" t="s">
        <v>30</v>
      </c>
      <c r="I710" s="28" t="s">
        <v>24</v>
      </c>
    </row>
    <row r="711" spans="1:9" x14ac:dyDescent="0.3">
      <c r="A711" s="26">
        <v>45327</v>
      </c>
      <c r="B711" t="s">
        <v>991</v>
      </c>
      <c r="C711" t="s">
        <v>992</v>
      </c>
      <c r="D711">
        <v>1.55</v>
      </c>
      <c r="E711" t="s">
        <v>7</v>
      </c>
      <c r="F711" t="s">
        <v>772</v>
      </c>
      <c r="G711" t="s">
        <v>1433</v>
      </c>
      <c r="H711" t="s">
        <v>30</v>
      </c>
      <c r="I711" s="28" t="s">
        <v>24</v>
      </c>
    </row>
    <row r="712" spans="1:9" x14ac:dyDescent="0.3">
      <c r="A712" s="26">
        <v>45327</v>
      </c>
      <c r="B712" t="s">
        <v>991</v>
      </c>
      <c r="C712" t="s">
        <v>753</v>
      </c>
      <c r="D712">
        <v>0.95</v>
      </c>
      <c r="E712" t="s">
        <v>7</v>
      </c>
      <c r="F712" t="s">
        <v>772</v>
      </c>
      <c r="G712" t="s">
        <v>1434</v>
      </c>
      <c r="H712" t="s">
        <v>30</v>
      </c>
      <c r="I712" s="28" t="s">
        <v>24</v>
      </c>
    </row>
    <row r="713" spans="1:9" x14ac:dyDescent="0.3">
      <c r="A713" s="26">
        <v>45327</v>
      </c>
      <c r="B713" t="s">
        <v>991</v>
      </c>
      <c r="C713" t="s">
        <v>753</v>
      </c>
      <c r="D713">
        <v>4.62</v>
      </c>
      <c r="E713" t="s">
        <v>7</v>
      </c>
      <c r="F713" t="s">
        <v>772</v>
      </c>
      <c r="G713" t="s">
        <v>1435</v>
      </c>
      <c r="H713" t="s">
        <v>30</v>
      </c>
      <c r="I713" s="28" t="s">
        <v>24</v>
      </c>
    </row>
    <row r="714" spans="1:9" x14ac:dyDescent="0.3">
      <c r="A714" s="26">
        <v>45327</v>
      </c>
      <c r="B714" t="s">
        <v>991</v>
      </c>
      <c r="C714" t="s">
        <v>776</v>
      </c>
      <c r="D714">
        <v>0.77</v>
      </c>
      <c r="E714" t="s">
        <v>999</v>
      </c>
      <c r="F714" t="s">
        <v>772</v>
      </c>
      <c r="G714" t="s">
        <v>1436</v>
      </c>
      <c r="H714" t="s">
        <v>30</v>
      </c>
      <c r="I714" s="28" t="s">
        <v>24</v>
      </c>
    </row>
    <row r="715" spans="1:9" x14ac:dyDescent="0.3">
      <c r="A715" s="26">
        <v>45327</v>
      </c>
      <c r="B715" t="s">
        <v>1002</v>
      </c>
      <c r="C715" t="s">
        <v>1003</v>
      </c>
      <c r="D715">
        <v>10</v>
      </c>
      <c r="E715" t="s">
        <v>7</v>
      </c>
      <c r="F715" t="s">
        <v>772</v>
      </c>
      <c r="G715" t="s">
        <v>1437</v>
      </c>
      <c r="H715" t="s">
        <v>30</v>
      </c>
      <c r="I715" s="28" t="s">
        <v>24</v>
      </c>
    </row>
    <row r="716" spans="1:9" x14ac:dyDescent="0.3">
      <c r="A716" s="26">
        <v>45327</v>
      </c>
      <c r="B716" t="s">
        <v>1005</v>
      </c>
      <c r="C716" t="s">
        <v>753</v>
      </c>
      <c r="D716">
        <v>0.25</v>
      </c>
      <c r="E716" t="s">
        <v>161</v>
      </c>
      <c r="F716" t="s">
        <v>754</v>
      </c>
      <c r="H716" t="s">
        <v>30</v>
      </c>
      <c r="I716" s="28" t="s">
        <v>24</v>
      </c>
    </row>
    <row r="717" spans="1:9" x14ac:dyDescent="0.3">
      <c r="A717" s="26">
        <v>45327</v>
      </c>
      <c r="B717" t="s">
        <v>1005</v>
      </c>
      <c r="C717" t="s">
        <v>753</v>
      </c>
      <c r="D717">
        <v>0.5</v>
      </c>
      <c r="E717" t="s">
        <v>1438</v>
      </c>
      <c r="F717" t="s">
        <v>754</v>
      </c>
      <c r="G717" t="s">
        <v>1439</v>
      </c>
      <c r="H717" t="s">
        <v>30</v>
      </c>
      <c r="I717" s="28" t="s">
        <v>24</v>
      </c>
    </row>
    <row r="718" spans="1:9" x14ac:dyDescent="0.3">
      <c r="A718" s="26">
        <v>45327</v>
      </c>
      <c r="B718" t="s">
        <v>1005</v>
      </c>
      <c r="C718" t="s">
        <v>753</v>
      </c>
      <c r="D718">
        <v>0.75</v>
      </c>
      <c r="E718" t="s">
        <v>471</v>
      </c>
      <c r="F718" t="s">
        <v>754</v>
      </c>
      <c r="H718" t="s">
        <v>30</v>
      </c>
      <c r="I718" s="28" t="s">
        <v>24</v>
      </c>
    </row>
    <row r="719" spans="1:9" x14ac:dyDescent="0.3">
      <c r="A719" s="26">
        <v>45327</v>
      </c>
      <c r="B719" t="s">
        <v>1005</v>
      </c>
      <c r="C719" t="s">
        <v>753</v>
      </c>
      <c r="D719">
        <v>1</v>
      </c>
      <c r="E719" t="s">
        <v>1438</v>
      </c>
      <c r="F719" t="s">
        <v>754</v>
      </c>
      <c r="G719" t="s">
        <v>1440</v>
      </c>
      <c r="H719" t="s">
        <v>30</v>
      </c>
      <c r="I719" s="28" t="s">
        <v>24</v>
      </c>
    </row>
    <row r="720" spans="1:9" x14ac:dyDescent="0.3">
      <c r="A720" s="26">
        <v>45327</v>
      </c>
      <c r="B720" t="s">
        <v>1005</v>
      </c>
      <c r="C720" t="s">
        <v>1441</v>
      </c>
      <c r="D720">
        <v>0.25</v>
      </c>
      <c r="E720" t="s">
        <v>161</v>
      </c>
      <c r="F720" t="s">
        <v>754</v>
      </c>
      <c r="H720" t="s">
        <v>30</v>
      </c>
      <c r="I720" s="28" t="s">
        <v>24</v>
      </c>
    </row>
    <row r="721" spans="1:9" x14ac:dyDescent="0.3">
      <c r="A721" s="26">
        <v>45327</v>
      </c>
      <c r="B721" t="s">
        <v>1005</v>
      </c>
      <c r="C721" t="s">
        <v>835</v>
      </c>
      <c r="D721">
        <v>0.25</v>
      </c>
      <c r="E721" t="s">
        <v>161</v>
      </c>
      <c r="F721" t="s">
        <v>754</v>
      </c>
      <c r="G721" t="s">
        <v>1442</v>
      </c>
      <c r="H721" t="s">
        <v>30</v>
      </c>
      <c r="I721" s="28" t="s">
        <v>24</v>
      </c>
    </row>
    <row r="722" spans="1:9" x14ac:dyDescent="0.3">
      <c r="A722" s="26">
        <v>45327</v>
      </c>
      <c r="B722" t="s">
        <v>1005</v>
      </c>
      <c r="C722" t="s">
        <v>874</v>
      </c>
      <c r="D722">
        <v>2</v>
      </c>
      <c r="E722" t="s">
        <v>7</v>
      </c>
      <c r="F722" t="s">
        <v>772</v>
      </c>
      <c r="G722" t="s">
        <v>1443</v>
      </c>
      <c r="H722" t="s">
        <v>30</v>
      </c>
      <c r="I722" s="28" t="s">
        <v>24</v>
      </c>
    </row>
    <row r="723" spans="1:9" x14ac:dyDescent="0.3">
      <c r="A723" s="26">
        <v>45327</v>
      </c>
      <c r="B723" t="s">
        <v>1005</v>
      </c>
      <c r="C723" t="s">
        <v>776</v>
      </c>
      <c r="D723">
        <v>0.25</v>
      </c>
      <c r="E723" t="s">
        <v>141</v>
      </c>
      <c r="F723" t="s">
        <v>754</v>
      </c>
      <c r="H723" t="s">
        <v>30</v>
      </c>
      <c r="I723" s="28" t="s">
        <v>24</v>
      </c>
    </row>
    <row r="724" spans="1:9" x14ac:dyDescent="0.3">
      <c r="A724" s="26">
        <v>45327</v>
      </c>
      <c r="B724" t="s">
        <v>1005</v>
      </c>
      <c r="C724" t="s">
        <v>776</v>
      </c>
      <c r="D724">
        <v>0.25</v>
      </c>
      <c r="E724" t="s">
        <v>161</v>
      </c>
      <c r="F724" t="s">
        <v>754</v>
      </c>
      <c r="H724" t="s">
        <v>30</v>
      </c>
      <c r="I724" s="28" t="s">
        <v>24</v>
      </c>
    </row>
    <row r="725" spans="1:9" x14ac:dyDescent="0.3">
      <c r="A725" s="26">
        <v>45327</v>
      </c>
      <c r="B725" t="s">
        <v>1006</v>
      </c>
      <c r="C725" t="s">
        <v>909</v>
      </c>
      <c r="D725">
        <v>0.08</v>
      </c>
      <c r="E725" t="s">
        <v>583</v>
      </c>
      <c r="F725" t="s">
        <v>754</v>
      </c>
      <c r="G725" t="s">
        <v>1444</v>
      </c>
      <c r="H725" t="s">
        <v>30</v>
      </c>
      <c r="I725" s="28" t="s">
        <v>24</v>
      </c>
    </row>
    <row r="726" spans="1:9" x14ac:dyDescent="0.3">
      <c r="A726" s="26">
        <v>45327</v>
      </c>
      <c r="B726" t="s">
        <v>1006</v>
      </c>
      <c r="C726" t="s">
        <v>909</v>
      </c>
      <c r="D726">
        <v>0.33</v>
      </c>
      <c r="E726" t="s">
        <v>583</v>
      </c>
      <c r="F726" t="s">
        <v>772</v>
      </c>
      <c r="G726" t="s">
        <v>1445</v>
      </c>
      <c r="H726" t="s">
        <v>30</v>
      </c>
      <c r="I726" s="28" t="s">
        <v>24</v>
      </c>
    </row>
    <row r="727" spans="1:9" x14ac:dyDescent="0.3">
      <c r="A727" s="26">
        <v>45327</v>
      </c>
      <c r="B727" t="s">
        <v>1006</v>
      </c>
      <c r="C727" t="s">
        <v>909</v>
      </c>
      <c r="D727">
        <v>3.33</v>
      </c>
      <c r="E727" t="s">
        <v>757</v>
      </c>
      <c r="F727" t="s">
        <v>754</v>
      </c>
      <c r="G727" t="s">
        <v>1446</v>
      </c>
      <c r="H727" t="s">
        <v>30</v>
      </c>
      <c r="I727" s="28" t="s">
        <v>24</v>
      </c>
    </row>
    <row r="728" spans="1:9" x14ac:dyDescent="0.3">
      <c r="A728" s="26">
        <v>45327</v>
      </c>
      <c r="B728" t="s">
        <v>1006</v>
      </c>
      <c r="C728" t="s">
        <v>834</v>
      </c>
      <c r="D728">
        <v>0.73</v>
      </c>
      <c r="E728" t="s">
        <v>7</v>
      </c>
      <c r="F728" t="s">
        <v>772</v>
      </c>
      <c r="G728" t="s">
        <v>1447</v>
      </c>
      <c r="H728" t="s">
        <v>30</v>
      </c>
      <c r="I728" s="28" t="s">
        <v>24</v>
      </c>
    </row>
    <row r="729" spans="1:9" x14ac:dyDescent="0.3">
      <c r="A729" s="26">
        <v>45327</v>
      </c>
      <c r="B729" t="s">
        <v>1006</v>
      </c>
      <c r="C729" t="s">
        <v>874</v>
      </c>
      <c r="D729">
        <v>0.3</v>
      </c>
      <c r="E729" t="s">
        <v>7</v>
      </c>
      <c r="F729" t="s">
        <v>772</v>
      </c>
      <c r="G729" t="s">
        <v>1448</v>
      </c>
      <c r="H729" t="s">
        <v>30</v>
      </c>
      <c r="I729" s="28" t="s">
        <v>24</v>
      </c>
    </row>
    <row r="730" spans="1:9" x14ac:dyDescent="0.3">
      <c r="A730" s="26">
        <v>45327</v>
      </c>
      <c r="B730" t="s">
        <v>1006</v>
      </c>
      <c r="C730" t="s">
        <v>874</v>
      </c>
      <c r="D730">
        <v>1.22</v>
      </c>
      <c r="E730" t="s">
        <v>7</v>
      </c>
      <c r="F730" t="s">
        <v>772</v>
      </c>
      <c r="G730" t="s">
        <v>1449</v>
      </c>
      <c r="H730" t="s">
        <v>30</v>
      </c>
      <c r="I730" s="28" t="s">
        <v>24</v>
      </c>
    </row>
    <row r="731" spans="1:9" x14ac:dyDescent="0.3">
      <c r="A731" s="26">
        <v>45327</v>
      </c>
      <c r="B731" t="s">
        <v>1011</v>
      </c>
      <c r="C731" t="s">
        <v>753</v>
      </c>
      <c r="D731">
        <v>0.15</v>
      </c>
      <c r="E731" t="s">
        <v>589</v>
      </c>
      <c r="F731" t="s">
        <v>754</v>
      </c>
      <c r="G731" t="s">
        <v>1450</v>
      </c>
      <c r="H731" t="s">
        <v>30</v>
      </c>
      <c r="I731" s="28" t="s">
        <v>24</v>
      </c>
    </row>
    <row r="732" spans="1:9" x14ac:dyDescent="0.3">
      <c r="A732" s="26">
        <v>45327</v>
      </c>
      <c r="B732" t="s">
        <v>1011</v>
      </c>
      <c r="C732" t="s">
        <v>753</v>
      </c>
      <c r="D732">
        <v>0.52</v>
      </c>
      <c r="E732" t="s">
        <v>1013</v>
      </c>
      <c r="F732" t="s">
        <v>754</v>
      </c>
      <c r="G732" t="s">
        <v>1451</v>
      </c>
      <c r="H732" t="s">
        <v>30</v>
      </c>
      <c r="I732" s="28" t="s">
        <v>24</v>
      </c>
    </row>
    <row r="733" spans="1:9" x14ac:dyDescent="0.3">
      <c r="A733" s="26">
        <v>45327</v>
      </c>
      <c r="B733" t="s">
        <v>1011</v>
      </c>
      <c r="C733" t="s">
        <v>753</v>
      </c>
      <c r="D733">
        <v>0.55000000000000004</v>
      </c>
      <c r="E733" t="s">
        <v>589</v>
      </c>
      <c r="F733" t="s">
        <v>754</v>
      </c>
      <c r="G733" t="s">
        <v>1452</v>
      </c>
      <c r="H733" t="s">
        <v>30</v>
      </c>
      <c r="I733" s="28" t="s">
        <v>24</v>
      </c>
    </row>
    <row r="734" spans="1:9" x14ac:dyDescent="0.3">
      <c r="A734" s="26">
        <v>45327</v>
      </c>
      <c r="B734" t="s">
        <v>1011</v>
      </c>
      <c r="C734" t="s">
        <v>753</v>
      </c>
      <c r="D734">
        <v>0.7</v>
      </c>
      <c r="E734" t="s">
        <v>589</v>
      </c>
      <c r="F734" t="s">
        <v>754</v>
      </c>
      <c r="H734" t="s">
        <v>30</v>
      </c>
      <c r="I734" s="28" t="s">
        <v>24</v>
      </c>
    </row>
    <row r="735" spans="1:9" x14ac:dyDescent="0.3">
      <c r="A735" s="26">
        <v>45327</v>
      </c>
      <c r="B735" t="s">
        <v>1011</v>
      </c>
      <c r="C735" t="s">
        <v>753</v>
      </c>
      <c r="D735">
        <v>1.88</v>
      </c>
      <c r="E735" t="s">
        <v>1013</v>
      </c>
      <c r="F735" t="s">
        <v>754</v>
      </c>
      <c r="G735" t="s">
        <v>1453</v>
      </c>
      <c r="H735" t="s">
        <v>30</v>
      </c>
      <c r="I735" s="28" t="s">
        <v>24</v>
      </c>
    </row>
    <row r="736" spans="1:9" x14ac:dyDescent="0.3">
      <c r="A736" s="26">
        <v>45327</v>
      </c>
      <c r="B736" t="s">
        <v>1011</v>
      </c>
      <c r="C736" t="s">
        <v>753</v>
      </c>
      <c r="D736">
        <v>3.42</v>
      </c>
      <c r="E736" t="s">
        <v>1013</v>
      </c>
      <c r="F736" t="s">
        <v>754</v>
      </c>
      <c r="G736" t="s">
        <v>1014</v>
      </c>
      <c r="H736" t="s">
        <v>30</v>
      </c>
      <c r="I736" s="28" t="s">
        <v>24</v>
      </c>
    </row>
    <row r="737" spans="1:9" x14ac:dyDescent="0.3">
      <c r="A737" s="26">
        <v>45327</v>
      </c>
      <c r="B737" t="s">
        <v>1011</v>
      </c>
      <c r="C737" t="s">
        <v>771</v>
      </c>
      <c r="D737">
        <v>0.15</v>
      </c>
      <c r="E737" t="s">
        <v>7</v>
      </c>
      <c r="F737" t="s">
        <v>772</v>
      </c>
      <c r="G737" t="s">
        <v>1454</v>
      </c>
      <c r="H737" t="s">
        <v>30</v>
      </c>
      <c r="I737" s="28" t="s">
        <v>24</v>
      </c>
    </row>
    <row r="738" spans="1:9" x14ac:dyDescent="0.3">
      <c r="A738" s="26">
        <v>45327</v>
      </c>
      <c r="B738" t="s">
        <v>1020</v>
      </c>
      <c r="C738" t="s">
        <v>771</v>
      </c>
      <c r="D738">
        <v>0.18</v>
      </c>
      <c r="E738" t="s">
        <v>7</v>
      </c>
      <c r="F738" t="s">
        <v>772</v>
      </c>
      <c r="G738" t="s">
        <v>1024</v>
      </c>
      <c r="H738" t="s">
        <v>30</v>
      </c>
      <c r="I738" s="28" t="s">
        <v>24</v>
      </c>
    </row>
    <row r="739" spans="1:9" x14ac:dyDescent="0.3">
      <c r="A739" s="26">
        <v>45327</v>
      </c>
      <c r="B739" t="s">
        <v>1020</v>
      </c>
      <c r="C739" t="s">
        <v>835</v>
      </c>
      <c r="D739">
        <v>4.25</v>
      </c>
      <c r="E739" t="s">
        <v>11</v>
      </c>
      <c r="F739" t="s">
        <v>754</v>
      </c>
      <c r="G739" t="s">
        <v>1455</v>
      </c>
      <c r="H739" t="s">
        <v>30</v>
      </c>
      <c r="I739" s="28" t="s">
        <v>24</v>
      </c>
    </row>
    <row r="740" spans="1:9" x14ac:dyDescent="0.3">
      <c r="A740" s="26">
        <v>45327</v>
      </c>
      <c r="B740" t="s">
        <v>1020</v>
      </c>
      <c r="C740" t="s">
        <v>835</v>
      </c>
      <c r="D740">
        <v>5.35</v>
      </c>
      <c r="E740" t="s">
        <v>11</v>
      </c>
      <c r="F740" t="s">
        <v>754</v>
      </c>
      <c r="G740" t="s">
        <v>1025</v>
      </c>
      <c r="H740" t="s">
        <v>30</v>
      </c>
      <c r="I740" s="28" t="s">
        <v>24</v>
      </c>
    </row>
    <row r="741" spans="1:9" x14ac:dyDescent="0.3">
      <c r="A741" s="26">
        <v>45327</v>
      </c>
      <c r="B741" t="s">
        <v>1026</v>
      </c>
      <c r="C741" t="s">
        <v>771</v>
      </c>
      <c r="D741">
        <v>1.77</v>
      </c>
      <c r="E741" t="s">
        <v>7</v>
      </c>
      <c r="F741" t="s">
        <v>772</v>
      </c>
      <c r="G741" t="s">
        <v>1456</v>
      </c>
      <c r="H741" t="s">
        <v>30</v>
      </c>
      <c r="I741" s="28" t="s">
        <v>24</v>
      </c>
    </row>
    <row r="742" spans="1:9" x14ac:dyDescent="0.3">
      <c r="A742" s="26">
        <v>45327</v>
      </c>
      <c r="B742" t="s">
        <v>1026</v>
      </c>
      <c r="C742" t="s">
        <v>771</v>
      </c>
      <c r="D742">
        <v>2.38</v>
      </c>
      <c r="E742" t="s">
        <v>7</v>
      </c>
      <c r="F742" t="s">
        <v>772</v>
      </c>
      <c r="G742" t="s">
        <v>1457</v>
      </c>
      <c r="H742" t="s">
        <v>30</v>
      </c>
      <c r="I742" s="28" t="s">
        <v>24</v>
      </c>
    </row>
    <row r="743" spans="1:9" x14ac:dyDescent="0.3">
      <c r="A743" s="26">
        <v>45327</v>
      </c>
      <c r="B743" t="s">
        <v>1026</v>
      </c>
      <c r="C743" t="s">
        <v>771</v>
      </c>
      <c r="D743">
        <v>4.72</v>
      </c>
      <c r="E743" t="s">
        <v>7</v>
      </c>
      <c r="F743" t="s">
        <v>772</v>
      </c>
      <c r="G743" t="s">
        <v>1458</v>
      </c>
      <c r="H743" t="s">
        <v>30</v>
      </c>
      <c r="I743" s="28" t="s">
        <v>24</v>
      </c>
    </row>
    <row r="744" spans="1:9" x14ac:dyDescent="0.3">
      <c r="A744" s="26">
        <v>45327</v>
      </c>
      <c r="B744" t="s">
        <v>1026</v>
      </c>
      <c r="C744" t="s">
        <v>874</v>
      </c>
      <c r="D744">
        <v>0.23</v>
      </c>
      <c r="E744" t="s">
        <v>7</v>
      </c>
      <c r="F744" t="s">
        <v>772</v>
      </c>
      <c r="G744" t="s">
        <v>1459</v>
      </c>
      <c r="H744" t="s">
        <v>30</v>
      </c>
      <c r="I744" s="28" t="s">
        <v>24</v>
      </c>
    </row>
    <row r="745" spans="1:9" x14ac:dyDescent="0.3">
      <c r="A745" s="26">
        <v>45327</v>
      </c>
      <c r="B745" t="s">
        <v>1026</v>
      </c>
      <c r="C745" t="s">
        <v>874</v>
      </c>
      <c r="D745">
        <v>0.27</v>
      </c>
      <c r="E745" t="s">
        <v>7</v>
      </c>
      <c r="F745" t="s">
        <v>772</v>
      </c>
      <c r="G745" t="s">
        <v>1460</v>
      </c>
      <c r="H745" t="s">
        <v>30</v>
      </c>
      <c r="I745" s="28" t="s">
        <v>24</v>
      </c>
    </row>
    <row r="746" spans="1:9" x14ac:dyDescent="0.3">
      <c r="A746" s="26">
        <v>45327</v>
      </c>
      <c r="B746" t="s">
        <v>1032</v>
      </c>
      <c r="C746" t="s">
        <v>753</v>
      </c>
      <c r="D746">
        <v>7.7</v>
      </c>
      <c r="E746" t="s">
        <v>790</v>
      </c>
      <c r="F746" t="s">
        <v>754</v>
      </c>
      <c r="H746" t="s">
        <v>30</v>
      </c>
      <c r="I746" s="28" t="s">
        <v>24</v>
      </c>
    </row>
    <row r="747" spans="1:9" x14ac:dyDescent="0.3">
      <c r="A747" s="26">
        <v>45327</v>
      </c>
      <c r="B747" t="s">
        <v>1032</v>
      </c>
      <c r="C747" t="s">
        <v>789</v>
      </c>
      <c r="D747">
        <v>0.5</v>
      </c>
      <c r="E747" t="s">
        <v>790</v>
      </c>
      <c r="F747" t="s">
        <v>754</v>
      </c>
      <c r="G747" t="s">
        <v>1461</v>
      </c>
      <c r="H747" t="s">
        <v>30</v>
      </c>
      <c r="I747" s="28" t="s">
        <v>24</v>
      </c>
    </row>
    <row r="748" spans="1:9" x14ac:dyDescent="0.3">
      <c r="A748" s="26">
        <v>45327</v>
      </c>
      <c r="B748" t="s">
        <v>1034</v>
      </c>
      <c r="C748" t="s">
        <v>753</v>
      </c>
      <c r="D748">
        <v>0.48</v>
      </c>
      <c r="E748" t="s">
        <v>978</v>
      </c>
      <c r="F748" t="s">
        <v>754</v>
      </c>
      <c r="G748" t="s">
        <v>1462</v>
      </c>
      <c r="H748" t="s">
        <v>30</v>
      </c>
      <c r="I748" s="28" t="s">
        <v>24</v>
      </c>
    </row>
    <row r="749" spans="1:9" x14ac:dyDescent="0.3">
      <c r="A749" s="26">
        <v>45327</v>
      </c>
      <c r="B749" t="s">
        <v>1034</v>
      </c>
      <c r="C749" t="s">
        <v>789</v>
      </c>
      <c r="D749">
        <v>0.6</v>
      </c>
      <c r="E749" t="s">
        <v>978</v>
      </c>
      <c r="F749" t="s">
        <v>754</v>
      </c>
      <c r="G749" t="s">
        <v>1463</v>
      </c>
      <c r="H749" t="s">
        <v>30</v>
      </c>
      <c r="I749" s="28" t="s">
        <v>24</v>
      </c>
    </row>
    <row r="750" spans="1:9" x14ac:dyDescent="0.3">
      <c r="A750" s="26">
        <v>45327</v>
      </c>
      <c r="B750" t="s">
        <v>1034</v>
      </c>
      <c r="C750" t="s">
        <v>771</v>
      </c>
      <c r="D750">
        <v>0.5</v>
      </c>
      <c r="E750" t="s">
        <v>7</v>
      </c>
      <c r="F750" t="s">
        <v>772</v>
      </c>
      <c r="G750" t="s">
        <v>781</v>
      </c>
      <c r="H750" t="s">
        <v>30</v>
      </c>
      <c r="I750" s="28" t="s">
        <v>24</v>
      </c>
    </row>
    <row r="751" spans="1:9" x14ac:dyDescent="0.3">
      <c r="A751" s="26">
        <v>45327</v>
      </c>
      <c r="B751" t="s">
        <v>1034</v>
      </c>
      <c r="C751" t="s">
        <v>771</v>
      </c>
      <c r="D751">
        <v>0.56999999999999995</v>
      </c>
      <c r="E751" t="s">
        <v>7</v>
      </c>
      <c r="F751" t="s">
        <v>772</v>
      </c>
      <c r="G751" t="s">
        <v>1464</v>
      </c>
      <c r="H751" t="s">
        <v>30</v>
      </c>
      <c r="I751" s="28" t="s">
        <v>24</v>
      </c>
    </row>
    <row r="752" spans="1:9" x14ac:dyDescent="0.3">
      <c r="A752" s="26">
        <v>45327</v>
      </c>
      <c r="B752" t="s">
        <v>1034</v>
      </c>
      <c r="C752" t="s">
        <v>874</v>
      </c>
      <c r="D752">
        <v>0.6</v>
      </c>
      <c r="E752" t="s">
        <v>7</v>
      </c>
      <c r="F752" t="s">
        <v>772</v>
      </c>
      <c r="G752" t="s">
        <v>1465</v>
      </c>
      <c r="H752" t="s">
        <v>30</v>
      </c>
      <c r="I752" s="28" t="s">
        <v>24</v>
      </c>
    </row>
    <row r="753" spans="1:9" x14ac:dyDescent="0.3">
      <c r="A753" s="26">
        <v>45327</v>
      </c>
      <c r="B753" t="s">
        <v>1034</v>
      </c>
      <c r="C753" t="s">
        <v>776</v>
      </c>
      <c r="D753">
        <v>0.32</v>
      </c>
      <c r="E753" t="s">
        <v>151</v>
      </c>
      <c r="F753" t="s">
        <v>754</v>
      </c>
      <c r="G753" t="s">
        <v>1466</v>
      </c>
      <c r="H753" t="s">
        <v>30</v>
      </c>
      <c r="I753" s="28" t="s">
        <v>24</v>
      </c>
    </row>
    <row r="754" spans="1:9" x14ac:dyDescent="0.3">
      <c r="A754" s="26">
        <v>45327</v>
      </c>
      <c r="B754" t="s">
        <v>1034</v>
      </c>
      <c r="C754" t="s">
        <v>776</v>
      </c>
      <c r="D754">
        <v>0.32</v>
      </c>
      <c r="E754" t="s">
        <v>879</v>
      </c>
      <c r="F754" t="s">
        <v>754</v>
      </c>
      <c r="G754" t="s">
        <v>1467</v>
      </c>
      <c r="H754" t="s">
        <v>30</v>
      </c>
      <c r="I754" s="28" t="s">
        <v>24</v>
      </c>
    </row>
    <row r="755" spans="1:9" x14ac:dyDescent="0.3">
      <c r="A755" s="26">
        <v>45327</v>
      </c>
      <c r="B755" t="s">
        <v>1034</v>
      </c>
      <c r="C755" t="s">
        <v>776</v>
      </c>
      <c r="D755">
        <v>0.5</v>
      </c>
      <c r="E755" t="s">
        <v>879</v>
      </c>
      <c r="F755" t="s">
        <v>754</v>
      </c>
      <c r="G755" t="s">
        <v>1468</v>
      </c>
      <c r="H755" t="s">
        <v>30</v>
      </c>
      <c r="I755" s="28" t="s">
        <v>24</v>
      </c>
    </row>
    <row r="756" spans="1:9" x14ac:dyDescent="0.3">
      <c r="A756" s="26">
        <v>45327</v>
      </c>
      <c r="B756" t="s">
        <v>1034</v>
      </c>
      <c r="C756" t="s">
        <v>776</v>
      </c>
      <c r="D756">
        <v>0.62</v>
      </c>
      <c r="E756" t="s">
        <v>879</v>
      </c>
      <c r="F756" t="s">
        <v>754</v>
      </c>
      <c r="G756" t="s">
        <v>1469</v>
      </c>
      <c r="H756" t="s">
        <v>30</v>
      </c>
      <c r="I756" s="28" t="s">
        <v>24</v>
      </c>
    </row>
    <row r="757" spans="1:9" x14ac:dyDescent="0.3">
      <c r="A757" s="26">
        <v>45327</v>
      </c>
      <c r="B757" t="s">
        <v>1034</v>
      </c>
      <c r="C757" t="s">
        <v>776</v>
      </c>
      <c r="D757">
        <v>0.67</v>
      </c>
      <c r="E757" t="s">
        <v>879</v>
      </c>
      <c r="F757" t="s">
        <v>754</v>
      </c>
      <c r="G757" t="s">
        <v>1470</v>
      </c>
      <c r="H757" t="s">
        <v>30</v>
      </c>
      <c r="I757" s="28" t="s">
        <v>24</v>
      </c>
    </row>
    <row r="758" spans="1:9" x14ac:dyDescent="0.3">
      <c r="A758" s="26">
        <v>45327</v>
      </c>
      <c r="B758" t="s">
        <v>1034</v>
      </c>
      <c r="C758" t="s">
        <v>776</v>
      </c>
      <c r="D758">
        <v>0.75</v>
      </c>
      <c r="E758" t="s">
        <v>879</v>
      </c>
      <c r="F758" t="s">
        <v>754</v>
      </c>
      <c r="G758" t="s">
        <v>1471</v>
      </c>
      <c r="H758" t="s">
        <v>30</v>
      </c>
      <c r="I758" s="28" t="s">
        <v>24</v>
      </c>
    </row>
    <row r="759" spans="1:9" x14ac:dyDescent="0.3">
      <c r="A759" s="26">
        <v>45327</v>
      </c>
      <c r="B759" t="s">
        <v>1034</v>
      </c>
      <c r="C759" t="s">
        <v>776</v>
      </c>
      <c r="D759">
        <v>0.92</v>
      </c>
      <c r="E759" t="s">
        <v>879</v>
      </c>
      <c r="F759" t="s">
        <v>754</v>
      </c>
      <c r="G759" t="s">
        <v>1472</v>
      </c>
      <c r="H759" t="s">
        <v>30</v>
      </c>
      <c r="I759" s="28" t="s">
        <v>24</v>
      </c>
    </row>
    <row r="760" spans="1:9" x14ac:dyDescent="0.3">
      <c r="A760" s="26">
        <v>45327</v>
      </c>
      <c r="B760" t="s">
        <v>1034</v>
      </c>
      <c r="C760" t="s">
        <v>776</v>
      </c>
      <c r="D760">
        <v>1.18</v>
      </c>
      <c r="E760" t="s">
        <v>879</v>
      </c>
      <c r="F760" t="s">
        <v>754</v>
      </c>
      <c r="G760" t="s">
        <v>1473</v>
      </c>
      <c r="H760" t="s">
        <v>30</v>
      </c>
      <c r="I760" s="28" t="s">
        <v>24</v>
      </c>
    </row>
    <row r="761" spans="1:9" x14ac:dyDescent="0.3">
      <c r="A761" s="26">
        <v>45327</v>
      </c>
      <c r="B761" t="s">
        <v>1043</v>
      </c>
      <c r="C761" t="s">
        <v>826</v>
      </c>
      <c r="D761">
        <v>0.17</v>
      </c>
      <c r="E761" t="s">
        <v>1046</v>
      </c>
      <c r="F761" t="s">
        <v>754</v>
      </c>
      <c r="G761" t="s">
        <v>1474</v>
      </c>
      <c r="H761" t="s">
        <v>30</v>
      </c>
      <c r="I761" s="28" t="s">
        <v>24</v>
      </c>
    </row>
    <row r="762" spans="1:9" x14ac:dyDescent="0.3">
      <c r="A762" s="26">
        <v>45327</v>
      </c>
      <c r="B762" t="s">
        <v>1043</v>
      </c>
      <c r="C762" t="s">
        <v>919</v>
      </c>
      <c r="D762">
        <v>0.25</v>
      </c>
      <c r="E762" t="s">
        <v>248</v>
      </c>
      <c r="F762" t="s">
        <v>754</v>
      </c>
      <c r="G762" t="s">
        <v>1475</v>
      </c>
      <c r="H762" t="s">
        <v>30</v>
      </c>
      <c r="I762" s="28" t="s">
        <v>24</v>
      </c>
    </row>
    <row r="763" spans="1:9" x14ac:dyDescent="0.3">
      <c r="A763" s="26">
        <v>45327</v>
      </c>
      <c r="B763" t="s">
        <v>1049</v>
      </c>
      <c r="C763" t="s">
        <v>753</v>
      </c>
      <c r="D763">
        <v>0.48</v>
      </c>
      <c r="E763" t="s">
        <v>10</v>
      </c>
      <c r="F763" t="s">
        <v>754</v>
      </c>
      <c r="G763" t="s">
        <v>1052</v>
      </c>
      <c r="H763" t="s">
        <v>30</v>
      </c>
      <c r="I763" s="28" t="s">
        <v>24</v>
      </c>
    </row>
    <row r="764" spans="1:9" x14ac:dyDescent="0.3">
      <c r="A764" s="26">
        <v>45327</v>
      </c>
      <c r="B764" t="s">
        <v>1049</v>
      </c>
      <c r="C764" t="s">
        <v>753</v>
      </c>
      <c r="D764">
        <v>0.67</v>
      </c>
      <c r="E764" t="s">
        <v>316</v>
      </c>
      <c r="F764" t="s">
        <v>754</v>
      </c>
      <c r="G764" t="s">
        <v>1476</v>
      </c>
      <c r="H764" t="s">
        <v>30</v>
      </c>
      <c r="I764" s="28" t="s">
        <v>24</v>
      </c>
    </row>
    <row r="765" spans="1:9" x14ac:dyDescent="0.3">
      <c r="A765" s="26">
        <v>45327</v>
      </c>
      <c r="B765" t="s">
        <v>1049</v>
      </c>
      <c r="C765" t="s">
        <v>753</v>
      </c>
      <c r="D765">
        <v>0.75</v>
      </c>
      <c r="E765" t="s">
        <v>964</v>
      </c>
      <c r="F765" t="s">
        <v>754</v>
      </c>
      <c r="G765" t="s">
        <v>1477</v>
      </c>
      <c r="H765" t="s">
        <v>30</v>
      </c>
      <c r="I765" s="28" t="s">
        <v>24</v>
      </c>
    </row>
    <row r="766" spans="1:9" x14ac:dyDescent="0.3">
      <c r="A766" s="26">
        <v>45327</v>
      </c>
      <c r="B766" t="s">
        <v>1049</v>
      </c>
      <c r="C766" t="s">
        <v>753</v>
      </c>
      <c r="D766">
        <v>3</v>
      </c>
      <c r="E766" t="s">
        <v>964</v>
      </c>
      <c r="F766" t="s">
        <v>754</v>
      </c>
      <c r="G766" t="s">
        <v>1478</v>
      </c>
      <c r="H766" t="s">
        <v>30</v>
      </c>
      <c r="I766" s="28" t="s">
        <v>24</v>
      </c>
    </row>
    <row r="767" spans="1:9" x14ac:dyDescent="0.3">
      <c r="A767" s="26">
        <v>45327</v>
      </c>
      <c r="B767" t="s">
        <v>1049</v>
      </c>
      <c r="C767" t="s">
        <v>771</v>
      </c>
      <c r="D767">
        <v>0.5</v>
      </c>
      <c r="E767" t="s">
        <v>7</v>
      </c>
      <c r="F767" t="s">
        <v>772</v>
      </c>
      <c r="G767" t="s">
        <v>1058</v>
      </c>
      <c r="H767" t="s">
        <v>30</v>
      </c>
      <c r="I767" s="28" t="s">
        <v>24</v>
      </c>
    </row>
    <row r="768" spans="1:9" x14ac:dyDescent="0.3">
      <c r="A768" s="26">
        <v>45327</v>
      </c>
      <c r="B768" t="s">
        <v>1049</v>
      </c>
      <c r="C768" t="s">
        <v>916</v>
      </c>
      <c r="D768">
        <v>0.27</v>
      </c>
      <c r="E768" t="s">
        <v>659</v>
      </c>
      <c r="F768" t="s">
        <v>754</v>
      </c>
      <c r="G768" t="s">
        <v>945</v>
      </c>
      <c r="H768" t="s">
        <v>30</v>
      </c>
      <c r="I768" s="28" t="s">
        <v>24</v>
      </c>
    </row>
    <row r="769" spans="1:9" x14ac:dyDescent="0.3">
      <c r="A769" s="26">
        <v>45327</v>
      </c>
      <c r="B769" t="s">
        <v>1049</v>
      </c>
      <c r="C769" t="s">
        <v>776</v>
      </c>
      <c r="D769">
        <v>7.0000000000000007E-2</v>
      </c>
      <c r="E769" t="s">
        <v>659</v>
      </c>
      <c r="F769" t="s">
        <v>754</v>
      </c>
      <c r="G769" t="s">
        <v>1466</v>
      </c>
      <c r="H769" t="s">
        <v>30</v>
      </c>
      <c r="I769" s="28" t="s">
        <v>24</v>
      </c>
    </row>
    <row r="770" spans="1:9" x14ac:dyDescent="0.3">
      <c r="A770" s="26">
        <v>45327</v>
      </c>
      <c r="B770" t="s">
        <v>1049</v>
      </c>
      <c r="C770" t="s">
        <v>776</v>
      </c>
      <c r="D770">
        <v>0.17</v>
      </c>
      <c r="E770" t="s">
        <v>10</v>
      </c>
      <c r="F770" t="s">
        <v>754</v>
      </c>
      <c r="G770" t="s">
        <v>1479</v>
      </c>
      <c r="H770" t="s">
        <v>30</v>
      </c>
      <c r="I770" s="28" t="s">
        <v>24</v>
      </c>
    </row>
    <row r="771" spans="1:9" x14ac:dyDescent="0.3">
      <c r="A771" s="26">
        <v>45327</v>
      </c>
      <c r="B771" t="s">
        <v>1049</v>
      </c>
      <c r="C771" t="s">
        <v>776</v>
      </c>
      <c r="D771">
        <v>1.02</v>
      </c>
      <c r="E771" t="s">
        <v>1273</v>
      </c>
      <c r="F771" t="s">
        <v>754</v>
      </c>
      <c r="G771" t="s">
        <v>1480</v>
      </c>
      <c r="H771" t="s">
        <v>30</v>
      </c>
      <c r="I771" s="28" t="s">
        <v>24</v>
      </c>
    </row>
    <row r="772" spans="1:9" x14ac:dyDescent="0.3">
      <c r="A772" s="26">
        <v>45327</v>
      </c>
      <c r="B772" t="s">
        <v>1049</v>
      </c>
      <c r="C772" t="s">
        <v>776</v>
      </c>
      <c r="D772">
        <v>1.32</v>
      </c>
      <c r="E772" t="s">
        <v>1273</v>
      </c>
      <c r="F772" t="s">
        <v>754</v>
      </c>
      <c r="G772" t="s">
        <v>1277</v>
      </c>
      <c r="H772" t="s">
        <v>30</v>
      </c>
      <c r="I772" s="28" t="s">
        <v>24</v>
      </c>
    </row>
    <row r="773" spans="1:9" x14ac:dyDescent="0.3">
      <c r="A773" s="26">
        <v>45327</v>
      </c>
      <c r="B773" t="s">
        <v>1060</v>
      </c>
      <c r="C773" t="s">
        <v>909</v>
      </c>
      <c r="D773">
        <v>0.25</v>
      </c>
      <c r="E773" t="s">
        <v>201</v>
      </c>
      <c r="F773" t="s">
        <v>754</v>
      </c>
      <c r="G773" t="s">
        <v>1481</v>
      </c>
      <c r="H773" t="s">
        <v>30</v>
      </c>
      <c r="I773" s="28" t="s">
        <v>24</v>
      </c>
    </row>
    <row r="774" spans="1:9" x14ac:dyDescent="0.3">
      <c r="A774" s="26">
        <v>45327</v>
      </c>
      <c r="B774" t="s">
        <v>1060</v>
      </c>
      <c r="C774" t="s">
        <v>909</v>
      </c>
      <c r="D774">
        <v>0.25</v>
      </c>
      <c r="E774" t="s">
        <v>1013</v>
      </c>
      <c r="F774" t="s">
        <v>754</v>
      </c>
      <c r="G774" t="s">
        <v>1482</v>
      </c>
      <c r="H774" t="s">
        <v>30</v>
      </c>
      <c r="I774" s="28" t="s">
        <v>24</v>
      </c>
    </row>
    <row r="775" spans="1:9" x14ac:dyDescent="0.3">
      <c r="A775" s="26">
        <v>45327</v>
      </c>
      <c r="B775" t="s">
        <v>1060</v>
      </c>
      <c r="C775" t="s">
        <v>909</v>
      </c>
      <c r="D775">
        <v>0.33</v>
      </c>
      <c r="E775" t="s">
        <v>288</v>
      </c>
      <c r="F775" t="s">
        <v>754</v>
      </c>
      <c r="G775" t="s">
        <v>1483</v>
      </c>
      <c r="H775" t="s">
        <v>30</v>
      </c>
      <c r="I775" s="28" t="s">
        <v>24</v>
      </c>
    </row>
    <row r="776" spans="1:9" x14ac:dyDescent="0.3">
      <c r="A776" s="26">
        <v>45327</v>
      </c>
      <c r="B776" t="s">
        <v>1060</v>
      </c>
      <c r="C776" t="s">
        <v>909</v>
      </c>
      <c r="D776">
        <v>0.5</v>
      </c>
      <c r="E776" t="s">
        <v>563</v>
      </c>
      <c r="F776" t="s">
        <v>754</v>
      </c>
      <c r="G776" t="s">
        <v>1484</v>
      </c>
      <c r="H776" t="s">
        <v>30</v>
      </c>
      <c r="I776" s="28" t="s">
        <v>24</v>
      </c>
    </row>
    <row r="777" spans="1:9" x14ac:dyDescent="0.3">
      <c r="A777" s="26">
        <v>45327</v>
      </c>
      <c r="B777" t="s">
        <v>1060</v>
      </c>
      <c r="C777" t="s">
        <v>909</v>
      </c>
      <c r="D777">
        <v>0.5</v>
      </c>
      <c r="E777" t="s">
        <v>623</v>
      </c>
      <c r="F777" t="s">
        <v>754</v>
      </c>
      <c r="G777" t="s">
        <v>1485</v>
      </c>
      <c r="H777" t="s">
        <v>30</v>
      </c>
      <c r="I777" s="28" t="s">
        <v>24</v>
      </c>
    </row>
    <row r="778" spans="1:9" x14ac:dyDescent="0.3">
      <c r="A778" s="26">
        <v>45327</v>
      </c>
      <c r="B778" t="s">
        <v>1060</v>
      </c>
      <c r="C778" t="s">
        <v>909</v>
      </c>
      <c r="D778">
        <v>1</v>
      </c>
      <c r="E778" t="s">
        <v>1273</v>
      </c>
      <c r="F778" t="s">
        <v>754</v>
      </c>
      <c r="G778" t="s">
        <v>1486</v>
      </c>
      <c r="H778" t="s">
        <v>30</v>
      </c>
      <c r="I778" s="28" t="s">
        <v>24</v>
      </c>
    </row>
    <row r="779" spans="1:9" x14ac:dyDescent="0.3">
      <c r="A779" s="26">
        <v>45327</v>
      </c>
      <c r="B779" t="s">
        <v>1060</v>
      </c>
      <c r="C779" t="s">
        <v>909</v>
      </c>
      <c r="D779">
        <v>1</v>
      </c>
      <c r="E779" t="s">
        <v>553</v>
      </c>
      <c r="F779" t="s">
        <v>754</v>
      </c>
      <c r="G779" t="s">
        <v>1487</v>
      </c>
      <c r="H779" t="s">
        <v>30</v>
      </c>
      <c r="I779" s="28" t="s">
        <v>24</v>
      </c>
    </row>
    <row r="780" spans="1:9" x14ac:dyDescent="0.3">
      <c r="A780" s="26">
        <v>45327</v>
      </c>
      <c r="B780" t="s">
        <v>1060</v>
      </c>
      <c r="C780" t="s">
        <v>771</v>
      </c>
      <c r="D780">
        <v>1.5</v>
      </c>
      <c r="E780" t="s">
        <v>7</v>
      </c>
      <c r="F780" t="s">
        <v>772</v>
      </c>
      <c r="G780" t="s">
        <v>1488</v>
      </c>
      <c r="H780" t="s">
        <v>30</v>
      </c>
      <c r="I780" s="28" t="s">
        <v>24</v>
      </c>
    </row>
    <row r="781" spans="1:9" x14ac:dyDescent="0.3">
      <c r="A781" s="26">
        <v>45327</v>
      </c>
      <c r="B781" t="s">
        <v>1060</v>
      </c>
      <c r="C781" t="s">
        <v>916</v>
      </c>
      <c r="D781">
        <v>0.33</v>
      </c>
      <c r="E781" t="s">
        <v>770</v>
      </c>
      <c r="F781" t="s">
        <v>754</v>
      </c>
      <c r="G781" t="s">
        <v>1489</v>
      </c>
      <c r="H781" t="s">
        <v>30</v>
      </c>
      <c r="I781" s="28" t="s">
        <v>24</v>
      </c>
    </row>
    <row r="782" spans="1:9" x14ac:dyDescent="0.3">
      <c r="A782" s="26">
        <v>45327</v>
      </c>
      <c r="B782" t="s">
        <v>1060</v>
      </c>
      <c r="C782" t="s">
        <v>834</v>
      </c>
      <c r="D782">
        <v>1.25</v>
      </c>
      <c r="E782" t="s">
        <v>7</v>
      </c>
      <c r="F782" t="s">
        <v>772</v>
      </c>
      <c r="G782" t="s">
        <v>1490</v>
      </c>
      <c r="H782" t="s">
        <v>30</v>
      </c>
      <c r="I782" s="28" t="s">
        <v>24</v>
      </c>
    </row>
    <row r="783" spans="1:9" x14ac:dyDescent="0.3">
      <c r="A783" s="26">
        <v>45327</v>
      </c>
      <c r="B783" t="s">
        <v>1060</v>
      </c>
      <c r="C783" t="s">
        <v>874</v>
      </c>
      <c r="D783">
        <v>0.5</v>
      </c>
      <c r="E783" t="s">
        <v>7</v>
      </c>
      <c r="F783" t="s">
        <v>772</v>
      </c>
      <c r="G783" t="s">
        <v>1491</v>
      </c>
      <c r="H783" t="s">
        <v>30</v>
      </c>
      <c r="I783" s="28" t="s">
        <v>24</v>
      </c>
    </row>
    <row r="784" spans="1:9" x14ac:dyDescent="0.3">
      <c r="A784" s="26">
        <v>45327</v>
      </c>
      <c r="B784" t="s">
        <v>1060</v>
      </c>
      <c r="C784" t="s">
        <v>874</v>
      </c>
      <c r="D784">
        <v>0.5</v>
      </c>
      <c r="E784" t="s">
        <v>7</v>
      </c>
      <c r="F784" t="s">
        <v>772</v>
      </c>
      <c r="G784" t="s">
        <v>1492</v>
      </c>
      <c r="H784" t="s">
        <v>30</v>
      </c>
      <c r="I784" s="28" t="s">
        <v>24</v>
      </c>
    </row>
    <row r="785" spans="1:9" x14ac:dyDescent="0.3">
      <c r="A785" s="26">
        <v>45327</v>
      </c>
      <c r="B785" t="s">
        <v>1288</v>
      </c>
      <c r="C785" t="s">
        <v>789</v>
      </c>
      <c r="D785">
        <v>0.75</v>
      </c>
      <c r="E785" t="s">
        <v>845</v>
      </c>
      <c r="F785" t="s">
        <v>754</v>
      </c>
      <c r="G785" t="s">
        <v>1493</v>
      </c>
      <c r="H785" t="s">
        <v>30</v>
      </c>
      <c r="I785" s="28" t="s">
        <v>24</v>
      </c>
    </row>
    <row r="786" spans="1:9" x14ac:dyDescent="0.3">
      <c r="A786" s="26">
        <v>45327</v>
      </c>
      <c r="B786" t="s">
        <v>1074</v>
      </c>
      <c r="C786" t="s">
        <v>753</v>
      </c>
      <c r="D786">
        <v>0.3</v>
      </c>
      <c r="E786" t="s">
        <v>964</v>
      </c>
      <c r="F786" t="s">
        <v>754</v>
      </c>
      <c r="G786" t="s">
        <v>1494</v>
      </c>
      <c r="H786" t="s">
        <v>30</v>
      </c>
      <c r="I786" s="28" t="s">
        <v>24</v>
      </c>
    </row>
    <row r="787" spans="1:9" x14ac:dyDescent="0.3">
      <c r="A787" s="26">
        <v>45327</v>
      </c>
      <c r="B787" t="s">
        <v>1074</v>
      </c>
      <c r="C787" t="s">
        <v>753</v>
      </c>
      <c r="D787">
        <v>0.3</v>
      </c>
      <c r="E787" t="s">
        <v>1096</v>
      </c>
      <c r="F787" t="s">
        <v>754</v>
      </c>
      <c r="G787" t="s">
        <v>1495</v>
      </c>
      <c r="H787" t="s">
        <v>30</v>
      </c>
      <c r="I787" s="28" t="s">
        <v>24</v>
      </c>
    </row>
    <row r="788" spans="1:9" x14ac:dyDescent="0.3">
      <c r="A788" s="26">
        <v>45327</v>
      </c>
      <c r="B788" t="s">
        <v>1074</v>
      </c>
      <c r="C788" t="s">
        <v>753</v>
      </c>
      <c r="D788">
        <v>0.7</v>
      </c>
      <c r="E788" t="s">
        <v>964</v>
      </c>
      <c r="F788" t="s">
        <v>754</v>
      </c>
      <c r="G788" t="s">
        <v>1496</v>
      </c>
      <c r="H788" t="s">
        <v>30</v>
      </c>
      <c r="I788" s="28" t="s">
        <v>24</v>
      </c>
    </row>
    <row r="789" spans="1:9" x14ac:dyDescent="0.3">
      <c r="A789" s="26">
        <v>45327</v>
      </c>
      <c r="B789" t="s">
        <v>1074</v>
      </c>
      <c r="C789" t="s">
        <v>753</v>
      </c>
      <c r="D789">
        <v>0.97</v>
      </c>
      <c r="E789" t="s">
        <v>964</v>
      </c>
      <c r="F789" t="s">
        <v>754</v>
      </c>
      <c r="G789" t="s">
        <v>1497</v>
      </c>
      <c r="H789" t="s">
        <v>30</v>
      </c>
      <c r="I789" s="28" t="s">
        <v>24</v>
      </c>
    </row>
    <row r="790" spans="1:9" x14ac:dyDescent="0.3">
      <c r="A790" s="26">
        <v>45327</v>
      </c>
      <c r="B790" t="s">
        <v>1074</v>
      </c>
      <c r="C790" t="s">
        <v>906</v>
      </c>
      <c r="D790">
        <v>0.2</v>
      </c>
      <c r="E790" t="s">
        <v>7</v>
      </c>
      <c r="F790" t="s">
        <v>772</v>
      </c>
      <c r="G790" t="s">
        <v>1498</v>
      </c>
      <c r="H790" t="s">
        <v>30</v>
      </c>
      <c r="I790" s="28" t="s">
        <v>24</v>
      </c>
    </row>
    <row r="791" spans="1:9" x14ac:dyDescent="0.3">
      <c r="A791" s="26">
        <v>45327</v>
      </c>
      <c r="B791" t="s">
        <v>1074</v>
      </c>
      <c r="C791" t="s">
        <v>909</v>
      </c>
      <c r="D791">
        <v>0.3</v>
      </c>
      <c r="E791" t="s">
        <v>964</v>
      </c>
      <c r="F791" t="s">
        <v>754</v>
      </c>
      <c r="G791" t="s">
        <v>1499</v>
      </c>
      <c r="H791" t="s">
        <v>30</v>
      </c>
      <c r="I791" s="28" t="s">
        <v>24</v>
      </c>
    </row>
    <row r="792" spans="1:9" x14ac:dyDescent="0.3">
      <c r="A792" s="26">
        <v>45327</v>
      </c>
      <c r="B792" t="s">
        <v>1074</v>
      </c>
      <c r="C792" t="s">
        <v>909</v>
      </c>
      <c r="D792">
        <v>0.9</v>
      </c>
      <c r="E792" t="s">
        <v>964</v>
      </c>
      <c r="F792" t="s">
        <v>754</v>
      </c>
      <c r="G792" t="s">
        <v>1500</v>
      </c>
      <c r="H792" t="s">
        <v>30</v>
      </c>
      <c r="I792" s="28" t="s">
        <v>24</v>
      </c>
    </row>
    <row r="793" spans="1:9" x14ac:dyDescent="0.3">
      <c r="A793" s="26">
        <v>45327</v>
      </c>
      <c r="B793" t="s">
        <v>1074</v>
      </c>
      <c r="C793" t="s">
        <v>789</v>
      </c>
      <c r="D793">
        <v>1.3</v>
      </c>
      <c r="E793" t="s">
        <v>964</v>
      </c>
      <c r="F793" t="s">
        <v>754</v>
      </c>
      <c r="G793" t="s">
        <v>1501</v>
      </c>
      <c r="H793" t="s">
        <v>30</v>
      </c>
      <c r="I793" s="28" t="s">
        <v>24</v>
      </c>
    </row>
    <row r="794" spans="1:9" x14ac:dyDescent="0.3">
      <c r="A794" s="26">
        <v>45327</v>
      </c>
      <c r="B794" t="s">
        <v>1074</v>
      </c>
      <c r="C794" t="s">
        <v>789</v>
      </c>
      <c r="D794">
        <v>1.7</v>
      </c>
      <c r="E794" t="s">
        <v>964</v>
      </c>
      <c r="F794" t="s">
        <v>754</v>
      </c>
      <c r="G794" t="s">
        <v>1502</v>
      </c>
      <c r="H794" t="s">
        <v>30</v>
      </c>
      <c r="I794" s="28" t="s">
        <v>24</v>
      </c>
    </row>
    <row r="795" spans="1:9" x14ac:dyDescent="0.3">
      <c r="A795" s="26">
        <v>45327</v>
      </c>
      <c r="B795" t="s">
        <v>1074</v>
      </c>
      <c r="C795" t="s">
        <v>771</v>
      </c>
      <c r="D795">
        <v>0.6</v>
      </c>
      <c r="E795" t="s">
        <v>7</v>
      </c>
      <c r="F795" t="s">
        <v>772</v>
      </c>
      <c r="G795" t="s">
        <v>1503</v>
      </c>
      <c r="H795" t="s">
        <v>30</v>
      </c>
      <c r="I795" s="28" t="s">
        <v>24</v>
      </c>
    </row>
    <row r="796" spans="1:9" x14ac:dyDescent="0.3">
      <c r="A796" s="26">
        <v>45327</v>
      </c>
      <c r="B796" t="s">
        <v>1074</v>
      </c>
      <c r="C796" t="s">
        <v>874</v>
      </c>
      <c r="D796">
        <v>0.4</v>
      </c>
      <c r="E796" t="s">
        <v>7</v>
      </c>
      <c r="F796" t="s">
        <v>772</v>
      </c>
      <c r="G796" t="s">
        <v>1504</v>
      </c>
      <c r="H796" t="s">
        <v>30</v>
      </c>
      <c r="I796" s="28" t="s">
        <v>24</v>
      </c>
    </row>
    <row r="797" spans="1:9" x14ac:dyDescent="0.3">
      <c r="A797" s="26">
        <v>45327</v>
      </c>
      <c r="B797" t="s">
        <v>1505</v>
      </c>
      <c r="C797" t="s">
        <v>802</v>
      </c>
      <c r="D797">
        <v>3</v>
      </c>
      <c r="E797" t="s">
        <v>7</v>
      </c>
      <c r="F797" t="s">
        <v>772</v>
      </c>
      <c r="G797" t="s">
        <v>1506</v>
      </c>
      <c r="H797" t="s">
        <v>30</v>
      </c>
      <c r="I797" s="28" t="s">
        <v>24</v>
      </c>
    </row>
    <row r="798" spans="1:9" x14ac:dyDescent="0.3">
      <c r="A798" s="26">
        <v>45327</v>
      </c>
      <c r="B798" t="s">
        <v>1081</v>
      </c>
      <c r="C798" t="s">
        <v>771</v>
      </c>
      <c r="D798">
        <v>8</v>
      </c>
      <c r="E798" t="s">
        <v>7</v>
      </c>
      <c r="F798" t="s">
        <v>772</v>
      </c>
      <c r="G798" t="e">
        <f>- draft regularization contract of Bien - endorse HMO addition and deletion - coordinate SA interview to TLs - draft the Conflict of Interest Register - check responses re Office Space Enhancement - coordinate to Jovel her Final pay docs - respond to queries</f>
        <v>#NAME?</v>
      </c>
      <c r="H798" t="s">
        <v>30</v>
      </c>
      <c r="I798" s="28" t="s">
        <v>24</v>
      </c>
    </row>
    <row r="799" spans="1:9" x14ac:dyDescent="0.3">
      <c r="A799" s="26">
        <v>45328</v>
      </c>
      <c r="B799" t="s">
        <v>752</v>
      </c>
      <c r="C799" t="s">
        <v>802</v>
      </c>
      <c r="D799">
        <v>0.45</v>
      </c>
      <c r="E799" t="s">
        <v>7</v>
      </c>
      <c r="F799" t="s">
        <v>772</v>
      </c>
      <c r="G799" t="s">
        <v>1507</v>
      </c>
      <c r="H799" t="s">
        <v>30</v>
      </c>
      <c r="I799" s="28" t="s">
        <v>25</v>
      </c>
    </row>
    <row r="800" spans="1:9" x14ac:dyDescent="0.3">
      <c r="A800" s="26">
        <v>45328</v>
      </c>
      <c r="B800" t="s">
        <v>752</v>
      </c>
      <c r="C800" t="s">
        <v>753</v>
      </c>
      <c r="D800">
        <v>0.05</v>
      </c>
      <c r="E800" t="s">
        <v>458</v>
      </c>
      <c r="F800" t="s">
        <v>754</v>
      </c>
      <c r="G800" t="s">
        <v>755</v>
      </c>
      <c r="H800" t="s">
        <v>30</v>
      </c>
      <c r="I800" s="28" t="s">
        <v>25</v>
      </c>
    </row>
    <row r="801" spans="1:9" x14ac:dyDescent="0.3">
      <c r="A801" s="26">
        <v>45328</v>
      </c>
      <c r="B801" t="s">
        <v>752</v>
      </c>
      <c r="C801" t="s">
        <v>753</v>
      </c>
      <c r="D801">
        <v>0.05</v>
      </c>
      <c r="E801" t="s">
        <v>602</v>
      </c>
      <c r="F801" t="s">
        <v>754</v>
      </c>
      <c r="G801" t="s">
        <v>760</v>
      </c>
      <c r="H801" t="s">
        <v>30</v>
      </c>
      <c r="I801" s="28" t="s">
        <v>25</v>
      </c>
    </row>
    <row r="802" spans="1:9" x14ac:dyDescent="0.3">
      <c r="A802" s="26">
        <v>45328</v>
      </c>
      <c r="B802" t="s">
        <v>752</v>
      </c>
      <c r="C802" t="s">
        <v>753</v>
      </c>
      <c r="D802">
        <v>7.0000000000000007E-2</v>
      </c>
      <c r="E802" t="s">
        <v>561</v>
      </c>
      <c r="F802" t="s">
        <v>754</v>
      </c>
      <c r="G802" t="s">
        <v>755</v>
      </c>
      <c r="H802" t="s">
        <v>30</v>
      </c>
      <c r="I802" s="28" t="s">
        <v>25</v>
      </c>
    </row>
    <row r="803" spans="1:9" x14ac:dyDescent="0.3">
      <c r="A803" s="26">
        <v>45328</v>
      </c>
      <c r="B803" t="s">
        <v>752</v>
      </c>
      <c r="C803" t="s">
        <v>753</v>
      </c>
      <c r="D803">
        <v>7.0000000000000007E-2</v>
      </c>
      <c r="E803" t="s">
        <v>659</v>
      </c>
      <c r="F803" t="s">
        <v>754</v>
      </c>
      <c r="G803" t="s">
        <v>755</v>
      </c>
      <c r="H803" t="s">
        <v>30</v>
      </c>
      <c r="I803" s="28" t="s">
        <v>25</v>
      </c>
    </row>
    <row r="804" spans="1:9" x14ac:dyDescent="0.3">
      <c r="A804" s="26">
        <v>45328</v>
      </c>
      <c r="B804" t="s">
        <v>752</v>
      </c>
      <c r="C804" t="s">
        <v>753</v>
      </c>
      <c r="D804">
        <v>0.08</v>
      </c>
      <c r="E804" t="s">
        <v>757</v>
      </c>
      <c r="F804" t="s">
        <v>754</v>
      </c>
      <c r="G804" t="s">
        <v>765</v>
      </c>
      <c r="H804" t="s">
        <v>30</v>
      </c>
      <c r="I804" s="28" t="s">
        <v>25</v>
      </c>
    </row>
    <row r="805" spans="1:9" x14ac:dyDescent="0.3">
      <c r="A805" s="26">
        <v>45328</v>
      </c>
      <c r="B805" t="s">
        <v>752</v>
      </c>
      <c r="C805" t="s">
        <v>753</v>
      </c>
      <c r="D805">
        <v>0.12</v>
      </c>
      <c r="E805" t="s">
        <v>757</v>
      </c>
      <c r="F805" t="s">
        <v>754</v>
      </c>
      <c r="G805" t="s">
        <v>1508</v>
      </c>
      <c r="H805" t="s">
        <v>30</v>
      </c>
      <c r="I805" s="28" t="s">
        <v>25</v>
      </c>
    </row>
    <row r="806" spans="1:9" x14ac:dyDescent="0.3">
      <c r="A806" s="26">
        <v>45328</v>
      </c>
      <c r="B806" t="s">
        <v>752</v>
      </c>
      <c r="C806" t="s">
        <v>753</v>
      </c>
      <c r="D806">
        <v>0.12</v>
      </c>
      <c r="E806" t="s">
        <v>757</v>
      </c>
      <c r="F806" t="s">
        <v>754</v>
      </c>
      <c r="G806" t="s">
        <v>1509</v>
      </c>
      <c r="H806" t="s">
        <v>30</v>
      </c>
      <c r="I806" s="28" t="s">
        <v>25</v>
      </c>
    </row>
    <row r="807" spans="1:9" x14ac:dyDescent="0.3">
      <c r="A807" s="26">
        <v>45328</v>
      </c>
      <c r="B807" t="s">
        <v>752</v>
      </c>
      <c r="C807" t="s">
        <v>753</v>
      </c>
      <c r="D807">
        <v>0.12</v>
      </c>
      <c r="E807" t="s">
        <v>757</v>
      </c>
      <c r="F807" t="s">
        <v>754</v>
      </c>
      <c r="G807" t="s">
        <v>768</v>
      </c>
      <c r="H807" t="s">
        <v>30</v>
      </c>
      <c r="I807" s="28" t="s">
        <v>25</v>
      </c>
    </row>
    <row r="808" spans="1:9" x14ac:dyDescent="0.3">
      <c r="A808" s="26">
        <v>45328</v>
      </c>
      <c r="B808" t="s">
        <v>752</v>
      </c>
      <c r="C808" t="s">
        <v>753</v>
      </c>
      <c r="D808">
        <v>0.13</v>
      </c>
      <c r="E808" t="s">
        <v>757</v>
      </c>
      <c r="F808" t="s">
        <v>754</v>
      </c>
      <c r="G808" t="s">
        <v>1510</v>
      </c>
      <c r="H808" t="s">
        <v>30</v>
      </c>
      <c r="I808" s="28" t="s">
        <v>25</v>
      </c>
    </row>
    <row r="809" spans="1:9" x14ac:dyDescent="0.3">
      <c r="A809" s="26">
        <v>45328</v>
      </c>
      <c r="B809" t="s">
        <v>752</v>
      </c>
      <c r="C809" t="s">
        <v>753</v>
      </c>
      <c r="D809">
        <v>0.17</v>
      </c>
      <c r="E809" t="s">
        <v>1084</v>
      </c>
      <c r="F809" t="s">
        <v>754</v>
      </c>
      <c r="G809" t="s">
        <v>769</v>
      </c>
      <c r="H809" t="s">
        <v>30</v>
      </c>
      <c r="I809" s="28" t="s">
        <v>25</v>
      </c>
    </row>
    <row r="810" spans="1:9" x14ac:dyDescent="0.3">
      <c r="A810" s="26">
        <v>45328</v>
      </c>
      <c r="B810" t="s">
        <v>752</v>
      </c>
      <c r="C810" t="s">
        <v>753</v>
      </c>
      <c r="D810">
        <v>0.17</v>
      </c>
      <c r="E810" t="s">
        <v>561</v>
      </c>
      <c r="F810" t="s">
        <v>754</v>
      </c>
      <c r="G810" t="s">
        <v>769</v>
      </c>
      <c r="H810" t="s">
        <v>30</v>
      </c>
      <c r="I810" s="28" t="s">
        <v>25</v>
      </c>
    </row>
    <row r="811" spans="1:9" x14ac:dyDescent="0.3">
      <c r="A811" s="26">
        <v>45328</v>
      </c>
      <c r="B811" t="s">
        <v>752</v>
      </c>
      <c r="C811" t="s">
        <v>753</v>
      </c>
      <c r="D811">
        <v>0.17</v>
      </c>
      <c r="E811" t="s">
        <v>757</v>
      </c>
      <c r="F811" t="s">
        <v>754</v>
      </c>
      <c r="G811" t="s">
        <v>760</v>
      </c>
      <c r="H811" t="s">
        <v>30</v>
      </c>
      <c r="I811" s="28" t="s">
        <v>25</v>
      </c>
    </row>
    <row r="812" spans="1:9" x14ac:dyDescent="0.3">
      <c r="A812" s="26">
        <v>45328</v>
      </c>
      <c r="B812" t="s">
        <v>752</v>
      </c>
      <c r="C812" t="s">
        <v>753</v>
      </c>
      <c r="D812">
        <v>0.17</v>
      </c>
      <c r="E812" t="s">
        <v>602</v>
      </c>
      <c r="F812" t="s">
        <v>754</v>
      </c>
      <c r="G812" t="s">
        <v>769</v>
      </c>
      <c r="H812" t="s">
        <v>30</v>
      </c>
      <c r="I812" s="28" t="s">
        <v>25</v>
      </c>
    </row>
    <row r="813" spans="1:9" x14ac:dyDescent="0.3">
      <c r="A813" s="26">
        <v>45328</v>
      </c>
      <c r="B813" t="s">
        <v>752</v>
      </c>
      <c r="C813" t="s">
        <v>753</v>
      </c>
      <c r="D813">
        <v>0.17</v>
      </c>
      <c r="E813" t="s">
        <v>630</v>
      </c>
      <c r="F813" t="s">
        <v>754</v>
      </c>
      <c r="G813" t="s">
        <v>769</v>
      </c>
      <c r="H813" t="s">
        <v>30</v>
      </c>
      <c r="I813" s="28" t="s">
        <v>25</v>
      </c>
    </row>
    <row r="814" spans="1:9" x14ac:dyDescent="0.3">
      <c r="A814" s="26">
        <v>45328</v>
      </c>
      <c r="B814" t="s">
        <v>752</v>
      </c>
      <c r="C814" t="s">
        <v>753</v>
      </c>
      <c r="D814">
        <v>0.2</v>
      </c>
      <c r="E814" t="s">
        <v>757</v>
      </c>
      <c r="F814" t="s">
        <v>754</v>
      </c>
      <c r="G814" t="s">
        <v>755</v>
      </c>
      <c r="H814" t="s">
        <v>30</v>
      </c>
      <c r="I814" s="28" t="s">
        <v>25</v>
      </c>
    </row>
    <row r="815" spans="1:9" x14ac:dyDescent="0.3">
      <c r="A815" s="26">
        <v>45328</v>
      </c>
      <c r="B815" t="s">
        <v>752</v>
      </c>
      <c r="C815" t="s">
        <v>753</v>
      </c>
      <c r="D815">
        <v>0.22</v>
      </c>
      <c r="E815" t="s">
        <v>757</v>
      </c>
      <c r="F815" t="s">
        <v>754</v>
      </c>
      <c r="G815" t="s">
        <v>1511</v>
      </c>
      <c r="H815" t="s">
        <v>30</v>
      </c>
      <c r="I815" s="28" t="s">
        <v>25</v>
      </c>
    </row>
    <row r="816" spans="1:9" x14ac:dyDescent="0.3">
      <c r="A816" s="26">
        <v>45328</v>
      </c>
      <c r="B816" t="s">
        <v>752</v>
      </c>
      <c r="C816" t="s">
        <v>753</v>
      </c>
      <c r="D816">
        <v>0.23</v>
      </c>
      <c r="E816" t="s">
        <v>210</v>
      </c>
      <c r="F816" t="s">
        <v>754</v>
      </c>
      <c r="G816" t="s">
        <v>1512</v>
      </c>
      <c r="H816" t="s">
        <v>30</v>
      </c>
      <c r="I816" s="28" t="s">
        <v>25</v>
      </c>
    </row>
    <row r="817" spans="1:9" x14ac:dyDescent="0.3">
      <c r="A817" s="26">
        <v>45328</v>
      </c>
      <c r="B817" t="s">
        <v>752</v>
      </c>
      <c r="C817" t="s">
        <v>753</v>
      </c>
      <c r="D817">
        <v>0.23</v>
      </c>
      <c r="E817" t="s">
        <v>757</v>
      </c>
      <c r="F817" t="s">
        <v>754</v>
      </c>
      <c r="G817" t="s">
        <v>1513</v>
      </c>
      <c r="H817" t="s">
        <v>30</v>
      </c>
      <c r="I817" s="28" t="s">
        <v>25</v>
      </c>
    </row>
    <row r="818" spans="1:9" x14ac:dyDescent="0.3">
      <c r="A818" s="26">
        <v>45328</v>
      </c>
      <c r="B818" t="s">
        <v>752</v>
      </c>
      <c r="C818" t="s">
        <v>753</v>
      </c>
      <c r="D818">
        <v>0.23</v>
      </c>
      <c r="E818" t="s">
        <v>757</v>
      </c>
      <c r="F818" t="s">
        <v>754</v>
      </c>
      <c r="G818" t="s">
        <v>1514</v>
      </c>
      <c r="H818" t="s">
        <v>30</v>
      </c>
      <c r="I818" s="28" t="s">
        <v>25</v>
      </c>
    </row>
    <row r="819" spans="1:9" x14ac:dyDescent="0.3">
      <c r="A819" s="26">
        <v>45328</v>
      </c>
      <c r="B819" t="s">
        <v>752</v>
      </c>
      <c r="C819" t="s">
        <v>753</v>
      </c>
      <c r="D819">
        <v>0.28000000000000003</v>
      </c>
      <c r="E819" t="s">
        <v>757</v>
      </c>
      <c r="F819" t="s">
        <v>754</v>
      </c>
      <c r="G819" t="s">
        <v>1515</v>
      </c>
      <c r="H819" t="s">
        <v>30</v>
      </c>
      <c r="I819" s="28" t="s">
        <v>25</v>
      </c>
    </row>
    <row r="820" spans="1:9" x14ac:dyDescent="0.3">
      <c r="A820" s="26">
        <v>45328</v>
      </c>
      <c r="B820" t="s">
        <v>752</v>
      </c>
      <c r="C820" t="s">
        <v>753</v>
      </c>
      <c r="D820">
        <v>0.6</v>
      </c>
      <c r="E820" t="s">
        <v>757</v>
      </c>
      <c r="F820" t="s">
        <v>772</v>
      </c>
      <c r="G820" t="s">
        <v>1516</v>
      </c>
      <c r="H820" t="s">
        <v>30</v>
      </c>
      <c r="I820" s="28" t="s">
        <v>25</v>
      </c>
    </row>
    <row r="821" spans="1:9" x14ac:dyDescent="0.3">
      <c r="A821" s="26">
        <v>45328</v>
      </c>
      <c r="B821" t="s">
        <v>752</v>
      </c>
      <c r="C821" t="s">
        <v>753</v>
      </c>
      <c r="D821">
        <v>0.8</v>
      </c>
      <c r="E821" t="s">
        <v>757</v>
      </c>
      <c r="F821" t="s">
        <v>754</v>
      </c>
      <c r="G821" t="s">
        <v>1517</v>
      </c>
      <c r="H821" t="s">
        <v>30</v>
      </c>
      <c r="I821" s="28" t="s">
        <v>25</v>
      </c>
    </row>
    <row r="822" spans="1:9" x14ac:dyDescent="0.3">
      <c r="A822" s="26">
        <v>45328</v>
      </c>
      <c r="B822" t="s">
        <v>752</v>
      </c>
      <c r="C822" t="s">
        <v>753</v>
      </c>
      <c r="D822">
        <v>0.85</v>
      </c>
      <c r="E822" t="s">
        <v>757</v>
      </c>
      <c r="F822" t="s">
        <v>754</v>
      </c>
      <c r="G822" t="s">
        <v>1518</v>
      </c>
      <c r="H822" t="s">
        <v>30</v>
      </c>
      <c r="I822" s="28" t="s">
        <v>25</v>
      </c>
    </row>
    <row r="823" spans="1:9" x14ac:dyDescent="0.3">
      <c r="A823" s="26">
        <v>45328</v>
      </c>
      <c r="B823" t="s">
        <v>752</v>
      </c>
      <c r="C823" t="s">
        <v>753</v>
      </c>
      <c r="D823">
        <v>1.23</v>
      </c>
      <c r="E823" t="s">
        <v>664</v>
      </c>
      <c r="F823" t="s">
        <v>754</v>
      </c>
      <c r="G823" t="s">
        <v>1519</v>
      </c>
      <c r="H823" t="s">
        <v>30</v>
      </c>
      <c r="I823" s="28" t="s">
        <v>25</v>
      </c>
    </row>
    <row r="824" spans="1:9" x14ac:dyDescent="0.3">
      <c r="A824" s="26">
        <v>45328</v>
      </c>
      <c r="B824" t="s">
        <v>752</v>
      </c>
      <c r="C824" t="s">
        <v>771</v>
      </c>
      <c r="D824">
        <v>0.05</v>
      </c>
      <c r="E824" t="s">
        <v>7</v>
      </c>
      <c r="F824" t="s">
        <v>772</v>
      </c>
      <c r="G824" t="s">
        <v>1520</v>
      </c>
      <c r="H824" t="s">
        <v>30</v>
      </c>
      <c r="I824" s="28" t="s">
        <v>25</v>
      </c>
    </row>
    <row r="825" spans="1:9" x14ac:dyDescent="0.3">
      <c r="A825" s="26">
        <v>45328</v>
      </c>
      <c r="B825" t="s">
        <v>752</v>
      </c>
      <c r="C825" t="s">
        <v>771</v>
      </c>
      <c r="D825">
        <v>0.25</v>
      </c>
      <c r="E825" t="s">
        <v>7</v>
      </c>
      <c r="F825" t="s">
        <v>772</v>
      </c>
      <c r="G825" t="s">
        <v>774</v>
      </c>
      <c r="H825" t="s">
        <v>30</v>
      </c>
      <c r="I825" s="28" t="s">
        <v>25</v>
      </c>
    </row>
    <row r="826" spans="1:9" x14ac:dyDescent="0.3">
      <c r="A826" s="26">
        <v>45328</v>
      </c>
      <c r="B826" t="s">
        <v>752</v>
      </c>
      <c r="C826" t="s">
        <v>771</v>
      </c>
      <c r="D826">
        <v>0.25</v>
      </c>
      <c r="E826" t="s">
        <v>7</v>
      </c>
      <c r="F826" t="s">
        <v>772</v>
      </c>
      <c r="G826" t="s">
        <v>775</v>
      </c>
      <c r="H826" t="s">
        <v>30</v>
      </c>
      <c r="I826" s="28" t="s">
        <v>25</v>
      </c>
    </row>
    <row r="827" spans="1:9" x14ac:dyDescent="0.3">
      <c r="A827" s="26">
        <v>45328</v>
      </c>
      <c r="B827" t="s">
        <v>752</v>
      </c>
      <c r="C827" t="s">
        <v>1441</v>
      </c>
      <c r="D827">
        <v>0.1</v>
      </c>
      <c r="E827" t="s">
        <v>1084</v>
      </c>
      <c r="F827" t="s">
        <v>754</v>
      </c>
      <c r="G827" t="s">
        <v>1521</v>
      </c>
      <c r="H827" t="s">
        <v>30</v>
      </c>
      <c r="I827" s="28" t="s">
        <v>25</v>
      </c>
    </row>
    <row r="828" spans="1:9" x14ac:dyDescent="0.3">
      <c r="A828" s="26">
        <v>45328</v>
      </c>
      <c r="B828" t="s">
        <v>752</v>
      </c>
      <c r="C828" t="s">
        <v>1441</v>
      </c>
      <c r="D828">
        <v>0.1</v>
      </c>
      <c r="E828" t="s">
        <v>659</v>
      </c>
      <c r="F828" t="s">
        <v>754</v>
      </c>
      <c r="G828" t="s">
        <v>1521</v>
      </c>
      <c r="H828" t="s">
        <v>30</v>
      </c>
      <c r="I828" s="28" t="s">
        <v>25</v>
      </c>
    </row>
    <row r="829" spans="1:9" x14ac:dyDescent="0.3">
      <c r="A829" s="26">
        <v>45328</v>
      </c>
      <c r="B829" t="s">
        <v>752</v>
      </c>
      <c r="C829" t="s">
        <v>1441</v>
      </c>
      <c r="D829">
        <v>0.15</v>
      </c>
      <c r="E829" t="s">
        <v>561</v>
      </c>
      <c r="F829" t="s">
        <v>754</v>
      </c>
      <c r="G829" t="s">
        <v>1521</v>
      </c>
      <c r="H829" t="s">
        <v>30</v>
      </c>
      <c r="I829" s="28" t="s">
        <v>25</v>
      </c>
    </row>
    <row r="830" spans="1:9" x14ac:dyDescent="0.3">
      <c r="A830" s="26">
        <v>45328</v>
      </c>
      <c r="B830" t="s">
        <v>752</v>
      </c>
      <c r="C830" t="s">
        <v>776</v>
      </c>
      <c r="D830">
        <v>7.0000000000000007E-2</v>
      </c>
      <c r="E830" t="s">
        <v>458</v>
      </c>
      <c r="F830" t="s">
        <v>754</v>
      </c>
      <c r="G830" t="s">
        <v>755</v>
      </c>
      <c r="H830" t="s">
        <v>30</v>
      </c>
      <c r="I830" s="28" t="s">
        <v>25</v>
      </c>
    </row>
    <row r="831" spans="1:9" x14ac:dyDescent="0.3">
      <c r="A831" s="26">
        <v>45328</v>
      </c>
      <c r="B831" t="s">
        <v>752</v>
      </c>
      <c r="C831" t="s">
        <v>776</v>
      </c>
      <c r="D831">
        <v>7.0000000000000007E-2</v>
      </c>
      <c r="E831" t="s">
        <v>659</v>
      </c>
      <c r="F831" t="s">
        <v>754</v>
      </c>
      <c r="G831" t="s">
        <v>768</v>
      </c>
      <c r="H831" t="s">
        <v>30</v>
      </c>
      <c r="I831" s="28" t="s">
        <v>25</v>
      </c>
    </row>
    <row r="832" spans="1:9" x14ac:dyDescent="0.3">
      <c r="A832" s="26">
        <v>45328</v>
      </c>
      <c r="B832" t="s">
        <v>1093</v>
      </c>
      <c r="C832" t="s">
        <v>1522</v>
      </c>
      <c r="D832">
        <v>2</v>
      </c>
      <c r="E832" t="s">
        <v>455</v>
      </c>
      <c r="F832" t="s">
        <v>754</v>
      </c>
      <c r="G832" t="s">
        <v>1523</v>
      </c>
      <c r="H832" t="s">
        <v>30</v>
      </c>
      <c r="I832" s="28" t="s">
        <v>25</v>
      </c>
    </row>
    <row r="833" spans="1:9" x14ac:dyDescent="0.3">
      <c r="A833" s="26">
        <v>45328</v>
      </c>
      <c r="B833" t="s">
        <v>1093</v>
      </c>
      <c r="C833" t="s">
        <v>1524</v>
      </c>
      <c r="D833">
        <v>1.17</v>
      </c>
      <c r="E833" t="s">
        <v>455</v>
      </c>
      <c r="F833" t="s">
        <v>754</v>
      </c>
      <c r="G833" t="s">
        <v>1525</v>
      </c>
      <c r="H833" t="s">
        <v>30</v>
      </c>
      <c r="I833" s="28" t="s">
        <v>25</v>
      </c>
    </row>
    <row r="834" spans="1:9" x14ac:dyDescent="0.3">
      <c r="A834" s="26">
        <v>45328</v>
      </c>
      <c r="B834" t="s">
        <v>1093</v>
      </c>
      <c r="C834" t="s">
        <v>1094</v>
      </c>
      <c r="D834">
        <v>2.5</v>
      </c>
      <c r="E834" t="s">
        <v>455</v>
      </c>
      <c r="F834" t="s">
        <v>754</v>
      </c>
      <c r="G834" t="s">
        <v>1526</v>
      </c>
      <c r="H834" t="s">
        <v>30</v>
      </c>
      <c r="I834" s="28" t="s">
        <v>25</v>
      </c>
    </row>
    <row r="835" spans="1:9" x14ac:dyDescent="0.3">
      <c r="A835" s="26">
        <v>45328</v>
      </c>
      <c r="B835" t="s">
        <v>21</v>
      </c>
      <c r="C835" t="s">
        <v>753</v>
      </c>
      <c r="D835">
        <v>0.13</v>
      </c>
      <c r="E835" t="s">
        <v>1096</v>
      </c>
      <c r="F835" t="s">
        <v>754</v>
      </c>
      <c r="G835" t="s">
        <v>1527</v>
      </c>
      <c r="H835" t="s">
        <v>30</v>
      </c>
      <c r="I835" s="28" t="s">
        <v>25</v>
      </c>
    </row>
    <row r="836" spans="1:9" x14ac:dyDescent="0.3">
      <c r="A836" s="26">
        <v>45328</v>
      </c>
      <c r="B836" t="s">
        <v>21</v>
      </c>
      <c r="C836" t="s">
        <v>753</v>
      </c>
      <c r="D836">
        <v>0.13</v>
      </c>
      <c r="E836" t="s">
        <v>1096</v>
      </c>
      <c r="F836" t="s">
        <v>754</v>
      </c>
      <c r="G836" t="s">
        <v>1528</v>
      </c>
      <c r="H836" t="s">
        <v>30</v>
      </c>
      <c r="I836" s="28" t="s">
        <v>25</v>
      </c>
    </row>
    <row r="837" spans="1:9" x14ac:dyDescent="0.3">
      <c r="A837" s="26">
        <v>45328</v>
      </c>
      <c r="B837" t="s">
        <v>21</v>
      </c>
      <c r="C837" t="s">
        <v>753</v>
      </c>
      <c r="D837">
        <v>0.15</v>
      </c>
      <c r="E837" t="s">
        <v>1096</v>
      </c>
      <c r="F837" t="s">
        <v>754</v>
      </c>
      <c r="G837" t="s">
        <v>1529</v>
      </c>
      <c r="H837" t="s">
        <v>30</v>
      </c>
      <c r="I837" s="28" t="s">
        <v>25</v>
      </c>
    </row>
    <row r="838" spans="1:9" x14ac:dyDescent="0.3">
      <c r="A838" s="26">
        <v>45328</v>
      </c>
      <c r="B838" t="s">
        <v>21</v>
      </c>
      <c r="C838" t="s">
        <v>753</v>
      </c>
      <c r="D838">
        <v>0.22</v>
      </c>
      <c r="E838" t="s">
        <v>1096</v>
      </c>
      <c r="F838" t="s">
        <v>754</v>
      </c>
      <c r="G838" t="s">
        <v>1530</v>
      </c>
      <c r="H838" t="s">
        <v>30</v>
      </c>
      <c r="I838" s="28" t="s">
        <v>25</v>
      </c>
    </row>
    <row r="839" spans="1:9" x14ac:dyDescent="0.3">
      <c r="A839" s="26">
        <v>45328</v>
      </c>
      <c r="B839" t="s">
        <v>21</v>
      </c>
      <c r="C839" t="s">
        <v>753</v>
      </c>
      <c r="D839">
        <v>1.47</v>
      </c>
      <c r="E839" t="s">
        <v>13</v>
      </c>
      <c r="F839" t="s">
        <v>754</v>
      </c>
      <c r="H839" t="s">
        <v>30</v>
      </c>
      <c r="I839" s="28" t="s">
        <v>25</v>
      </c>
    </row>
    <row r="840" spans="1:9" x14ac:dyDescent="0.3">
      <c r="A840" s="26">
        <v>45328</v>
      </c>
      <c r="B840" t="s">
        <v>21</v>
      </c>
      <c r="C840" t="s">
        <v>753</v>
      </c>
      <c r="D840">
        <v>2.0499999999999998</v>
      </c>
      <c r="E840" t="s">
        <v>1096</v>
      </c>
      <c r="F840" t="s">
        <v>754</v>
      </c>
      <c r="G840" t="s">
        <v>1531</v>
      </c>
      <c r="H840" t="s">
        <v>30</v>
      </c>
      <c r="I840" s="28" t="s">
        <v>25</v>
      </c>
    </row>
    <row r="841" spans="1:9" x14ac:dyDescent="0.3">
      <c r="A841" s="26">
        <v>45328</v>
      </c>
      <c r="B841" t="s">
        <v>21</v>
      </c>
      <c r="C841" t="s">
        <v>771</v>
      </c>
      <c r="D841">
        <v>0.13</v>
      </c>
      <c r="E841" t="s">
        <v>7</v>
      </c>
      <c r="F841" t="s">
        <v>772</v>
      </c>
      <c r="H841" t="s">
        <v>30</v>
      </c>
      <c r="I841" s="28" t="s">
        <v>25</v>
      </c>
    </row>
    <row r="842" spans="1:9" x14ac:dyDescent="0.3">
      <c r="A842" s="26">
        <v>45328</v>
      </c>
      <c r="B842" t="s">
        <v>21</v>
      </c>
      <c r="C842" t="s">
        <v>771</v>
      </c>
      <c r="D842">
        <v>0.17</v>
      </c>
      <c r="E842" t="s">
        <v>7</v>
      </c>
      <c r="F842" t="s">
        <v>772</v>
      </c>
      <c r="G842" t="s">
        <v>1532</v>
      </c>
      <c r="H842" t="s">
        <v>30</v>
      </c>
      <c r="I842" s="28" t="s">
        <v>25</v>
      </c>
    </row>
    <row r="843" spans="1:9" x14ac:dyDescent="0.3">
      <c r="A843" s="26">
        <v>45328</v>
      </c>
      <c r="B843" t="s">
        <v>21</v>
      </c>
      <c r="C843" t="s">
        <v>771</v>
      </c>
      <c r="D843">
        <v>0.28000000000000003</v>
      </c>
      <c r="E843" t="s">
        <v>7</v>
      </c>
      <c r="F843" t="s">
        <v>772</v>
      </c>
      <c r="G843" t="s">
        <v>1533</v>
      </c>
      <c r="H843" t="s">
        <v>30</v>
      </c>
      <c r="I843" s="28" t="s">
        <v>25</v>
      </c>
    </row>
    <row r="844" spans="1:9" x14ac:dyDescent="0.3">
      <c r="A844" s="26">
        <v>45328</v>
      </c>
      <c r="B844" t="s">
        <v>21</v>
      </c>
      <c r="C844" t="s">
        <v>771</v>
      </c>
      <c r="D844">
        <v>0.42</v>
      </c>
      <c r="E844" t="s">
        <v>7</v>
      </c>
      <c r="F844" t="s">
        <v>772</v>
      </c>
      <c r="G844" t="s">
        <v>781</v>
      </c>
      <c r="H844" t="s">
        <v>30</v>
      </c>
      <c r="I844" s="28" t="s">
        <v>25</v>
      </c>
    </row>
    <row r="845" spans="1:9" x14ac:dyDescent="0.3">
      <c r="A845" s="26">
        <v>45328</v>
      </c>
      <c r="B845" t="s">
        <v>21</v>
      </c>
      <c r="C845" t="s">
        <v>771</v>
      </c>
      <c r="D845">
        <v>0.7</v>
      </c>
      <c r="E845" t="s">
        <v>7</v>
      </c>
      <c r="F845" t="s">
        <v>772</v>
      </c>
      <c r="G845" t="s">
        <v>1534</v>
      </c>
      <c r="H845" t="s">
        <v>30</v>
      </c>
      <c r="I845" s="28" t="s">
        <v>25</v>
      </c>
    </row>
    <row r="846" spans="1:9" x14ac:dyDescent="0.3">
      <c r="A846" s="26">
        <v>45328</v>
      </c>
      <c r="B846" t="s">
        <v>21</v>
      </c>
      <c r="C846" t="s">
        <v>771</v>
      </c>
      <c r="D846">
        <v>1.1200000000000001</v>
      </c>
      <c r="E846" t="s">
        <v>7</v>
      </c>
      <c r="F846" t="s">
        <v>772</v>
      </c>
      <c r="G846" t="s">
        <v>1535</v>
      </c>
      <c r="H846" t="s">
        <v>30</v>
      </c>
      <c r="I846" s="28" t="s">
        <v>25</v>
      </c>
    </row>
    <row r="847" spans="1:9" x14ac:dyDescent="0.3">
      <c r="A847" s="26">
        <v>45328</v>
      </c>
      <c r="B847" t="s">
        <v>21</v>
      </c>
      <c r="C847" t="s">
        <v>874</v>
      </c>
      <c r="D847">
        <v>0.15</v>
      </c>
      <c r="E847" t="s">
        <v>7</v>
      </c>
      <c r="F847" t="s">
        <v>772</v>
      </c>
      <c r="G847" t="s">
        <v>1536</v>
      </c>
      <c r="H847" t="s">
        <v>30</v>
      </c>
      <c r="I847" s="28" t="s">
        <v>25</v>
      </c>
    </row>
    <row r="848" spans="1:9" x14ac:dyDescent="0.3">
      <c r="A848" s="26">
        <v>45328</v>
      </c>
      <c r="B848" t="s">
        <v>21</v>
      </c>
      <c r="C848" t="s">
        <v>874</v>
      </c>
      <c r="D848">
        <v>0.9</v>
      </c>
      <c r="E848" t="s">
        <v>7</v>
      </c>
      <c r="F848" t="s">
        <v>772</v>
      </c>
      <c r="G848" t="s">
        <v>1537</v>
      </c>
      <c r="H848" t="s">
        <v>30</v>
      </c>
      <c r="I848" s="28" t="s">
        <v>25</v>
      </c>
    </row>
    <row r="849" spans="1:9" x14ac:dyDescent="0.3">
      <c r="A849" s="26">
        <v>45328</v>
      </c>
      <c r="B849" t="s">
        <v>783</v>
      </c>
      <c r="C849" t="s">
        <v>753</v>
      </c>
      <c r="D849">
        <v>2.0299999999999998</v>
      </c>
      <c r="E849" t="s">
        <v>564</v>
      </c>
      <c r="F849" t="s">
        <v>754</v>
      </c>
      <c r="G849" t="s">
        <v>1538</v>
      </c>
      <c r="H849" t="s">
        <v>30</v>
      </c>
      <c r="I849" s="28" t="s">
        <v>25</v>
      </c>
    </row>
    <row r="850" spans="1:9" x14ac:dyDescent="0.3">
      <c r="A850" s="26">
        <v>45328</v>
      </c>
      <c r="B850" t="s">
        <v>783</v>
      </c>
      <c r="C850" t="s">
        <v>753</v>
      </c>
      <c r="D850">
        <v>2.92</v>
      </c>
      <c r="E850" t="s">
        <v>690</v>
      </c>
      <c r="F850" t="s">
        <v>754</v>
      </c>
      <c r="G850" t="s">
        <v>1538</v>
      </c>
      <c r="H850" t="s">
        <v>30</v>
      </c>
      <c r="I850" s="28" t="s">
        <v>25</v>
      </c>
    </row>
    <row r="851" spans="1:9" x14ac:dyDescent="0.3">
      <c r="A851" s="26">
        <v>45328</v>
      </c>
      <c r="B851" t="s">
        <v>783</v>
      </c>
      <c r="C851" t="s">
        <v>753</v>
      </c>
      <c r="D851">
        <v>3.08</v>
      </c>
      <c r="E851" t="s">
        <v>170</v>
      </c>
      <c r="F851" t="s">
        <v>754</v>
      </c>
      <c r="G851" t="s">
        <v>1538</v>
      </c>
      <c r="H851" t="s">
        <v>30</v>
      </c>
      <c r="I851" s="28" t="s">
        <v>25</v>
      </c>
    </row>
    <row r="852" spans="1:9" x14ac:dyDescent="0.3">
      <c r="A852" s="26">
        <v>45328</v>
      </c>
      <c r="B852" t="s">
        <v>785</v>
      </c>
      <c r="C852" t="s">
        <v>786</v>
      </c>
      <c r="D852">
        <v>10</v>
      </c>
      <c r="E852" t="s">
        <v>7</v>
      </c>
      <c r="F852" t="s">
        <v>772</v>
      </c>
      <c r="G852" t="s">
        <v>1324</v>
      </c>
      <c r="H852" t="s">
        <v>30</v>
      </c>
      <c r="I852" s="28" t="s">
        <v>25</v>
      </c>
    </row>
    <row r="853" spans="1:9" x14ac:dyDescent="0.3">
      <c r="A853" s="26">
        <v>45328</v>
      </c>
      <c r="B853" t="s">
        <v>788</v>
      </c>
      <c r="C853" t="s">
        <v>786</v>
      </c>
      <c r="D853">
        <v>7</v>
      </c>
      <c r="E853" t="s">
        <v>7</v>
      </c>
      <c r="F853" t="s">
        <v>772</v>
      </c>
      <c r="H853" t="s">
        <v>30</v>
      </c>
      <c r="I853" s="28" t="s">
        <v>25</v>
      </c>
    </row>
    <row r="854" spans="1:9" x14ac:dyDescent="0.3">
      <c r="A854" s="26">
        <v>45328</v>
      </c>
      <c r="B854" t="s">
        <v>792</v>
      </c>
      <c r="C854" t="s">
        <v>753</v>
      </c>
      <c r="D854">
        <v>1.6</v>
      </c>
      <c r="E854" t="s">
        <v>790</v>
      </c>
      <c r="F854" t="s">
        <v>754</v>
      </c>
      <c r="G854" t="s">
        <v>1539</v>
      </c>
      <c r="H854" t="s">
        <v>30</v>
      </c>
      <c r="I854" s="28" t="s">
        <v>25</v>
      </c>
    </row>
    <row r="855" spans="1:9" x14ac:dyDescent="0.3">
      <c r="A855" s="26">
        <v>45328</v>
      </c>
      <c r="B855" t="s">
        <v>792</v>
      </c>
      <c r="C855" t="s">
        <v>753</v>
      </c>
      <c r="D855">
        <v>2.6</v>
      </c>
      <c r="E855" t="s">
        <v>790</v>
      </c>
      <c r="F855" t="s">
        <v>754</v>
      </c>
      <c r="G855" t="s">
        <v>1540</v>
      </c>
      <c r="H855" t="s">
        <v>30</v>
      </c>
      <c r="I855" s="28" t="s">
        <v>25</v>
      </c>
    </row>
    <row r="856" spans="1:9" x14ac:dyDescent="0.3">
      <c r="A856" s="26">
        <v>45328</v>
      </c>
      <c r="B856" t="s">
        <v>792</v>
      </c>
      <c r="C856" t="s">
        <v>753</v>
      </c>
      <c r="D856">
        <v>3.82</v>
      </c>
      <c r="E856" t="s">
        <v>790</v>
      </c>
      <c r="F856" t="s">
        <v>754</v>
      </c>
      <c r="G856" t="s">
        <v>1541</v>
      </c>
      <c r="H856" t="s">
        <v>30</v>
      </c>
      <c r="I856" s="28" t="s">
        <v>25</v>
      </c>
    </row>
    <row r="857" spans="1:9" x14ac:dyDescent="0.3">
      <c r="A857" s="26">
        <v>45328</v>
      </c>
      <c r="B857" t="s">
        <v>796</v>
      </c>
      <c r="C857" t="s">
        <v>753</v>
      </c>
      <c r="D857">
        <v>1.5</v>
      </c>
      <c r="E857" t="s">
        <v>585</v>
      </c>
      <c r="F857" t="s">
        <v>754</v>
      </c>
      <c r="G857" t="s">
        <v>797</v>
      </c>
      <c r="H857" t="s">
        <v>30</v>
      </c>
      <c r="I857" s="28" t="s">
        <v>25</v>
      </c>
    </row>
    <row r="858" spans="1:9" x14ac:dyDescent="0.3">
      <c r="A858" s="26">
        <v>45328</v>
      </c>
      <c r="B858" t="s">
        <v>796</v>
      </c>
      <c r="C858" t="s">
        <v>753</v>
      </c>
      <c r="D858">
        <v>5</v>
      </c>
      <c r="E858" t="s">
        <v>430</v>
      </c>
      <c r="F858" t="s">
        <v>754</v>
      </c>
      <c r="G858" t="s">
        <v>1542</v>
      </c>
      <c r="H858" t="s">
        <v>30</v>
      </c>
      <c r="I858" s="28" t="s">
        <v>25</v>
      </c>
    </row>
    <row r="859" spans="1:9" x14ac:dyDescent="0.3">
      <c r="A859" s="26">
        <v>45328</v>
      </c>
      <c r="B859" t="s">
        <v>796</v>
      </c>
      <c r="C859" t="s">
        <v>771</v>
      </c>
      <c r="D859">
        <v>0.42</v>
      </c>
      <c r="E859" t="s">
        <v>7</v>
      </c>
      <c r="F859" t="s">
        <v>772</v>
      </c>
      <c r="G859" t="s">
        <v>1332</v>
      </c>
      <c r="H859" t="s">
        <v>30</v>
      </c>
      <c r="I859" s="28" t="s">
        <v>25</v>
      </c>
    </row>
    <row r="860" spans="1:9" x14ac:dyDescent="0.3">
      <c r="A860" s="26">
        <v>45328</v>
      </c>
      <c r="B860" t="s">
        <v>796</v>
      </c>
      <c r="C860" t="s">
        <v>776</v>
      </c>
      <c r="D860">
        <v>1.25</v>
      </c>
      <c r="E860" t="s">
        <v>1543</v>
      </c>
      <c r="F860" t="s">
        <v>754</v>
      </c>
      <c r="G860" t="s">
        <v>1544</v>
      </c>
      <c r="H860" t="s">
        <v>30</v>
      </c>
      <c r="I860" s="28" t="s">
        <v>25</v>
      </c>
    </row>
    <row r="861" spans="1:9" x14ac:dyDescent="0.3">
      <c r="A861" s="26">
        <v>45328</v>
      </c>
      <c r="B861" t="s">
        <v>801</v>
      </c>
      <c r="C861" t="s">
        <v>802</v>
      </c>
      <c r="D861">
        <v>9.7799999999999994</v>
      </c>
      <c r="E861" t="s">
        <v>7</v>
      </c>
      <c r="F861" t="s">
        <v>772</v>
      </c>
      <c r="H861" t="s">
        <v>30</v>
      </c>
      <c r="I861" s="28" t="s">
        <v>25</v>
      </c>
    </row>
    <row r="862" spans="1:9" x14ac:dyDescent="0.3">
      <c r="A862" s="26">
        <v>45328</v>
      </c>
      <c r="B862" t="s">
        <v>806</v>
      </c>
      <c r="C862" t="s">
        <v>802</v>
      </c>
      <c r="D862">
        <v>3</v>
      </c>
      <c r="E862" t="s">
        <v>7</v>
      </c>
      <c r="F862" t="s">
        <v>772</v>
      </c>
      <c r="G862" t="s">
        <v>1545</v>
      </c>
      <c r="H862" t="s">
        <v>30</v>
      </c>
      <c r="I862" s="28" t="s">
        <v>25</v>
      </c>
    </row>
    <row r="863" spans="1:9" x14ac:dyDescent="0.3">
      <c r="A863" s="26">
        <v>45328</v>
      </c>
      <c r="B863" t="s">
        <v>808</v>
      </c>
      <c r="C863" t="s">
        <v>802</v>
      </c>
      <c r="D863">
        <v>9.07</v>
      </c>
      <c r="E863" t="s">
        <v>7</v>
      </c>
      <c r="F863" t="s">
        <v>772</v>
      </c>
      <c r="G863" t="s">
        <v>1546</v>
      </c>
      <c r="H863" t="s">
        <v>30</v>
      </c>
      <c r="I863" s="28" t="s">
        <v>25</v>
      </c>
    </row>
    <row r="864" spans="1:9" x14ac:dyDescent="0.3">
      <c r="A864" s="26">
        <v>45328</v>
      </c>
      <c r="B864" t="s">
        <v>810</v>
      </c>
      <c r="C864" t="s">
        <v>753</v>
      </c>
      <c r="D864">
        <v>0.17</v>
      </c>
      <c r="E864" t="s">
        <v>1069</v>
      </c>
      <c r="F864" t="s">
        <v>754</v>
      </c>
      <c r="G864" t="s">
        <v>1547</v>
      </c>
      <c r="H864" t="s">
        <v>30</v>
      </c>
      <c r="I864" s="28" t="s">
        <v>25</v>
      </c>
    </row>
    <row r="865" spans="1:9" x14ac:dyDescent="0.3">
      <c r="A865" s="26">
        <v>45328</v>
      </c>
      <c r="B865" t="s">
        <v>810</v>
      </c>
      <c r="C865" t="s">
        <v>753</v>
      </c>
      <c r="D865">
        <v>0.25</v>
      </c>
      <c r="E865" t="s">
        <v>516</v>
      </c>
      <c r="F865" t="s">
        <v>772</v>
      </c>
      <c r="G865" t="s">
        <v>1548</v>
      </c>
      <c r="H865" t="s">
        <v>30</v>
      </c>
      <c r="I865" s="28" t="s">
        <v>25</v>
      </c>
    </row>
    <row r="866" spans="1:9" x14ac:dyDescent="0.3">
      <c r="A866" s="26">
        <v>45328</v>
      </c>
      <c r="B866" t="s">
        <v>810</v>
      </c>
      <c r="C866" t="s">
        <v>753</v>
      </c>
      <c r="D866">
        <v>0.42</v>
      </c>
      <c r="E866" t="s">
        <v>817</v>
      </c>
      <c r="F866" t="s">
        <v>754</v>
      </c>
      <c r="G866" t="s">
        <v>1547</v>
      </c>
      <c r="H866" t="s">
        <v>30</v>
      </c>
      <c r="I866" s="28" t="s">
        <v>25</v>
      </c>
    </row>
    <row r="867" spans="1:9" x14ac:dyDescent="0.3">
      <c r="A867" s="26">
        <v>45328</v>
      </c>
      <c r="B867" t="s">
        <v>810</v>
      </c>
      <c r="C867" t="s">
        <v>753</v>
      </c>
      <c r="D867">
        <v>0.57999999999999996</v>
      </c>
      <c r="E867" t="s">
        <v>813</v>
      </c>
      <c r="F867" t="s">
        <v>754</v>
      </c>
      <c r="G867" t="s">
        <v>1549</v>
      </c>
      <c r="H867" t="s">
        <v>30</v>
      </c>
      <c r="I867" s="28" t="s">
        <v>25</v>
      </c>
    </row>
    <row r="868" spans="1:9" x14ac:dyDescent="0.3">
      <c r="A868" s="26">
        <v>45328</v>
      </c>
      <c r="B868" t="s">
        <v>810</v>
      </c>
      <c r="C868" t="s">
        <v>753</v>
      </c>
      <c r="D868">
        <v>0.83</v>
      </c>
      <c r="E868" t="s">
        <v>815</v>
      </c>
      <c r="F868" t="s">
        <v>772</v>
      </c>
      <c r="G868" t="s">
        <v>1336</v>
      </c>
      <c r="H868" t="s">
        <v>30</v>
      </c>
      <c r="I868" s="28" t="s">
        <v>25</v>
      </c>
    </row>
    <row r="869" spans="1:9" x14ac:dyDescent="0.3">
      <c r="A869" s="26">
        <v>45328</v>
      </c>
      <c r="B869" t="s">
        <v>810</v>
      </c>
      <c r="C869" t="s">
        <v>753</v>
      </c>
      <c r="D869">
        <v>0.92</v>
      </c>
      <c r="E869" t="s">
        <v>811</v>
      </c>
      <c r="F869" t="s">
        <v>754</v>
      </c>
      <c r="G869" t="s">
        <v>1547</v>
      </c>
      <c r="H869" t="s">
        <v>30</v>
      </c>
      <c r="I869" s="28" t="s">
        <v>25</v>
      </c>
    </row>
    <row r="870" spans="1:9" x14ac:dyDescent="0.3">
      <c r="A870" s="26">
        <v>45328</v>
      </c>
      <c r="B870" t="s">
        <v>810</v>
      </c>
      <c r="C870" t="s">
        <v>753</v>
      </c>
      <c r="D870">
        <v>1.33</v>
      </c>
      <c r="E870" t="s">
        <v>814</v>
      </c>
      <c r="F870" t="s">
        <v>754</v>
      </c>
      <c r="G870" t="s">
        <v>1547</v>
      </c>
      <c r="H870" t="s">
        <v>30</v>
      </c>
      <c r="I870" s="28" t="s">
        <v>25</v>
      </c>
    </row>
    <row r="871" spans="1:9" x14ac:dyDescent="0.3">
      <c r="A871" s="26">
        <v>45328</v>
      </c>
      <c r="B871" t="s">
        <v>810</v>
      </c>
      <c r="C871" t="s">
        <v>753</v>
      </c>
      <c r="D871">
        <v>3</v>
      </c>
      <c r="E871" t="s">
        <v>516</v>
      </c>
      <c r="F871" t="s">
        <v>754</v>
      </c>
      <c r="G871" t="s">
        <v>1550</v>
      </c>
      <c r="H871" t="s">
        <v>30</v>
      </c>
      <c r="I871" s="28" t="s">
        <v>25</v>
      </c>
    </row>
    <row r="872" spans="1:9" x14ac:dyDescent="0.3">
      <c r="A872" s="26">
        <v>45328</v>
      </c>
      <c r="B872" t="s">
        <v>810</v>
      </c>
      <c r="C872" t="s">
        <v>771</v>
      </c>
      <c r="D872">
        <v>0.5</v>
      </c>
      <c r="E872" t="s">
        <v>7</v>
      </c>
      <c r="F872" t="s">
        <v>772</v>
      </c>
      <c r="G872" t="s">
        <v>781</v>
      </c>
      <c r="H872" t="s">
        <v>30</v>
      </c>
      <c r="I872" s="28" t="s">
        <v>25</v>
      </c>
    </row>
    <row r="873" spans="1:9" x14ac:dyDescent="0.3">
      <c r="A873" s="26">
        <v>45328</v>
      </c>
      <c r="B873" t="s">
        <v>825</v>
      </c>
      <c r="C873" t="s">
        <v>826</v>
      </c>
      <c r="D873">
        <v>1</v>
      </c>
      <c r="E873" t="s">
        <v>47</v>
      </c>
      <c r="F873" t="s">
        <v>754</v>
      </c>
      <c r="G873" t="s">
        <v>1551</v>
      </c>
      <c r="H873" t="s">
        <v>30</v>
      </c>
      <c r="I873" s="28" t="s">
        <v>25</v>
      </c>
    </row>
    <row r="874" spans="1:9" x14ac:dyDescent="0.3">
      <c r="A874" s="26">
        <v>45328</v>
      </c>
      <c r="B874" t="s">
        <v>829</v>
      </c>
      <c r="C874" t="s">
        <v>753</v>
      </c>
      <c r="D874">
        <v>0.12</v>
      </c>
      <c r="E874" t="s">
        <v>659</v>
      </c>
      <c r="F874" t="s">
        <v>772</v>
      </c>
      <c r="G874" t="s">
        <v>1552</v>
      </c>
      <c r="H874" t="s">
        <v>30</v>
      </c>
      <c r="I874" s="28" t="s">
        <v>25</v>
      </c>
    </row>
    <row r="875" spans="1:9" x14ac:dyDescent="0.3">
      <c r="A875" s="26">
        <v>45328</v>
      </c>
      <c r="B875" t="s">
        <v>829</v>
      </c>
      <c r="C875" t="s">
        <v>753</v>
      </c>
      <c r="D875">
        <v>0.62</v>
      </c>
      <c r="E875" t="s">
        <v>845</v>
      </c>
      <c r="F875" t="s">
        <v>754</v>
      </c>
      <c r="G875" t="s">
        <v>1553</v>
      </c>
      <c r="H875" t="s">
        <v>30</v>
      </c>
      <c r="I875" s="28" t="s">
        <v>25</v>
      </c>
    </row>
    <row r="876" spans="1:9" x14ac:dyDescent="0.3">
      <c r="A876" s="26">
        <v>45328</v>
      </c>
      <c r="B876" t="s">
        <v>829</v>
      </c>
      <c r="C876" t="s">
        <v>753</v>
      </c>
      <c r="D876">
        <v>0.75</v>
      </c>
      <c r="E876" t="s">
        <v>259</v>
      </c>
      <c r="F876" t="s">
        <v>754</v>
      </c>
      <c r="G876" t="s">
        <v>1554</v>
      </c>
      <c r="H876" t="s">
        <v>30</v>
      </c>
      <c r="I876" s="28" t="s">
        <v>25</v>
      </c>
    </row>
    <row r="877" spans="1:9" x14ac:dyDescent="0.3">
      <c r="A877" s="26">
        <v>45328</v>
      </c>
      <c r="B877" t="s">
        <v>829</v>
      </c>
      <c r="C877" t="s">
        <v>753</v>
      </c>
      <c r="D877">
        <v>1.22</v>
      </c>
      <c r="E877" t="s">
        <v>553</v>
      </c>
      <c r="F877" t="s">
        <v>754</v>
      </c>
      <c r="G877" t="s">
        <v>1555</v>
      </c>
      <c r="H877" t="s">
        <v>30</v>
      </c>
      <c r="I877" s="28" t="s">
        <v>25</v>
      </c>
    </row>
    <row r="878" spans="1:9" x14ac:dyDescent="0.3">
      <c r="A878" s="26">
        <v>45328</v>
      </c>
      <c r="B878" t="s">
        <v>829</v>
      </c>
      <c r="C878" t="s">
        <v>753</v>
      </c>
      <c r="D878">
        <v>2.62</v>
      </c>
      <c r="E878" t="s">
        <v>898</v>
      </c>
      <c r="F878" t="s">
        <v>754</v>
      </c>
      <c r="G878" t="s">
        <v>1556</v>
      </c>
      <c r="H878" t="s">
        <v>30</v>
      </c>
      <c r="I878" s="28" t="s">
        <v>25</v>
      </c>
    </row>
    <row r="879" spans="1:9" x14ac:dyDescent="0.3">
      <c r="A879" s="26">
        <v>45328</v>
      </c>
      <c r="B879" t="s">
        <v>829</v>
      </c>
      <c r="C879" t="s">
        <v>771</v>
      </c>
      <c r="D879">
        <v>0.18</v>
      </c>
      <c r="E879" t="s">
        <v>7</v>
      </c>
      <c r="F879" t="s">
        <v>772</v>
      </c>
      <c r="G879" t="s">
        <v>830</v>
      </c>
      <c r="H879" t="s">
        <v>30</v>
      </c>
      <c r="I879" s="28" t="s">
        <v>25</v>
      </c>
    </row>
    <row r="880" spans="1:9" x14ac:dyDescent="0.3">
      <c r="A880" s="26">
        <v>45328</v>
      </c>
      <c r="B880" t="s">
        <v>829</v>
      </c>
      <c r="C880" t="s">
        <v>771</v>
      </c>
      <c r="D880">
        <v>0.2</v>
      </c>
      <c r="E880" t="s">
        <v>7</v>
      </c>
      <c r="F880" t="s">
        <v>772</v>
      </c>
      <c r="G880" t="s">
        <v>1557</v>
      </c>
      <c r="H880" t="s">
        <v>30</v>
      </c>
      <c r="I880" s="28" t="s">
        <v>25</v>
      </c>
    </row>
    <row r="881" spans="1:9" x14ac:dyDescent="0.3">
      <c r="A881" s="26">
        <v>45328</v>
      </c>
      <c r="B881" t="s">
        <v>829</v>
      </c>
      <c r="C881" t="s">
        <v>771</v>
      </c>
      <c r="D881">
        <v>0.23</v>
      </c>
      <c r="E881" t="s">
        <v>7</v>
      </c>
      <c r="F881" t="s">
        <v>772</v>
      </c>
      <c r="G881" t="s">
        <v>1558</v>
      </c>
      <c r="H881" t="s">
        <v>30</v>
      </c>
      <c r="I881" s="28" t="s">
        <v>25</v>
      </c>
    </row>
    <row r="882" spans="1:9" x14ac:dyDescent="0.3">
      <c r="A882" s="26">
        <v>45328</v>
      </c>
      <c r="B882" t="s">
        <v>829</v>
      </c>
      <c r="C882" t="s">
        <v>771</v>
      </c>
      <c r="D882">
        <v>0.43</v>
      </c>
      <c r="E882" t="s">
        <v>7</v>
      </c>
      <c r="F882" t="s">
        <v>772</v>
      </c>
      <c r="G882" t="s">
        <v>1559</v>
      </c>
      <c r="H882" t="s">
        <v>30</v>
      </c>
      <c r="I882" s="28" t="s">
        <v>25</v>
      </c>
    </row>
    <row r="883" spans="1:9" x14ac:dyDescent="0.3">
      <c r="A883" s="26">
        <v>45328</v>
      </c>
      <c r="B883" t="s">
        <v>829</v>
      </c>
      <c r="C883" t="s">
        <v>771</v>
      </c>
      <c r="D883">
        <v>0.47</v>
      </c>
      <c r="E883" t="s">
        <v>7</v>
      </c>
      <c r="F883" t="s">
        <v>772</v>
      </c>
      <c r="G883" t="s">
        <v>1018</v>
      </c>
      <c r="H883" t="s">
        <v>30</v>
      </c>
      <c r="I883" s="28" t="s">
        <v>25</v>
      </c>
    </row>
    <row r="884" spans="1:9" x14ac:dyDescent="0.3">
      <c r="A884" s="26">
        <v>45328</v>
      </c>
      <c r="B884" t="s">
        <v>829</v>
      </c>
      <c r="C884" t="s">
        <v>1441</v>
      </c>
      <c r="D884">
        <v>0.35</v>
      </c>
      <c r="E884" t="s">
        <v>226</v>
      </c>
      <c r="F884" t="s">
        <v>754</v>
      </c>
      <c r="G884" t="s">
        <v>1560</v>
      </c>
      <c r="H884" t="s">
        <v>30</v>
      </c>
      <c r="I884" s="28" t="s">
        <v>25</v>
      </c>
    </row>
    <row r="885" spans="1:9" x14ac:dyDescent="0.3">
      <c r="A885" s="26">
        <v>45328</v>
      </c>
      <c r="B885" t="s">
        <v>829</v>
      </c>
      <c r="C885" t="s">
        <v>834</v>
      </c>
      <c r="D885">
        <v>0.42</v>
      </c>
      <c r="E885" t="s">
        <v>7</v>
      </c>
      <c r="F885" t="s">
        <v>772</v>
      </c>
      <c r="G885" t="s">
        <v>1561</v>
      </c>
      <c r="H885" t="s">
        <v>30</v>
      </c>
      <c r="I885" s="28" t="s">
        <v>25</v>
      </c>
    </row>
    <row r="886" spans="1:9" x14ac:dyDescent="0.3">
      <c r="A886" s="26">
        <v>45328</v>
      </c>
      <c r="B886" t="s">
        <v>829</v>
      </c>
      <c r="C886" t="s">
        <v>776</v>
      </c>
      <c r="D886">
        <v>0.4</v>
      </c>
      <c r="E886" t="s">
        <v>659</v>
      </c>
      <c r="F886" t="s">
        <v>772</v>
      </c>
      <c r="G886" t="s">
        <v>1562</v>
      </c>
      <c r="H886" t="s">
        <v>30</v>
      </c>
      <c r="I886" s="28" t="s">
        <v>25</v>
      </c>
    </row>
    <row r="887" spans="1:9" x14ac:dyDescent="0.3">
      <c r="A887" s="26">
        <v>45328</v>
      </c>
      <c r="B887" t="s">
        <v>840</v>
      </c>
      <c r="C887" t="s">
        <v>753</v>
      </c>
      <c r="D887">
        <v>1.07</v>
      </c>
      <c r="E887" t="s">
        <v>790</v>
      </c>
      <c r="F887" t="s">
        <v>754</v>
      </c>
      <c r="G887" t="s">
        <v>841</v>
      </c>
      <c r="H887" t="s">
        <v>30</v>
      </c>
      <c r="I887" s="28" t="s">
        <v>25</v>
      </c>
    </row>
    <row r="888" spans="1:9" x14ac:dyDescent="0.3">
      <c r="A888" s="26">
        <v>45328</v>
      </c>
      <c r="B888" t="s">
        <v>840</v>
      </c>
      <c r="C888" t="s">
        <v>771</v>
      </c>
      <c r="D888">
        <v>2.0699999999999998</v>
      </c>
      <c r="E888" t="s">
        <v>7</v>
      </c>
      <c r="F888" t="s">
        <v>772</v>
      </c>
      <c r="G888" t="e">
        <f>- ATO (Emails)</f>
        <v>#NAME?</v>
      </c>
      <c r="H888" t="s">
        <v>30</v>
      </c>
      <c r="I888" s="28" t="s">
        <v>25</v>
      </c>
    </row>
    <row r="889" spans="1:9" x14ac:dyDescent="0.3">
      <c r="A889" s="26">
        <v>45328</v>
      </c>
      <c r="B889" t="s">
        <v>840</v>
      </c>
      <c r="C889" t="s">
        <v>771</v>
      </c>
      <c r="D889">
        <v>6.25</v>
      </c>
      <c r="E889" t="s">
        <v>7</v>
      </c>
      <c r="F889" t="s">
        <v>772</v>
      </c>
      <c r="G889" t="e">
        <f>- Emails (General) - ASIC - ATO (Admin tasks) - ATO (calls to ATO)</f>
        <v>#NAME?</v>
      </c>
      <c r="H889" t="s">
        <v>30</v>
      </c>
      <c r="I889" s="28" t="s">
        <v>25</v>
      </c>
    </row>
    <row r="890" spans="1:9" x14ac:dyDescent="0.3">
      <c r="A890" s="26">
        <v>45328</v>
      </c>
      <c r="B890" t="s">
        <v>843</v>
      </c>
      <c r="C890" t="s">
        <v>753</v>
      </c>
      <c r="D890">
        <v>0.5</v>
      </c>
      <c r="E890" t="s">
        <v>563</v>
      </c>
      <c r="F890" t="s">
        <v>754</v>
      </c>
      <c r="G890" t="s">
        <v>1563</v>
      </c>
      <c r="H890" t="s">
        <v>30</v>
      </c>
      <c r="I890" s="28" t="s">
        <v>25</v>
      </c>
    </row>
    <row r="891" spans="1:9" x14ac:dyDescent="0.3">
      <c r="A891" s="26">
        <v>45328</v>
      </c>
      <c r="B891" t="s">
        <v>843</v>
      </c>
      <c r="C891" t="s">
        <v>753</v>
      </c>
      <c r="D891">
        <v>0.53</v>
      </c>
      <c r="E891" t="s">
        <v>628</v>
      </c>
      <c r="F891" t="s">
        <v>754</v>
      </c>
      <c r="G891" t="s">
        <v>1564</v>
      </c>
      <c r="H891" t="s">
        <v>30</v>
      </c>
      <c r="I891" s="28" t="s">
        <v>25</v>
      </c>
    </row>
    <row r="892" spans="1:9" x14ac:dyDescent="0.3">
      <c r="A892" s="26">
        <v>45328</v>
      </c>
      <c r="B892" t="s">
        <v>843</v>
      </c>
      <c r="C892" t="s">
        <v>753</v>
      </c>
      <c r="D892">
        <v>0.55000000000000004</v>
      </c>
      <c r="E892" t="s">
        <v>845</v>
      </c>
      <c r="F892" t="s">
        <v>754</v>
      </c>
      <c r="G892" t="s">
        <v>846</v>
      </c>
      <c r="H892" t="s">
        <v>30</v>
      </c>
      <c r="I892" s="28" t="s">
        <v>25</v>
      </c>
    </row>
    <row r="893" spans="1:9" x14ac:dyDescent="0.3">
      <c r="A893" s="26">
        <v>45328</v>
      </c>
      <c r="B893" t="s">
        <v>843</v>
      </c>
      <c r="C893" t="s">
        <v>753</v>
      </c>
      <c r="D893">
        <v>0.93</v>
      </c>
      <c r="E893" t="s">
        <v>234</v>
      </c>
      <c r="F893" t="s">
        <v>772</v>
      </c>
      <c r="G893" t="s">
        <v>1565</v>
      </c>
      <c r="H893" t="s">
        <v>30</v>
      </c>
      <c r="I893" s="28" t="s">
        <v>25</v>
      </c>
    </row>
    <row r="894" spans="1:9" x14ac:dyDescent="0.3">
      <c r="A894" s="26">
        <v>45328</v>
      </c>
      <c r="B894" t="s">
        <v>843</v>
      </c>
      <c r="C894" t="s">
        <v>753</v>
      </c>
      <c r="D894">
        <v>1.77</v>
      </c>
      <c r="E894" t="s">
        <v>234</v>
      </c>
      <c r="F894" t="s">
        <v>754</v>
      </c>
      <c r="G894" t="s">
        <v>1566</v>
      </c>
      <c r="H894" t="s">
        <v>30</v>
      </c>
      <c r="I894" s="28" t="s">
        <v>25</v>
      </c>
    </row>
    <row r="895" spans="1:9" x14ac:dyDescent="0.3">
      <c r="A895" s="26">
        <v>45328</v>
      </c>
      <c r="B895" t="s">
        <v>843</v>
      </c>
      <c r="C895" t="s">
        <v>753</v>
      </c>
      <c r="D895">
        <v>2.65</v>
      </c>
      <c r="E895" t="s">
        <v>234</v>
      </c>
      <c r="F895" t="s">
        <v>772</v>
      </c>
      <c r="G895" t="s">
        <v>1567</v>
      </c>
      <c r="H895" t="s">
        <v>30</v>
      </c>
      <c r="I895" s="28" t="s">
        <v>25</v>
      </c>
    </row>
    <row r="896" spans="1:9" x14ac:dyDescent="0.3">
      <c r="A896" s="26">
        <v>45328</v>
      </c>
      <c r="B896" t="s">
        <v>843</v>
      </c>
      <c r="C896" t="s">
        <v>853</v>
      </c>
      <c r="D896">
        <v>0.56999999999999995</v>
      </c>
      <c r="E896" t="s">
        <v>259</v>
      </c>
      <c r="F896" t="s">
        <v>754</v>
      </c>
      <c r="G896" t="s">
        <v>846</v>
      </c>
      <c r="H896" t="s">
        <v>30</v>
      </c>
      <c r="I896" s="28" t="s">
        <v>25</v>
      </c>
    </row>
    <row r="897" spans="1:9" x14ac:dyDescent="0.3">
      <c r="A897" s="26">
        <v>45328</v>
      </c>
      <c r="B897" t="s">
        <v>843</v>
      </c>
      <c r="C897" t="s">
        <v>771</v>
      </c>
      <c r="D897">
        <v>0.5</v>
      </c>
      <c r="E897" t="s">
        <v>7</v>
      </c>
      <c r="F897" t="s">
        <v>772</v>
      </c>
      <c r="G897" t="s">
        <v>781</v>
      </c>
      <c r="H897" t="s">
        <v>30</v>
      </c>
      <c r="I897" s="28" t="s">
        <v>25</v>
      </c>
    </row>
    <row r="898" spans="1:9" x14ac:dyDescent="0.3">
      <c r="A898" s="26">
        <v>45328</v>
      </c>
      <c r="B898" t="s">
        <v>856</v>
      </c>
      <c r="C898" t="s">
        <v>753</v>
      </c>
      <c r="D898">
        <v>0.08</v>
      </c>
      <c r="E898" t="s">
        <v>857</v>
      </c>
      <c r="F898" t="s">
        <v>754</v>
      </c>
      <c r="G898" t="s">
        <v>1568</v>
      </c>
      <c r="H898" t="s">
        <v>30</v>
      </c>
      <c r="I898" s="28" t="s">
        <v>25</v>
      </c>
    </row>
    <row r="899" spans="1:9" x14ac:dyDescent="0.3">
      <c r="A899" s="26">
        <v>45328</v>
      </c>
      <c r="B899" t="s">
        <v>856</v>
      </c>
      <c r="C899" t="s">
        <v>753</v>
      </c>
      <c r="D899">
        <v>0.27</v>
      </c>
      <c r="E899" t="s">
        <v>857</v>
      </c>
      <c r="F899" t="s">
        <v>754</v>
      </c>
      <c r="G899" t="s">
        <v>1569</v>
      </c>
      <c r="H899" t="s">
        <v>30</v>
      </c>
      <c r="I899" s="28" t="s">
        <v>25</v>
      </c>
    </row>
    <row r="900" spans="1:9" x14ac:dyDescent="0.3">
      <c r="A900" s="26">
        <v>45328</v>
      </c>
      <c r="B900" t="s">
        <v>856</v>
      </c>
      <c r="C900" t="s">
        <v>753</v>
      </c>
      <c r="D900">
        <v>0.32</v>
      </c>
      <c r="E900" t="s">
        <v>173</v>
      </c>
      <c r="F900" t="s">
        <v>754</v>
      </c>
      <c r="G900" t="s">
        <v>1570</v>
      </c>
      <c r="H900" t="s">
        <v>30</v>
      </c>
      <c r="I900" s="28" t="s">
        <v>25</v>
      </c>
    </row>
    <row r="901" spans="1:9" x14ac:dyDescent="0.3">
      <c r="A901" s="26">
        <v>45328</v>
      </c>
      <c r="B901" t="s">
        <v>856</v>
      </c>
      <c r="C901" t="s">
        <v>753</v>
      </c>
      <c r="D901">
        <v>0.37</v>
      </c>
      <c r="E901" t="s">
        <v>173</v>
      </c>
      <c r="F901" t="s">
        <v>754</v>
      </c>
      <c r="G901" t="s">
        <v>1571</v>
      </c>
      <c r="H901" t="s">
        <v>30</v>
      </c>
      <c r="I901" s="28" t="s">
        <v>25</v>
      </c>
    </row>
    <row r="902" spans="1:9" x14ac:dyDescent="0.3">
      <c r="A902" s="26">
        <v>45328</v>
      </c>
      <c r="B902" t="s">
        <v>856</v>
      </c>
      <c r="C902" t="s">
        <v>753</v>
      </c>
      <c r="D902">
        <v>0.5</v>
      </c>
      <c r="E902" t="s">
        <v>173</v>
      </c>
      <c r="F902" t="s">
        <v>754</v>
      </c>
      <c r="G902" t="s">
        <v>1572</v>
      </c>
      <c r="H902" t="s">
        <v>30</v>
      </c>
      <c r="I902" s="28" t="s">
        <v>25</v>
      </c>
    </row>
    <row r="903" spans="1:9" x14ac:dyDescent="0.3">
      <c r="A903" s="26">
        <v>45328</v>
      </c>
      <c r="B903" t="s">
        <v>856</v>
      </c>
      <c r="C903" t="s">
        <v>753</v>
      </c>
      <c r="D903">
        <v>0.7</v>
      </c>
      <c r="E903" t="s">
        <v>879</v>
      </c>
      <c r="F903" t="s">
        <v>754</v>
      </c>
      <c r="G903" t="s">
        <v>1573</v>
      </c>
      <c r="H903" t="s">
        <v>30</v>
      </c>
      <c r="I903" s="28" t="s">
        <v>25</v>
      </c>
    </row>
    <row r="904" spans="1:9" x14ac:dyDescent="0.3">
      <c r="A904" s="26">
        <v>45328</v>
      </c>
      <c r="B904" t="s">
        <v>856</v>
      </c>
      <c r="C904" t="s">
        <v>753</v>
      </c>
      <c r="D904">
        <v>0.98</v>
      </c>
      <c r="E904" t="s">
        <v>857</v>
      </c>
      <c r="F904" t="s">
        <v>754</v>
      </c>
      <c r="G904" t="s">
        <v>1574</v>
      </c>
      <c r="H904" t="s">
        <v>30</v>
      </c>
      <c r="I904" s="28" t="s">
        <v>25</v>
      </c>
    </row>
    <row r="905" spans="1:9" x14ac:dyDescent="0.3">
      <c r="A905" s="26">
        <v>45328</v>
      </c>
      <c r="B905" t="s">
        <v>856</v>
      </c>
      <c r="C905" t="s">
        <v>789</v>
      </c>
      <c r="D905">
        <v>0.18</v>
      </c>
      <c r="E905" t="s">
        <v>173</v>
      </c>
      <c r="F905" t="s">
        <v>772</v>
      </c>
      <c r="G905" t="s">
        <v>1575</v>
      </c>
      <c r="H905" t="s">
        <v>30</v>
      </c>
      <c r="I905" s="28" t="s">
        <v>25</v>
      </c>
    </row>
    <row r="906" spans="1:9" x14ac:dyDescent="0.3">
      <c r="A906" s="26">
        <v>45328</v>
      </c>
      <c r="B906" t="s">
        <v>856</v>
      </c>
      <c r="C906" t="s">
        <v>771</v>
      </c>
      <c r="D906">
        <v>0.48</v>
      </c>
      <c r="E906" t="s">
        <v>7</v>
      </c>
      <c r="F906" t="s">
        <v>772</v>
      </c>
      <c r="G906" t="s">
        <v>1576</v>
      </c>
      <c r="H906" t="s">
        <v>30</v>
      </c>
      <c r="I906" s="28" t="s">
        <v>25</v>
      </c>
    </row>
    <row r="907" spans="1:9" x14ac:dyDescent="0.3">
      <c r="A907" s="26">
        <v>45328</v>
      </c>
      <c r="B907" t="s">
        <v>856</v>
      </c>
      <c r="C907" t="s">
        <v>835</v>
      </c>
      <c r="D907">
        <v>1.5</v>
      </c>
      <c r="E907" t="s">
        <v>173</v>
      </c>
      <c r="F907" t="s">
        <v>754</v>
      </c>
      <c r="G907" t="s">
        <v>1577</v>
      </c>
      <c r="H907" t="s">
        <v>30</v>
      </c>
      <c r="I907" s="28" t="s">
        <v>25</v>
      </c>
    </row>
    <row r="908" spans="1:9" x14ac:dyDescent="0.3">
      <c r="A908" s="26">
        <v>45328</v>
      </c>
      <c r="B908" t="s">
        <v>856</v>
      </c>
      <c r="C908" t="s">
        <v>835</v>
      </c>
      <c r="D908">
        <v>1.95</v>
      </c>
      <c r="E908" t="s">
        <v>173</v>
      </c>
      <c r="F908" t="s">
        <v>754</v>
      </c>
      <c r="G908" t="s">
        <v>1578</v>
      </c>
      <c r="H908" t="s">
        <v>30</v>
      </c>
      <c r="I908" s="28" t="s">
        <v>25</v>
      </c>
    </row>
    <row r="909" spans="1:9" x14ac:dyDescent="0.3">
      <c r="A909" s="26">
        <v>45328</v>
      </c>
      <c r="B909" t="s">
        <v>856</v>
      </c>
      <c r="C909" t="s">
        <v>776</v>
      </c>
      <c r="D909">
        <v>0.08</v>
      </c>
      <c r="E909" t="s">
        <v>173</v>
      </c>
      <c r="F909" t="s">
        <v>754</v>
      </c>
      <c r="G909" t="s">
        <v>1568</v>
      </c>
      <c r="H909" t="s">
        <v>30</v>
      </c>
      <c r="I909" s="28" t="s">
        <v>25</v>
      </c>
    </row>
    <row r="910" spans="1:9" x14ac:dyDescent="0.3">
      <c r="A910" s="26">
        <v>45328</v>
      </c>
      <c r="B910" t="s">
        <v>856</v>
      </c>
      <c r="C910" t="s">
        <v>776</v>
      </c>
      <c r="D910">
        <v>0.45</v>
      </c>
      <c r="E910" t="s">
        <v>173</v>
      </c>
      <c r="F910" t="s">
        <v>754</v>
      </c>
      <c r="G910" t="s">
        <v>866</v>
      </c>
      <c r="H910" t="s">
        <v>30</v>
      </c>
      <c r="I910" s="28" t="s">
        <v>25</v>
      </c>
    </row>
    <row r="911" spans="1:9" x14ac:dyDescent="0.3">
      <c r="A911" s="26">
        <v>45328</v>
      </c>
      <c r="B911" t="s">
        <v>856</v>
      </c>
      <c r="C911" t="s">
        <v>776</v>
      </c>
      <c r="D911">
        <v>0.47</v>
      </c>
      <c r="E911" t="s">
        <v>879</v>
      </c>
      <c r="F911" t="s">
        <v>754</v>
      </c>
      <c r="G911" t="s">
        <v>1579</v>
      </c>
      <c r="H911" t="s">
        <v>30</v>
      </c>
      <c r="I911" s="28" t="s">
        <v>25</v>
      </c>
    </row>
    <row r="912" spans="1:9" x14ac:dyDescent="0.3">
      <c r="A912" s="26">
        <v>45328</v>
      </c>
      <c r="B912" t="s">
        <v>856</v>
      </c>
      <c r="C912" t="s">
        <v>776</v>
      </c>
      <c r="D912">
        <v>4.7300000000000004</v>
      </c>
      <c r="E912" t="s">
        <v>879</v>
      </c>
      <c r="F912" t="s">
        <v>754</v>
      </c>
      <c r="G912" t="s">
        <v>866</v>
      </c>
      <c r="H912" t="s">
        <v>30</v>
      </c>
      <c r="I912" s="28" t="s">
        <v>25</v>
      </c>
    </row>
    <row r="913" spans="1:9" x14ac:dyDescent="0.3">
      <c r="A913" s="26">
        <v>45328</v>
      </c>
      <c r="B913" t="s">
        <v>33</v>
      </c>
      <c r="C913" t="s">
        <v>771</v>
      </c>
      <c r="D913">
        <v>0.15</v>
      </c>
      <c r="E913" t="s">
        <v>7</v>
      </c>
      <c r="F913" t="s">
        <v>772</v>
      </c>
      <c r="G913" t="s">
        <v>1012</v>
      </c>
      <c r="H913" t="s">
        <v>30</v>
      </c>
      <c r="I913" s="28" t="s">
        <v>25</v>
      </c>
    </row>
    <row r="914" spans="1:9" x14ac:dyDescent="0.3">
      <c r="A914" s="26">
        <v>45328</v>
      </c>
      <c r="B914" t="s">
        <v>33</v>
      </c>
      <c r="C914" t="s">
        <v>771</v>
      </c>
      <c r="D914">
        <v>0.32</v>
      </c>
      <c r="E914" t="s">
        <v>7</v>
      </c>
      <c r="F914" t="s">
        <v>772</v>
      </c>
      <c r="G914" t="s">
        <v>1580</v>
      </c>
      <c r="H914" t="s">
        <v>30</v>
      </c>
      <c r="I914" s="28" t="s">
        <v>25</v>
      </c>
    </row>
    <row r="915" spans="1:9" x14ac:dyDescent="0.3">
      <c r="A915" s="26">
        <v>45328</v>
      </c>
      <c r="B915" t="s">
        <v>33</v>
      </c>
      <c r="C915" t="s">
        <v>771</v>
      </c>
      <c r="D915">
        <v>0.53</v>
      </c>
      <c r="E915" t="s">
        <v>7</v>
      </c>
      <c r="F915" t="s">
        <v>772</v>
      </c>
      <c r="G915" t="s">
        <v>1581</v>
      </c>
      <c r="H915" t="s">
        <v>30</v>
      </c>
      <c r="I915" s="28" t="s">
        <v>25</v>
      </c>
    </row>
    <row r="916" spans="1:9" x14ac:dyDescent="0.3">
      <c r="A916" s="26">
        <v>45328</v>
      </c>
      <c r="B916" t="s">
        <v>33</v>
      </c>
      <c r="C916" t="s">
        <v>771</v>
      </c>
      <c r="D916">
        <v>0.93</v>
      </c>
      <c r="E916" t="s">
        <v>7</v>
      </c>
      <c r="F916" t="s">
        <v>772</v>
      </c>
      <c r="G916" t="s">
        <v>1582</v>
      </c>
      <c r="H916" t="s">
        <v>30</v>
      </c>
      <c r="I916" s="28" t="s">
        <v>25</v>
      </c>
    </row>
    <row r="917" spans="1:9" x14ac:dyDescent="0.3">
      <c r="A917" s="26">
        <v>45328</v>
      </c>
      <c r="B917" t="s">
        <v>33</v>
      </c>
      <c r="C917" t="s">
        <v>771</v>
      </c>
      <c r="D917">
        <v>1.57</v>
      </c>
      <c r="E917" t="s">
        <v>7</v>
      </c>
      <c r="F917" t="s">
        <v>772</v>
      </c>
      <c r="G917" t="s">
        <v>1583</v>
      </c>
      <c r="H917" t="s">
        <v>30</v>
      </c>
      <c r="I917" s="28" t="s">
        <v>25</v>
      </c>
    </row>
    <row r="918" spans="1:9" x14ac:dyDescent="0.3">
      <c r="A918" s="26">
        <v>45328</v>
      </c>
      <c r="B918" t="s">
        <v>33</v>
      </c>
      <c r="C918" t="s">
        <v>771</v>
      </c>
      <c r="D918">
        <v>2.1</v>
      </c>
      <c r="E918" t="s">
        <v>7</v>
      </c>
      <c r="F918" t="s">
        <v>772</v>
      </c>
      <c r="G918" t="s">
        <v>1584</v>
      </c>
      <c r="H918" t="s">
        <v>30</v>
      </c>
      <c r="I918" s="28" t="s">
        <v>25</v>
      </c>
    </row>
    <row r="919" spans="1:9" x14ac:dyDescent="0.3">
      <c r="A919" s="26">
        <v>45328</v>
      </c>
      <c r="B919" t="s">
        <v>33</v>
      </c>
      <c r="C919" t="s">
        <v>834</v>
      </c>
      <c r="D919">
        <v>0.92</v>
      </c>
      <c r="E919" t="s">
        <v>7</v>
      </c>
      <c r="F919" t="s">
        <v>772</v>
      </c>
      <c r="G919" t="s">
        <v>1585</v>
      </c>
      <c r="H919" t="s">
        <v>30</v>
      </c>
      <c r="I919" s="28" t="s">
        <v>25</v>
      </c>
    </row>
    <row r="920" spans="1:9" x14ac:dyDescent="0.3">
      <c r="A920" s="26">
        <v>45328</v>
      </c>
      <c r="B920" t="s">
        <v>33</v>
      </c>
      <c r="C920" t="s">
        <v>874</v>
      </c>
      <c r="D920">
        <v>0.37</v>
      </c>
      <c r="E920" t="s">
        <v>7</v>
      </c>
      <c r="F920" t="s">
        <v>772</v>
      </c>
      <c r="G920" t="s">
        <v>1586</v>
      </c>
      <c r="H920" t="s">
        <v>30</v>
      </c>
      <c r="I920" s="28" t="s">
        <v>25</v>
      </c>
    </row>
    <row r="921" spans="1:9" x14ac:dyDescent="0.3">
      <c r="A921" s="26">
        <v>45328</v>
      </c>
      <c r="B921" t="s">
        <v>33</v>
      </c>
      <c r="C921" t="s">
        <v>874</v>
      </c>
      <c r="D921">
        <v>1.17</v>
      </c>
      <c r="E921" t="s">
        <v>7</v>
      </c>
      <c r="F921" t="s">
        <v>772</v>
      </c>
      <c r="G921" t="s">
        <v>1587</v>
      </c>
      <c r="H921" t="s">
        <v>30</v>
      </c>
      <c r="I921" s="28" t="s">
        <v>25</v>
      </c>
    </row>
    <row r="922" spans="1:9" x14ac:dyDescent="0.3">
      <c r="A922" s="26">
        <v>45328</v>
      </c>
      <c r="B922" t="s">
        <v>876</v>
      </c>
      <c r="C922" t="s">
        <v>753</v>
      </c>
      <c r="D922">
        <v>7.92</v>
      </c>
      <c r="E922" t="s">
        <v>11</v>
      </c>
      <c r="F922" t="s">
        <v>754</v>
      </c>
      <c r="H922" t="s">
        <v>30</v>
      </c>
      <c r="I922" s="28" t="s">
        <v>25</v>
      </c>
    </row>
    <row r="923" spans="1:9" x14ac:dyDescent="0.3">
      <c r="A923" s="26">
        <v>45328</v>
      </c>
      <c r="B923" t="s">
        <v>876</v>
      </c>
      <c r="C923" t="s">
        <v>1441</v>
      </c>
      <c r="D923">
        <v>0.08</v>
      </c>
      <c r="E923" t="s">
        <v>657</v>
      </c>
      <c r="F923" t="s">
        <v>754</v>
      </c>
      <c r="H923" t="s">
        <v>30</v>
      </c>
      <c r="I923" s="28" t="s">
        <v>25</v>
      </c>
    </row>
    <row r="924" spans="1:9" x14ac:dyDescent="0.3">
      <c r="A924" s="26">
        <v>45328</v>
      </c>
      <c r="B924" t="s">
        <v>877</v>
      </c>
      <c r="C924" t="s">
        <v>878</v>
      </c>
      <c r="D924">
        <v>1.5</v>
      </c>
      <c r="E924" t="s">
        <v>882</v>
      </c>
      <c r="F924" t="s">
        <v>754</v>
      </c>
      <c r="G924" t="s">
        <v>1588</v>
      </c>
      <c r="H924" t="s">
        <v>30</v>
      </c>
      <c r="I924" s="28" t="s">
        <v>25</v>
      </c>
    </row>
    <row r="925" spans="1:9" x14ac:dyDescent="0.3">
      <c r="A925" s="26">
        <v>45328</v>
      </c>
      <c r="B925" t="s">
        <v>877</v>
      </c>
      <c r="C925" t="s">
        <v>878</v>
      </c>
      <c r="D925">
        <v>7.17</v>
      </c>
      <c r="E925" t="s">
        <v>879</v>
      </c>
      <c r="F925" t="s">
        <v>754</v>
      </c>
      <c r="G925" t="s">
        <v>1589</v>
      </c>
      <c r="H925" t="s">
        <v>30</v>
      </c>
      <c r="I925" s="28" t="s">
        <v>25</v>
      </c>
    </row>
    <row r="926" spans="1:9" x14ac:dyDescent="0.3">
      <c r="A926" s="26">
        <v>45328</v>
      </c>
      <c r="B926" t="s">
        <v>884</v>
      </c>
      <c r="C926" t="s">
        <v>753</v>
      </c>
      <c r="D926">
        <v>0.33</v>
      </c>
      <c r="E926" t="s">
        <v>885</v>
      </c>
      <c r="F926" t="s">
        <v>754</v>
      </c>
      <c r="G926" t="s">
        <v>1590</v>
      </c>
      <c r="H926" t="s">
        <v>30</v>
      </c>
      <c r="I926" s="28" t="s">
        <v>25</v>
      </c>
    </row>
    <row r="927" spans="1:9" x14ac:dyDescent="0.3">
      <c r="A927" s="26">
        <v>45328</v>
      </c>
      <c r="B927" t="s">
        <v>884</v>
      </c>
      <c r="C927" t="s">
        <v>753</v>
      </c>
      <c r="D927">
        <v>0.77</v>
      </c>
      <c r="E927" t="s">
        <v>248</v>
      </c>
      <c r="F927" t="s">
        <v>754</v>
      </c>
      <c r="G927" t="s">
        <v>1591</v>
      </c>
      <c r="H927" t="s">
        <v>30</v>
      </c>
      <c r="I927" s="28" t="s">
        <v>25</v>
      </c>
    </row>
    <row r="928" spans="1:9" x14ac:dyDescent="0.3">
      <c r="A928" s="26">
        <v>45328</v>
      </c>
      <c r="B928" t="s">
        <v>884</v>
      </c>
      <c r="C928" t="s">
        <v>753</v>
      </c>
      <c r="D928">
        <v>1.1499999999999999</v>
      </c>
      <c r="E928" t="s">
        <v>562</v>
      </c>
      <c r="F928" t="s">
        <v>754</v>
      </c>
      <c r="G928" t="s">
        <v>1592</v>
      </c>
      <c r="H928" t="s">
        <v>30</v>
      </c>
      <c r="I928" s="28" t="s">
        <v>25</v>
      </c>
    </row>
    <row r="929" spans="1:9" x14ac:dyDescent="0.3">
      <c r="A929" s="26">
        <v>45328</v>
      </c>
      <c r="B929" t="s">
        <v>884</v>
      </c>
      <c r="C929" t="s">
        <v>753</v>
      </c>
      <c r="D929">
        <v>1.55</v>
      </c>
      <c r="E929" t="s">
        <v>375</v>
      </c>
      <c r="F929" t="s">
        <v>754</v>
      </c>
      <c r="H929" t="s">
        <v>30</v>
      </c>
      <c r="I929" s="28" t="s">
        <v>25</v>
      </c>
    </row>
    <row r="930" spans="1:9" x14ac:dyDescent="0.3">
      <c r="A930" s="26">
        <v>45328</v>
      </c>
      <c r="B930" t="s">
        <v>884</v>
      </c>
      <c r="C930" t="s">
        <v>753</v>
      </c>
      <c r="D930">
        <v>1.95</v>
      </c>
      <c r="E930" t="s">
        <v>375</v>
      </c>
      <c r="F930" t="s">
        <v>754</v>
      </c>
      <c r="G930" t="s">
        <v>1593</v>
      </c>
      <c r="H930" t="s">
        <v>30</v>
      </c>
      <c r="I930" s="28" t="s">
        <v>25</v>
      </c>
    </row>
    <row r="931" spans="1:9" x14ac:dyDescent="0.3">
      <c r="A931" s="26">
        <v>45328</v>
      </c>
      <c r="B931" t="s">
        <v>884</v>
      </c>
      <c r="C931" t="s">
        <v>753</v>
      </c>
      <c r="D931">
        <v>2.3199999999999998</v>
      </c>
      <c r="E931" t="s">
        <v>562</v>
      </c>
      <c r="F931" t="s">
        <v>754</v>
      </c>
      <c r="G931" t="s">
        <v>1594</v>
      </c>
      <c r="H931" t="s">
        <v>30</v>
      </c>
      <c r="I931" s="28" t="s">
        <v>25</v>
      </c>
    </row>
    <row r="932" spans="1:9" x14ac:dyDescent="0.3">
      <c r="A932" s="26">
        <v>45328</v>
      </c>
      <c r="B932" t="s">
        <v>891</v>
      </c>
      <c r="C932" t="s">
        <v>802</v>
      </c>
      <c r="D932">
        <v>8</v>
      </c>
      <c r="E932" t="s">
        <v>7</v>
      </c>
      <c r="F932" t="s">
        <v>772</v>
      </c>
      <c r="G932" t="s">
        <v>892</v>
      </c>
      <c r="H932" t="s">
        <v>30</v>
      </c>
      <c r="I932" s="28" t="s">
        <v>25</v>
      </c>
    </row>
    <row r="933" spans="1:9" x14ac:dyDescent="0.3">
      <c r="A933" s="26">
        <v>45328</v>
      </c>
      <c r="B933" t="s">
        <v>34</v>
      </c>
      <c r="C933" t="s">
        <v>802</v>
      </c>
      <c r="D933">
        <v>8</v>
      </c>
      <c r="E933" t="s">
        <v>7</v>
      </c>
      <c r="F933" t="s">
        <v>772</v>
      </c>
      <c r="H933" t="s">
        <v>30</v>
      </c>
      <c r="I933" s="28" t="s">
        <v>25</v>
      </c>
    </row>
    <row r="934" spans="1:9" x14ac:dyDescent="0.3">
      <c r="A934" s="26">
        <v>45328</v>
      </c>
      <c r="B934" t="s">
        <v>893</v>
      </c>
      <c r="C934" t="s">
        <v>802</v>
      </c>
      <c r="D934">
        <v>8</v>
      </c>
      <c r="E934" t="s">
        <v>7</v>
      </c>
      <c r="F934" t="s">
        <v>772</v>
      </c>
      <c r="G934" t="s">
        <v>1595</v>
      </c>
      <c r="H934" t="s">
        <v>30</v>
      </c>
      <c r="I934" s="28" t="s">
        <v>25</v>
      </c>
    </row>
    <row r="935" spans="1:9" x14ac:dyDescent="0.3">
      <c r="A935" s="26">
        <v>45328</v>
      </c>
      <c r="B935" t="s">
        <v>895</v>
      </c>
      <c r="C935" t="s">
        <v>753</v>
      </c>
      <c r="D935">
        <v>0.15</v>
      </c>
      <c r="E935" t="s">
        <v>813</v>
      </c>
      <c r="F935" t="s">
        <v>754</v>
      </c>
      <c r="G935" t="s">
        <v>1596</v>
      </c>
      <c r="H935" t="s">
        <v>30</v>
      </c>
      <c r="I935" s="28" t="s">
        <v>25</v>
      </c>
    </row>
    <row r="936" spans="1:9" x14ac:dyDescent="0.3">
      <c r="A936" s="26">
        <v>45328</v>
      </c>
      <c r="B936" t="s">
        <v>895</v>
      </c>
      <c r="C936" t="s">
        <v>753</v>
      </c>
      <c r="D936">
        <v>0.15</v>
      </c>
      <c r="E936" t="s">
        <v>898</v>
      </c>
      <c r="F936" t="s">
        <v>754</v>
      </c>
      <c r="G936" t="s">
        <v>1597</v>
      </c>
      <c r="H936" t="s">
        <v>30</v>
      </c>
      <c r="I936" s="28" t="s">
        <v>25</v>
      </c>
    </row>
    <row r="937" spans="1:9" x14ac:dyDescent="0.3">
      <c r="A937" s="26">
        <v>45328</v>
      </c>
      <c r="B937" t="s">
        <v>895</v>
      </c>
      <c r="C937" t="s">
        <v>753</v>
      </c>
      <c r="D937">
        <v>0.53</v>
      </c>
      <c r="E937" t="s">
        <v>903</v>
      </c>
      <c r="F937" t="s">
        <v>754</v>
      </c>
      <c r="G937" t="s">
        <v>1598</v>
      </c>
      <c r="H937" t="s">
        <v>30</v>
      </c>
      <c r="I937" s="28" t="s">
        <v>25</v>
      </c>
    </row>
    <row r="938" spans="1:9" x14ac:dyDescent="0.3">
      <c r="A938" s="26">
        <v>45328</v>
      </c>
      <c r="B938" t="s">
        <v>895</v>
      </c>
      <c r="C938" t="s">
        <v>906</v>
      </c>
      <c r="D938">
        <v>0.1</v>
      </c>
      <c r="E938" t="s">
        <v>7</v>
      </c>
      <c r="F938" t="s">
        <v>772</v>
      </c>
      <c r="G938" t="s">
        <v>760</v>
      </c>
      <c r="H938" t="s">
        <v>30</v>
      </c>
      <c r="I938" s="28" t="s">
        <v>25</v>
      </c>
    </row>
    <row r="939" spans="1:9" x14ac:dyDescent="0.3">
      <c r="A939" s="26">
        <v>45328</v>
      </c>
      <c r="B939" t="s">
        <v>895</v>
      </c>
      <c r="C939" t="s">
        <v>906</v>
      </c>
      <c r="D939">
        <v>0.13</v>
      </c>
      <c r="E939" t="s">
        <v>7</v>
      </c>
      <c r="F939" t="s">
        <v>772</v>
      </c>
      <c r="H939" t="s">
        <v>30</v>
      </c>
      <c r="I939" s="28" t="s">
        <v>25</v>
      </c>
    </row>
    <row r="940" spans="1:9" x14ac:dyDescent="0.3">
      <c r="A940" s="26">
        <v>45328</v>
      </c>
      <c r="B940" t="s">
        <v>895</v>
      </c>
      <c r="C940" t="s">
        <v>906</v>
      </c>
      <c r="D940">
        <v>0.17</v>
      </c>
      <c r="E940" t="s">
        <v>7</v>
      </c>
      <c r="F940" t="s">
        <v>772</v>
      </c>
      <c r="G940" t="s">
        <v>1599</v>
      </c>
      <c r="H940" t="s">
        <v>30</v>
      </c>
      <c r="I940" s="28" t="s">
        <v>25</v>
      </c>
    </row>
    <row r="941" spans="1:9" x14ac:dyDescent="0.3">
      <c r="A941" s="26">
        <v>45328</v>
      </c>
      <c r="B941" t="s">
        <v>895</v>
      </c>
      <c r="C941" t="s">
        <v>771</v>
      </c>
      <c r="D941">
        <v>0.53</v>
      </c>
      <c r="E941" t="s">
        <v>7</v>
      </c>
      <c r="F941" t="s">
        <v>772</v>
      </c>
      <c r="G941" t="s">
        <v>1600</v>
      </c>
      <c r="H941" t="s">
        <v>30</v>
      </c>
      <c r="I941" s="28" t="s">
        <v>25</v>
      </c>
    </row>
    <row r="942" spans="1:9" x14ac:dyDescent="0.3">
      <c r="A942" s="26">
        <v>45328</v>
      </c>
      <c r="B942" t="s">
        <v>895</v>
      </c>
      <c r="C942" t="s">
        <v>771</v>
      </c>
      <c r="D942">
        <v>0.67</v>
      </c>
      <c r="E942" t="s">
        <v>7</v>
      </c>
      <c r="F942" t="s">
        <v>772</v>
      </c>
      <c r="G942" t="s">
        <v>1601</v>
      </c>
      <c r="H942" t="s">
        <v>30</v>
      </c>
      <c r="I942" s="28" t="s">
        <v>25</v>
      </c>
    </row>
    <row r="943" spans="1:9" x14ac:dyDescent="0.3">
      <c r="A943" s="26">
        <v>45328</v>
      </c>
      <c r="B943" t="s">
        <v>895</v>
      </c>
      <c r="C943" t="s">
        <v>776</v>
      </c>
      <c r="D943">
        <v>0.17</v>
      </c>
      <c r="E943" t="s">
        <v>903</v>
      </c>
      <c r="F943" t="s">
        <v>754</v>
      </c>
      <c r="G943" t="s">
        <v>1602</v>
      </c>
      <c r="H943" t="s">
        <v>30</v>
      </c>
      <c r="I943" s="28" t="s">
        <v>25</v>
      </c>
    </row>
    <row r="944" spans="1:9" x14ac:dyDescent="0.3">
      <c r="A944" s="26">
        <v>45328</v>
      </c>
      <c r="B944" t="s">
        <v>895</v>
      </c>
      <c r="C944" t="s">
        <v>776</v>
      </c>
      <c r="D944">
        <v>0.2</v>
      </c>
      <c r="E944" t="s">
        <v>879</v>
      </c>
      <c r="F944" t="s">
        <v>754</v>
      </c>
      <c r="G944" t="s">
        <v>1603</v>
      </c>
      <c r="H944" t="s">
        <v>30</v>
      </c>
      <c r="I944" s="28" t="s">
        <v>25</v>
      </c>
    </row>
    <row r="945" spans="1:9" x14ac:dyDescent="0.3">
      <c r="A945" s="26">
        <v>45328</v>
      </c>
      <c r="B945" t="s">
        <v>895</v>
      </c>
      <c r="C945" t="s">
        <v>776</v>
      </c>
      <c r="D945">
        <v>0.33</v>
      </c>
      <c r="E945" t="s">
        <v>879</v>
      </c>
      <c r="F945" t="s">
        <v>754</v>
      </c>
      <c r="G945" t="s">
        <v>1604</v>
      </c>
      <c r="H945" t="s">
        <v>30</v>
      </c>
      <c r="I945" s="28" t="s">
        <v>25</v>
      </c>
    </row>
    <row r="946" spans="1:9" x14ac:dyDescent="0.3">
      <c r="A946" s="26">
        <v>45328</v>
      </c>
      <c r="B946" t="s">
        <v>895</v>
      </c>
      <c r="C946" t="s">
        <v>776</v>
      </c>
      <c r="D946">
        <v>0.78</v>
      </c>
      <c r="E946" t="s">
        <v>879</v>
      </c>
      <c r="F946" t="s">
        <v>754</v>
      </c>
      <c r="G946" t="s">
        <v>1605</v>
      </c>
      <c r="H946" t="s">
        <v>30</v>
      </c>
      <c r="I946" s="28" t="s">
        <v>25</v>
      </c>
    </row>
    <row r="947" spans="1:9" x14ac:dyDescent="0.3">
      <c r="A947" s="26">
        <v>45328</v>
      </c>
      <c r="B947" t="s">
        <v>895</v>
      </c>
      <c r="C947" t="s">
        <v>776</v>
      </c>
      <c r="D947">
        <v>0.98</v>
      </c>
      <c r="E947" t="s">
        <v>879</v>
      </c>
      <c r="F947" t="s">
        <v>754</v>
      </c>
      <c r="G947" t="s">
        <v>1606</v>
      </c>
      <c r="H947" t="s">
        <v>30</v>
      </c>
      <c r="I947" s="28" t="s">
        <v>25</v>
      </c>
    </row>
    <row r="948" spans="1:9" x14ac:dyDescent="0.3">
      <c r="A948" s="26">
        <v>45328</v>
      </c>
      <c r="B948" t="s">
        <v>1391</v>
      </c>
      <c r="C948" t="s">
        <v>1094</v>
      </c>
      <c r="D948">
        <v>0.17</v>
      </c>
      <c r="E948" t="s">
        <v>455</v>
      </c>
      <c r="F948" t="s">
        <v>754</v>
      </c>
      <c r="G948" t="s">
        <v>1607</v>
      </c>
      <c r="H948" t="s">
        <v>30</v>
      </c>
      <c r="I948" s="28" t="s">
        <v>25</v>
      </c>
    </row>
    <row r="949" spans="1:9" x14ac:dyDescent="0.3">
      <c r="A949" s="26">
        <v>45328</v>
      </c>
      <c r="B949" t="s">
        <v>1391</v>
      </c>
      <c r="C949" t="s">
        <v>1094</v>
      </c>
      <c r="D949">
        <v>0.17</v>
      </c>
      <c r="E949" t="s">
        <v>455</v>
      </c>
      <c r="F949" t="s">
        <v>754</v>
      </c>
      <c r="G949" t="s">
        <v>1608</v>
      </c>
      <c r="H949" t="s">
        <v>30</v>
      </c>
      <c r="I949" s="28" t="s">
        <v>25</v>
      </c>
    </row>
    <row r="950" spans="1:9" x14ac:dyDescent="0.3">
      <c r="A950" s="26">
        <v>45328</v>
      </c>
      <c r="B950" t="s">
        <v>1391</v>
      </c>
      <c r="C950" t="s">
        <v>1094</v>
      </c>
      <c r="D950">
        <v>0.5</v>
      </c>
      <c r="E950" t="s">
        <v>455</v>
      </c>
      <c r="F950" t="s">
        <v>754</v>
      </c>
      <c r="G950" t="s">
        <v>1609</v>
      </c>
      <c r="H950" t="s">
        <v>30</v>
      </c>
      <c r="I950" s="28" t="s">
        <v>25</v>
      </c>
    </row>
    <row r="951" spans="1:9" x14ac:dyDescent="0.3">
      <c r="A951" s="26">
        <v>45328</v>
      </c>
      <c r="B951" t="s">
        <v>1391</v>
      </c>
      <c r="C951" t="s">
        <v>1094</v>
      </c>
      <c r="D951">
        <v>1.5</v>
      </c>
      <c r="E951" t="s">
        <v>455</v>
      </c>
      <c r="F951" t="s">
        <v>754</v>
      </c>
      <c r="G951" t="s">
        <v>1610</v>
      </c>
      <c r="H951" t="s">
        <v>30</v>
      </c>
      <c r="I951" s="28" t="s">
        <v>25</v>
      </c>
    </row>
    <row r="952" spans="1:9" x14ac:dyDescent="0.3">
      <c r="A952" s="26">
        <v>45328</v>
      </c>
      <c r="B952" t="s">
        <v>929</v>
      </c>
      <c r="C952" t="s">
        <v>789</v>
      </c>
      <c r="D952">
        <v>0.05</v>
      </c>
      <c r="E952" t="s">
        <v>1096</v>
      </c>
      <c r="F952" t="s">
        <v>754</v>
      </c>
      <c r="G952" t="s">
        <v>1611</v>
      </c>
      <c r="H952" t="s">
        <v>30</v>
      </c>
      <c r="I952" s="28" t="s">
        <v>25</v>
      </c>
    </row>
    <row r="953" spans="1:9" x14ac:dyDescent="0.3">
      <c r="A953" s="26">
        <v>45328</v>
      </c>
      <c r="B953" t="s">
        <v>929</v>
      </c>
      <c r="C953" t="s">
        <v>789</v>
      </c>
      <c r="D953">
        <v>0.05</v>
      </c>
      <c r="E953" t="s">
        <v>1046</v>
      </c>
      <c r="F953" t="s">
        <v>754</v>
      </c>
      <c r="G953" t="s">
        <v>755</v>
      </c>
      <c r="H953" t="s">
        <v>30</v>
      </c>
      <c r="I953" s="28" t="s">
        <v>25</v>
      </c>
    </row>
    <row r="954" spans="1:9" x14ac:dyDescent="0.3">
      <c r="A954" s="26">
        <v>45328</v>
      </c>
      <c r="B954" t="s">
        <v>929</v>
      </c>
      <c r="C954" t="s">
        <v>789</v>
      </c>
      <c r="D954">
        <v>0.05</v>
      </c>
      <c r="E954" t="s">
        <v>288</v>
      </c>
      <c r="F954" t="s">
        <v>754</v>
      </c>
      <c r="G954" t="s">
        <v>1243</v>
      </c>
      <c r="H954" t="s">
        <v>30</v>
      </c>
      <c r="I954" s="28" t="s">
        <v>25</v>
      </c>
    </row>
    <row r="955" spans="1:9" x14ac:dyDescent="0.3">
      <c r="A955" s="26">
        <v>45328</v>
      </c>
      <c r="B955" t="s">
        <v>929</v>
      </c>
      <c r="C955" t="s">
        <v>789</v>
      </c>
      <c r="D955">
        <v>0.05</v>
      </c>
      <c r="E955" t="s">
        <v>1172</v>
      </c>
      <c r="F955" t="s">
        <v>754</v>
      </c>
      <c r="G955" t="s">
        <v>755</v>
      </c>
      <c r="H955" t="s">
        <v>30</v>
      </c>
      <c r="I955" s="28" t="s">
        <v>25</v>
      </c>
    </row>
    <row r="956" spans="1:9" x14ac:dyDescent="0.3">
      <c r="A956" s="26">
        <v>45328</v>
      </c>
      <c r="B956" t="s">
        <v>929</v>
      </c>
      <c r="C956" t="s">
        <v>789</v>
      </c>
      <c r="D956">
        <v>0.08</v>
      </c>
      <c r="E956" t="s">
        <v>173</v>
      </c>
      <c r="F956" t="s">
        <v>754</v>
      </c>
      <c r="G956" t="s">
        <v>1612</v>
      </c>
      <c r="H956" t="s">
        <v>30</v>
      </c>
      <c r="I956" s="28" t="s">
        <v>25</v>
      </c>
    </row>
    <row r="957" spans="1:9" x14ac:dyDescent="0.3">
      <c r="A957" s="26">
        <v>45328</v>
      </c>
      <c r="B957" t="s">
        <v>929</v>
      </c>
      <c r="C957" t="s">
        <v>789</v>
      </c>
      <c r="D957">
        <v>0.08</v>
      </c>
      <c r="E957" t="s">
        <v>173</v>
      </c>
      <c r="F957" t="s">
        <v>754</v>
      </c>
      <c r="G957" t="s">
        <v>1613</v>
      </c>
      <c r="H957" t="s">
        <v>30</v>
      </c>
      <c r="I957" s="28" t="s">
        <v>25</v>
      </c>
    </row>
    <row r="958" spans="1:9" x14ac:dyDescent="0.3">
      <c r="A958" s="26">
        <v>45328</v>
      </c>
      <c r="B958" t="s">
        <v>929</v>
      </c>
      <c r="C958" t="s">
        <v>789</v>
      </c>
      <c r="D958">
        <v>0.08</v>
      </c>
      <c r="E958" t="s">
        <v>234</v>
      </c>
      <c r="F958" t="s">
        <v>772</v>
      </c>
      <c r="G958" t="s">
        <v>1614</v>
      </c>
      <c r="H958" t="s">
        <v>30</v>
      </c>
      <c r="I958" s="28" t="s">
        <v>25</v>
      </c>
    </row>
    <row r="959" spans="1:9" x14ac:dyDescent="0.3">
      <c r="A959" s="26">
        <v>45328</v>
      </c>
      <c r="B959" t="s">
        <v>929</v>
      </c>
      <c r="C959" t="s">
        <v>771</v>
      </c>
      <c r="D959">
        <v>0.05</v>
      </c>
      <c r="E959" t="s">
        <v>7</v>
      </c>
      <c r="F959" t="s">
        <v>772</v>
      </c>
      <c r="G959" t="s">
        <v>1615</v>
      </c>
      <c r="H959" t="s">
        <v>30</v>
      </c>
      <c r="I959" s="28" t="s">
        <v>25</v>
      </c>
    </row>
    <row r="960" spans="1:9" x14ac:dyDescent="0.3">
      <c r="A960" s="26">
        <v>45328</v>
      </c>
      <c r="B960" t="s">
        <v>929</v>
      </c>
      <c r="C960" t="s">
        <v>771</v>
      </c>
      <c r="D960">
        <v>0.15</v>
      </c>
      <c r="E960" t="s">
        <v>7</v>
      </c>
      <c r="F960" t="s">
        <v>772</v>
      </c>
      <c r="G960" t="s">
        <v>1616</v>
      </c>
      <c r="H960" t="s">
        <v>30</v>
      </c>
      <c r="I960" s="28" t="s">
        <v>25</v>
      </c>
    </row>
    <row r="961" spans="1:9" x14ac:dyDescent="0.3">
      <c r="A961" s="26">
        <v>45328</v>
      </c>
      <c r="B961" t="s">
        <v>929</v>
      </c>
      <c r="C961" t="s">
        <v>771</v>
      </c>
      <c r="D961">
        <v>0.25</v>
      </c>
      <c r="E961" t="s">
        <v>7</v>
      </c>
      <c r="F961" t="s">
        <v>772</v>
      </c>
      <c r="G961" t="s">
        <v>1617</v>
      </c>
      <c r="H961" t="s">
        <v>30</v>
      </c>
      <c r="I961" s="28" t="s">
        <v>25</v>
      </c>
    </row>
    <row r="962" spans="1:9" x14ac:dyDescent="0.3">
      <c r="A962" s="26">
        <v>45328</v>
      </c>
      <c r="B962" t="s">
        <v>929</v>
      </c>
      <c r="C962" t="s">
        <v>771</v>
      </c>
      <c r="D962">
        <v>0.25</v>
      </c>
      <c r="E962" t="s">
        <v>7</v>
      </c>
      <c r="F962" t="s">
        <v>772</v>
      </c>
      <c r="G962" t="s">
        <v>941</v>
      </c>
      <c r="H962" t="s">
        <v>30</v>
      </c>
      <c r="I962" s="28" t="s">
        <v>25</v>
      </c>
    </row>
    <row r="963" spans="1:9" x14ac:dyDescent="0.3">
      <c r="A963" s="26">
        <v>45328</v>
      </c>
      <c r="B963" t="s">
        <v>929</v>
      </c>
      <c r="C963" t="s">
        <v>771</v>
      </c>
      <c r="D963">
        <v>0.72</v>
      </c>
      <c r="E963" t="s">
        <v>7</v>
      </c>
      <c r="F963" t="s">
        <v>772</v>
      </c>
      <c r="G963" t="s">
        <v>1618</v>
      </c>
      <c r="H963" t="s">
        <v>30</v>
      </c>
      <c r="I963" s="28" t="s">
        <v>25</v>
      </c>
    </row>
    <row r="964" spans="1:9" x14ac:dyDescent="0.3">
      <c r="A964" s="26">
        <v>45328</v>
      </c>
      <c r="B964" t="s">
        <v>929</v>
      </c>
      <c r="C964" t="s">
        <v>942</v>
      </c>
      <c r="D964">
        <v>0.72</v>
      </c>
      <c r="E964" t="s">
        <v>7</v>
      </c>
      <c r="F964" t="s">
        <v>772</v>
      </c>
      <c r="G964" t="s">
        <v>1619</v>
      </c>
      <c r="H964" t="s">
        <v>30</v>
      </c>
      <c r="I964" s="28" t="s">
        <v>25</v>
      </c>
    </row>
    <row r="965" spans="1:9" x14ac:dyDescent="0.3">
      <c r="A965" s="26">
        <v>45328</v>
      </c>
      <c r="B965" t="s">
        <v>929</v>
      </c>
      <c r="C965" t="s">
        <v>1068</v>
      </c>
      <c r="D965">
        <v>1.03</v>
      </c>
      <c r="E965" t="s">
        <v>898</v>
      </c>
      <c r="F965" t="s">
        <v>754</v>
      </c>
      <c r="G965" t="s">
        <v>1620</v>
      </c>
      <c r="H965" t="s">
        <v>30</v>
      </c>
      <c r="I965" s="28" t="s">
        <v>25</v>
      </c>
    </row>
    <row r="966" spans="1:9" x14ac:dyDescent="0.3">
      <c r="A966" s="26">
        <v>45328</v>
      </c>
      <c r="B966" t="s">
        <v>929</v>
      </c>
      <c r="C966" t="s">
        <v>1441</v>
      </c>
      <c r="D966">
        <v>0.05</v>
      </c>
      <c r="E966" t="s">
        <v>79</v>
      </c>
      <c r="F966" t="s">
        <v>754</v>
      </c>
      <c r="G966" t="s">
        <v>1621</v>
      </c>
      <c r="H966" t="s">
        <v>30</v>
      </c>
      <c r="I966" s="28" t="s">
        <v>25</v>
      </c>
    </row>
    <row r="967" spans="1:9" x14ac:dyDescent="0.3">
      <c r="A967" s="26">
        <v>45328</v>
      </c>
      <c r="B967" t="s">
        <v>929</v>
      </c>
      <c r="C967" t="s">
        <v>1441</v>
      </c>
      <c r="D967">
        <v>0.05</v>
      </c>
      <c r="E967" t="s">
        <v>1096</v>
      </c>
      <c r="F967" t="s">
        <v>772</v>
      </c>
      <c r="G967" t="s">
        <v>1622</v>
      </c>
      <c r="H967" t="s">
        <v>30</v>
      </c>
      <c r="I967" s="28" t="s">
        <v>25</v>
      </c>
    </row>
    <row r="968" spans="1:9" x14ac:dyDescent="0.3">
      <c r="A968" s="26">
        <v>45328</v>
      </c>
      <c r="B968" t="s">
        <v>929</v>
      </c>
      <c r="C968" t="s">
        <v>1441</v>
      </c>
      <c r="D968">
        <v>0.05</v>
      </c>
      <c r="E968" t="s">
        <v>161</v>
      </c>
      <c r="F968" t="s">
        <v>754</v>
      </c>
      <c r="H968" t="s">
        <v>30</v>
      </c>
      <c r="I968" s="28" t="s">
        <v>25</v>
      </c>
    </row>
    <row r="969" spans="1:9" x14ac:dyDescent="0.3">
      <c r="A969" s="26">
        <v>45328</v>
      </c>
      <c r="B969" t="s">
        <v>929</v>
      </c>
      <c r="C969" t="s">
        <v>1441</v>
      </c>
      <c r="D969">
        <v>0.05</v>
      </c>
      <c r="E969" t="s">
        <v>226</v>
      </c>
      <c r="F969" t="s">
        <v>754</v>
      </c>
      <c r="H969" t="s">
        <v>30</v>
      </c>
      <c r="I969" s="28" t="s">
        <v>25</v>
      </c>
    </row>
    <row r="970" spans="1:9" x14ac:dyDescent="0.3">
      <c r="A970" s="26">
        <v>45328</v>
      </c>
      <c r="B970" t="s">
        <v>929</v>
      </c>
      <c r="C970" t="s">
        <v>1441</v>
      </c>
      <c r="D970">
        <v>0.05</v>
      </c>
      <c r="E970" t="s">
        <v>1069</v>
      </c>
      <c r="F970" t="s">
        <v>754</v>
      </c>
      <c r="H970" t="s">
        <v>30</v>
      </c>
      <c r="I970" s="28" t="s">
        <v>25</v>
      </c>
    </row>
    <row r="971" spans="1:9" x14ac:dyDescent="0.3">
      <c r="A971" s="26">
        <v>45328</v>
      </c>
      <c r="B971" t="s">
        <v>929</v>
      </c>
      <c r="C971" t="s">
        <v>1441</v>
      </c>
      <c r="D971">
        <v>0.05</v>
      </c>
      <c r="E971" t="s">
        <v>516</v>
      </c>
      <c r="F971" t="s">
        <v>754</v>
      </c>
      <c r="H971" t="s">
        <v>30</v>
      </c>
      <c r="I971" s="28" t="s">
        <v>25</v>
      </c>
    </row>
    <row r="972" spans="1:9" x14ac:dyDescent="0.3">
      <c r="A972" s="26">
        <v>45328</v>
      </c>
      <c r="B972" t="s">
        <v>929</v>
      </c>
      <c r="C972" t="s">
        <v>1441</v>
      </c>
      <c r="D972">
        <v>0.05</v>
      </c>
      <c r="E972" t="s">
        <v>589</v>
      </c>
      <c r="F972" t="s">
        <v>772</v>
      </c>
      <c r="G972" t="s">
        <v>1623</v>
      </c>
      <c r="H972" t="s">
        <v>30</v>
      </c>
      <c r="I972" s="28" t="s">
        <v>25</v>
      </c>
    </row>
    <row r="973" spans="1:9" x14ac:dyDescent="0.3">
      <c r="A973" s="26">
        <v>45328</v>
      </c>
      <c r="B973" t="s">
        <v>929</v>
      </c>
      <c r="C973" t="s">
        <v>1441</v>
      </c>
      <c r="D973">
        <v>0.05</v>
      </c>
      <c r="E973" t="s">
        <v>623</v>
      </c>
      <c r="F973" t="s">
        <v>754</v>
      </c>
      <c r="H973" t="s">
        <v>30</v>
      </c>
      <c r="I973" s="28" t="s">
        <v>25</v>
      </c>
    </row>
    <row r="974" spans="1:9" x14ac:dyDescent="0.3">
      <c r="A974" s="26">
        <v>45328</v>
      </c>
      <c r="B974" t="s">
        <v>929</v>
      </c>
      <c r="C974" t="s">
        <v>1441</v>
      </c>
      <c r="D974">
        <v>0.05</v>
      </c>
      <c r="E974" t="s">
        <v>655</v>
      </c>
      <c r="F974" t="s">
        <v>754</v>
      </c>
      <c r="H974" t="s">
        <v>30</v>
      </c>
      <c r="I974" s="28" t="s">
        <v>25</v>
      </c>
    </row>
    <row r="975" spans="1:9" x14ac:dyDescent="0.3">
      <c r="A975" s="26">
        <v>45328</v>
      </c>
      <c r="B975" t="s">
        <v>929</v>
      </c>
      <c r="C975" t="s">
        <v>1441</v>
      </c>
      <c r="D975">
        <v>7.0000000000000007E-2</v>
      </c>
      <c r="E975" t="s">
        <v>79</v>
      </c>
      <c r="F975" t="s">
        <v>754</v>
      </c>
      <c r="H975" t="s">
        <v>30</v>
      </c>
      <c r="I975" s="28" t="s">
        <v>25</v>
      </c>
    </row>
    <row r="976" spans="1:9" x14ac:dyDescent="0.3">
      <c r="A976" s="26">
        <v>45328</v>
      </c>
      <c r="B976" t="s">
        <v>929</v>
      </c>
      <c r="C976" t="s">
        <v>1441</v>
      </c>
      <c r="D976">
        <v>7.0000000000000007E-2</v>
      </c>
      <c r="E976" t="s">
        <v>161</v>
      </c>
      <c r="F976" t="s">
        <v>754</v>
      </c>
      <c r="G976" t="s">
        <v>1624</v>
      </c>
      <c r="H976" t="s">
        <v>30</v>
      </c>
      <c r="I976" s="28" t="s">
        <v>25</v>
      </c>
    </row>
    <row r="977" spans="1:9" x14ac:dyDescent="0.3">
      <c r="A977" s="26">
        <v>45328</v>
      </c>
      <c r="B977" t="s">
        <v>929</v>
      </c>
      <c r="C977" t="s">
        <v>1441</v>
      </c>
      <c r="D977">
        <v>7.0000000000000007E-2</v>
      </c>
      <c r="E977" t="s">
        <v>226</v>
      </c>
      <c r="F977" t="s">
        <v>754</v>
      </c>
      <c r="G977" t="s">
        <v>1624</v>
      </c>
      <c r="H977" t="s">
        <v>30</v>
      </c>
      <c r="I977" s="28" t="s">
        <v>25</v>
      </c>
    </row>
    <row r="978" spans="1:9" x14ac:dyDescent="0.3">
      <c r="A978" s="26">
        <v>45328</v>
      </c>
      <c r="B978" t="s">
        <v>929</v>
      </c>
      <c r="C978" t="s">
        <v>1441</v>
      </c>
      <c r="D978">
        <v>7.0000000000000007E-2</v>
      </c>
      <c r="E978" t="s">
        <v>1013</v>
      </c>
      <c r="F978" t="s">
        <v>772</v>
      </c>
      <c r="G978" t="s">
        <v>1625</v>
      </c>
      <c r="H978" t="s">
        <v>30</v>
      </c>
      <c r="I978" s="28" t="s">
        <v>25</v>
      </c>
    </row>
    <row r="979" spans="1:9" x14ac:dyDescent="0.3">
      <c r="A979" s="26">
        <v>45328</v>
      </c>
      <c r="B979" t="s">
        <v>929</v>
      </c>
      <c r="C979" t="s">
        <v>1441</v>
      </c>
      <c r="D979">
        <v>7.0000000000000007E-2</v>
      </c>
      <c r="E979" t="s">
        <v>623</v>
      </c>
      <c r="F979" t="s">
        <v>754</v>
      </c>
      <c r="G979" t="s">
        <v>1626</v>
      </c>
      <c r="H979" t="s">
        <v>30</v>
      </c>
      <c r="I979" s="28" t="s">
        <v>25</v>
      </c>
    </row>
    <row r="980" spans="1:9" x14ac:dyDescent="0.3">
      <c r="A980" s="26">
        <v>45328</v>
      </c>
      <c r="B980" t="s">
        <v>929</v>
      </c>
      <c r="C980" t="s">
        <v>1441</v>
      </c>
      <c r="D980">
        <v>0.08</v>
      </c>
      <c r="E980" t="s">
        <v>1069</v>
      </c>
      <c r="F980" t="s">
        <v>754</v>
      </c>
      <c r="G980" t="s">
        <v>1627</v>
      </c>
      <c r="H980" t="s">
        <v>30</v>
      </c>
      <c r="I980" s="28" t="s">
        <v>25</v>
      </c>
    </row>
    <row r="981" spans="1:9" x14ac:dyDescent="0.3">
      <c r="A981" s="26">
        <v>45328</v>
      </c>
      <c r="B981" t="s">
        <v>929</v>
      </c>
      <c r="C981" t="s">
        <v>1441</v>
      </c>
      <c r="D981">
        <v>0.1</v>
      </c>
      <c r="E981" t="s">
        <v>516</v>
      </c>
      <c r="F981" t="s">
        <v>754</v>
      </c>
      <c r="G981" t="s">
        <v>1628</v>
      </c>
      <c r="H981" t="s">
        <v>30</v>
      </c>
      <c r="I981" s="28" t="s">
        <v>25</v>
      </c>
    </row>
    <row r="982" spans="1:9" x14ac:dyDescent="0.3">
      <c r="A982" s="26">
        <v>45328</v>
      </c>
      <c r="B982" t="s">
        <v>929</v>
      </c>
      <c r="C982" t="s">
        <v>1441</v>
      </c>
      <c r="D982">
        <v>0.1</v>
      </c>
      <c r="E982" t="s">
        <v>655</v>
      </c>
      <c r="F982" t="s">
        <v>754</v>
      </c>
      <c r="G982" t="s">
        <v>1624</v>
      </c>
      <c r="H982" t="s">
        <v>30</v>
      </c>
      <c r="I982" s="28" t="s">
        <v>25</v>
      </c>
    </row>
    <row r="983" spans="1:9" x14ac:dyDescent="0.3">
      <c r="A983" s="26">
        <v>45328</v>
      </c>
      <c r="B983" t="s">
        <v>929</v>
      </c>
      <c r="C983" t="s">
        <v>1441</v>
      </c>
      <c r="D983">
        <v>0.12</v>
      </c>
      <c r="E983" t="s">
        <v>201</v>
      </c>
      <c r="F983" t="s">
        <v>754</v>
      </c>
      <c r="H983" t="s">
        <v>30</v>
      </c>
      <c r="I983" s="28" t="s">
        <v>25</v>
      </c>
    </row>
    <row r="984" spans="1:9" x14ac:dyDescent="0.3">
      <c r="A984" s="26">
        <v>45328</v>
      </c>
      <c r="B984" t="s">
        <v>929</v>
      </c>
      <c r="C984" t="s">
        <v>1441</v>
      </c>
      <c r="D984">
        <v>0.13</v>
      </c>
      <c r="E984" t="s">
        <v>561</v>
      </c>
      <c r="F984" t="s">
        <v>754</v>
      </c>
      <c r="G984" t="s">
        <v>1624</v>
      </c>
      <c r="H984" t="s">
        <v>30</v>
      </c>
      <c r="I984" s="28" t="s">
        <v>25</v>
      </c>
    </row>
    <row r="985" spans="1:9" x14ac:dyDescent="0.3">
      <c r="A985" s="26">
        <v>45328</v>
      </c>
      <c r="B985" t="s">
        <v>929</v>
      </c>
      <c r="C985" t="s">
        <v>1441</v>
      </c>
      <c r="D985">
        <v>0.13</v>
      </c>
      <c r="E985" t="s">
        <v>659</v>
      </c>
      <c r="F985" t="s">
        <v>754</v>
      </c>
      <c r="G985" t="s">
        <v>1624</v>
      </c>
      <c r="H985" t="s">
        <v>30</v>
      </c>
      <c r="I985" s="28" t="s">
        <v>25</v>
      </c>
    </row>
    <row r="986" spans="1:9" x14ac:dyDescent="0.3">
      <c r="A986" s="26">
        <v>45328</v>
      </c>
      <c r="B986" t="s">
        <v>929</v>
      </c>
      <c r="C986" t="s">
        <v>1441</v>
      </c>
      <c r="D986">
        <v>0.15</v>
      </c>
      <c r="E986" t="s">
        <v>7</v>
      </c>
      <c r="F986" t="s">
        <v>754</v>
      </c>
      <c r="G986" t="s">
        <v>1629</v>
      </c>
      <c r="H986" t="s">
        <v>30</v>
      </c>
      <c r="I986" s="28" t="s">
        <v>25</v>
      </c>
    </row>
    <row r="987" spans="1:9" x14ac:dyDescent="0.3">
      <c r="A987" s="26">
        <v>45328</v>
      </c>
      <c r="B987" t="s">
        <v>929</v>
      </c>
      <c r="C987" t="s">
        <v>1441</v>
      </c>
      <c r="D987">
        <v>0.15</v>
      </c>
      <c r="E987" t="s">
        <v>375</v>
      </c>
      <c r="F987" t="s">
        <v>754</v>
      </c>
      <c r="G987" t="s">
        <v>1624</v>
      </c>
      <c r="H987" t="s">
        <v>30</v>
      </c>
      <c r="I987" s="28" t="s">
        <v>25</v>
      </c>
    </row>
    <row r="988" spans="1:9" x14ac:dyDescent="0.3">
      <c r="A988" s="26">
        <v>45328</v>
      </c>
      <c r="B988" t="s">
        <v>929</v>
      </c>
      <c r="C988" t="s">
        <v>1441</v>
      </c>
      <c r="D988">
        <v>0.17</v>
      </c>
      <c r="E988" t="s">
        <v>1084</v>
      </c>
      <c r="F988" t="s">
        <v>754</v>
      </c>
      <c r="G988" t="s">
        <v>1629</v>
      </c>
      <c r="H988" t="s">
        <v>30</v>
      </c>
      <c r="I988" s="28" t="s">
        <v>25</v>
      </c>
    </row>
    <row r="989" spans="1:9" x14ac:dyDescent="0.3">
      <c r="A989" s="26">
        <v>45328</v>
      </c>
      <c r="B989" t="s">
        <v>929</v>
      </c>
      <c r="C989" t="s">
        <v>1441</v>
      </c>
      <c r="D989">
        <v>0.18</v>
      </c>
      <c r="E989" t="s">
        <v>519</v>
      </c>
      <c r="F989" t="s">
        <v>754</v>
      </c>
      <c r="G989" t="s">
        <v>1624</v>
      </c>
      <c r="H989" t="s">
        <v>30</v>
      </c>
      <c r="I989" s="28" t="s">
        <v>25</v>
      </c>
    </row>
    <row r="990" spans="1:9" x14ac:dyDescent="0.3">
      <c r="A990" s="26">
        <v>45328</v>
      </c>
      <c r="B990" t="s">
        <v>929</v>
      </c>
      <c r="C990" t="s">
        <v>916</v>
      </c>
      <c r="D990">
        <v>0.05</v>
      </c>
      <c r="E990" t="s">
        <v>1013</v>
      </c>
      <c r="F990" t="s">
        <v>754</v>
      </c>
      <c r="G990" t="s">
        <v>1625</v>
      </c>
      <c r="H990" t="s">
        <v>30</v>
      </c>
      <c r="I990" s="28" t="s">
        <v>25</v>
      </c>
    </row>
    <row r="991" spans="1:9" x14ac:dyDescent="0.3">
      <c r="A991" s="26">
        <v>45328</v>
      </c>
      <c r="B991" t="s">
        <v>929</v>
      </c>
      <c r="C991" t="s">
        <v>916</v>
      </c>
      <c r="D991">
        <v>0.08</v>
      </c>
      <c r="E991" t="s">
        <v>811</v>
      </c>
      <c r="F991" t="s">
        <v>754</v>
      </c>
      <c r="G991" t="s">
        <v>1630</v>
      </c>
      <c r="H991" t="s">
        <v>30</v>
      </c>
      <c r="I991" s="28" t="s">
        <v>25</v>
      </c>
    </row>
    <row r="992" spans="1:9" x14ac:dyDescent="0.3">
      <c r="A992" s="26">
        <v>45328</v>
      </c>
      <c r="B992" t="s">
        <v>929</v>
      </c>
      <c r="C992" t="s">
        <v>916</v>
      </c>
      <c r="D992">
        <v>0.15</v>
      </c>
      <c r="E992" t="s">
        <v>1631</v>
      </c>
      <c r="F992" t="s">
        <v>754</v>
      </c>
      <c r="G992" t="s">
        <v>1632</v>
      </c>
      <c r="H992" t="s">
        <v>30</v>
      </c>
      <c r="I992" s="28" t="s">
        <v>25</v>
      </c>
    </row>
    <row r="993" spans="1:9" x14ac:dyDescent="0.3">
      <c r="A993" s="26">
        <v>45328</v>
      </c>
      <c r="B993" t="s">
        <v>929</v>
      </c>
      <c r="C993" t="s">
        <v>916</v>
      </c>
      <c r="D993">
        <v>0.17</v>
      </c>
      <c r="E993" t="s">
        <v>1631</v>
      </c>
      <c r="F993" t="s">
        <v>772</v>
      </c>
      <c r="G993" t="s">
        <v>1633</v>
      </c>
      <c r="H993" t="s">
        <v>30</v>
      </c>
      <c r="I993" s="28" t="s">
        <v>25</v>
      </c>
    </row>
    <row r="994" spans="1:9" x14ac:dyDescent="0.3">
      <c r="A994" s="26">
        <v>45328</v>
      </c>
      <c r="B994" t="s">
        <v>929</v>
      </c>
      <c r="C994" t="s">
        <v>916</v>
      </c>
      <c r="D994">
        <v>0.17</v>
      </c>
      <c r="E994" t="s">
        <v>173</v>
      </c>
      <c r="F994" t="s">
        <v>772</v>
      </c>
      <c r="G994" t="s">
        <v>1634</v>
      </c>
      <c r="H994" t="s">
        <v>30</v>
      </c>
      <c r="I994" s="28" t="s">
        <v>25</v>
      </c>
    </row>
    <row r="995" spans="1:9" x14ac:dyDescent="0.3">
      <c r="A995" s="26">
        <v>45328</v>
      </c>
      <c r="B995" t="s">
        <v>929</v>
      </c>
      <c r="C995" t="s">
        <v>916</v>
      </c>
      <c r="D995">
        <v>0.48</v>
      </c>
      <c r="E995" t="s">
        <v>1150</v>
      </c>
      <c r="F995" t="s">
        <v>772</v>
      </c>
      <c r="G995" t="s">
        <v>1635</v>
      </c>
      <c r="H995" t="s">
        <v>30</v>
      </c>
      <c r="I995" s="28" t="s">
        <v>25</v>
      </c>
    </row>
    <row r="996" spans="1:9" x14ac:dyDescent="0.3">
      <c r="A996" s="26">
        <v>45328</v>
      </c>
      <c r="B996" t="s">
        <v>929</v>
      </c>
      <c r="C996" t="s">
        <v>982</v>
      </c>
      <c r="D996">
        <v>0.17</v>
      </c>
      <c r="E996" t="s">
        <v>7</v>
      </c>
      <c r="F996" t="s">
        <v>772</v>
      </c>
      <c r="G996" t="s">
        <v>1636</v>
      </c>
      <c r="H996" t="s">
        <v>30</v>
      </c>
      <c r="I996" s="28" t="s">
        <v>25</v>
      </c>
    </row>
    <row r="997" spans="1:9" x14ac:dyDescent="0.3">
      <c r="A997" s="26">
        <v>45328</v>
      </c>
      <c r="B997" t="s">
        <v>929</v>
      </c>
      <c r="C997" t="s">
        <v>982</v>
      </c>
      <c r="D997">
        <v>0.18</v>
      </c>
      <c r="E997" t="s">
        <v>7</v>
      </c>
      <c r="F997" t="s">
        <v>772</v>
      </c>
      <c r="G997" t="s">
        <v>1637</v>
      </c>
      <c r="H997" t="s">
        <v>30</v>
      </c>
      <c r="I997" s="28" t="s">
        <v>25</v>
      </c>
    </row>
    <row r="998" spans="1:9" x14ac:dyDescent="0.3">
      <c r="A998" s="26">
        <v>45328</v>
      </c>
      <c r="B998" t="s">
        <v>929</v>
      </c>
      <c r="C998" t="s">
        <v>874</v>
      </c>
      <c r="D998">
        <v>0.15</v>
      </c>
      <c r="E998" t="s">
        <v>7</v>
      </c>
      <c r="F998" t="s">
        <v>772</v>
      </c>
      <c r="G998" t="s">
        <v>1638</v>
      </c>
      <c r="H998" t="s">
        <v>30</v>
      </c>
      <c r="I998" s="28" t="s">
        <v>25</v>
      </c>
    </row>
    <row r="999" spans="1:9" x14ac:dyDescent="0.3">
      <c r="A999" s="26">
        <v>45328</v>
      </c>
      <c r="B999" t="s">
        <v>929</v>
      </c>
      <c r="C999" t="s">
        <v>874</v>
      </c>
      <c r="D999">
        <v>0.5</v>
      </c>
      <c r="E999" t="s">
        <v>7</v>
      </c>
      <c r="F999" t="s">
        <v>772</v>
      </c>
      <c r="G999" t="s">
        <v>1639</v>
      </c>
      <c r="H999" t="s">
        <v>30</v>
      </c>
      <c r="I999" s="28" t="s">
        <v>25</v>
      </c>
    </row>
    <row r="1000" spans="1:9" x14ac:dyDescent="0.3">
      <c r="A1000" s="26">
        <v>45328</v>
      </c>
      <c r="B1000" t="s">
        <v>929</v>
      </c>
      <c r="C1000" t="s">
        <v>954</v>
      </c>
      <c r="D1000">
        <v>0.1</v>
      </c>
      <c r="E1000" t="s">
        <v>7</v>
      </c>
      <c r="F1000" t="s">
        <v>772</v>
      </c>
      <c r="G1000" t="s">
        <v>1640</v>
      </c>
      <c r="H1000" t="s">
        <v>30</v>
      </c>
      <c r="I1000" s="28" t="s">
        <v>25</v>
      </c>
    </row>
    <row r="1001" spans="1:9" x14ac:dyDescent="0.3">
      <c r="A1001" s="26">
        <v>45328</v>
      </c>
      <c r="B1001" t="s">
        <v>929</v>
      </c>
      <c r="C1001" t="s">
        <v>954</v>
      </c>
      <c r="D1001">
        <v>0.12</v>
      </c>
      <c r="E1001" t="s">
        <v>7</v>
      </c>
      <c r="F1001" t="s">
        <v>772</v>
      </c>
      <c r="G1001" t="s">
        <v>1641</v>
      </c>
      <c r="H1001" t="s">
        <v>30</v>
      </c>
      <c r="I1001" s="28" t="s">
        <v>25</v>
      </c>
    </row>
    <row r="1002" spans="1:9" x14ac:dyDescent="0.3">
      <c r="A1002" s="26">
        <v>45328</v>
      </c>
      <c r="B1002" t="s">
        <v>959</v>
      </c>
      <c r="C1002" t="s">
        <v>878</v>
      </c>
      <c r="D1002">
        <v>2</v>
      </c>
      <c r="E1002" t="s">
        <v>1409</v>
      </c>
      <c r="F1002" t="s">
        <v>754</v>
      </c>
      <c r="G1002" t="s">
        <v>1642</v>
      </c>
      <c r="H1002" t="s">
        <v>30</v>
      </c>
      <c r="I1002" s="28" t="s">
        <v>25</v>
      </c>
    </row>
    <row r="1003" spans="1:9" x14ac:dyDescent="0.3">
      <c r="A1003" s="26">
        <v>45328</v>
      </c>
      <c r="B1003" t="s">
        <v>959</v>
      </c>
      <c r="C1003" t="s">
        <v>878</v>
      </c>
      <c r="D1003">
        <v>6</v>
      </c>
      <c r="E1003" t="s">
        <v>430</v>
      </c>
      <c r="F1003" t="s">
        <v>754</v>
      </c>
      <c r="G1003" t="s">
        <v>1643</v>
      </c>
      <c r="H1003" t="s">
        <v>30</v>
      </c>
      <c r="I1003" s="28" t="s">
        <v>25</v>
      </c>
    </row>
    <row r="1004" spans="1:9" x14ac:dyDescent="0.3">
      <c r="A1004" s="26">
        <v>45328</v>
      </c>
      <c r="B1004" t="s">
        <v>961</v>
      </c>
      <c r="C1004" t="s">
        <v>753</v>
      </c>
      <c r="D1004">
        <v>1.03</v>
      </c>
      <c r="E1004" t="s">
        <v>717</v>
      </c>
      <c r="F1004" t="s">
        <v>754</v>
      </c>
      <c r="H1004" t="s">
        <v>30</v>
      </c>
      <c r="I1004" s="28" t="s">
        <v>25</v>
      </c>
    </row>
    <row r="1005" spans="1:9" x14ac:dyDescent="0.3">
      <c r="A1005" s="26">
        <v>45328</v>
      </c>
      <c r="B1005" t="s">
        <v>961</v>
      </c>
      <c r="C1005" t="s">
        <v>753</v>
      </c>
      <c r="D1005">
        <v>7.02</v>
      </c>
      <c r="E1005" t="s">
        <v>790</v>
      </c>
      <c r="F1005" t="s">
        <v>754</v>
      </c>
      <c r="H1005" t="s">
        <v>30</v>
      </c>
      <c r="I1005" s="28" t="s">
        <v>25</v>
      </c>
    </row>
    <row r="1006" spans="1:9" x14ac:dyDescent="0.3">
      <c r="A1006" s="26">
        <v>45328</v>
      </c>
      <c r="B1006" t="s">
        <v>962</v>
      </c>
      <c r="C1006" t="s">
        <v>1414</v>
      </c>
      <c r="D1006">
        <v>1</v>
      </c>
      <c r="E1006" t="s">
        <v>717</v>
      </c>
      <c r="F1006" t="s">
        <v>754</v>
      </c>
      <c r="G1006" t="s">
        <v>1644</v>
      </c>
      <c r="H1006" t="s">
        <v>30</v>
      </c>
      <c r="I1006" s="28" t="s">
        <v>25</v>
      </c>
    </row>
    <row r="1007" spans="1:9" x14ac:dyDescent="0.3">
      <c r="A1007" s="26">
        <v>45328</v>
      </c>
      <c r="B1007" t="s">
        <v>966</v>
      </c>
      <c r="C1007" t="s">
        <v>967</v>
      </c>
      <c r="D1007">
        <v>0.75</v>
      </c>
      <c r="E1007" t="s">
        <v>7</v>
      </c>
      <c r="F1007" t="s">
        <v>754</v>
      </c>
      <c r="H1007" t="s">
        <v>30</v>
      </c>
      <c r="I1007" s="28" t="s">
        <v>25</v>
      </c>
    </row>
    <row r="1008" spans="1:9" x14ac:dyDescent="0.3">
      <c r="A1008" s="26">
        <v>45328</v>
      </c>
      <c r="B1008" t="s">
        <v>966</v>
      </c>
      <c r="C1008" t="s">
        <v>967</v>
      </c>
      <c r="D1008">
        <v>7.25</v>
      </c>
      <c r="E1008" t="s">
        <v>790</v>
      </c>
      <c r="F1008" t="s">
        <v>754</v>
      </c>
      <c r="H1008" t="s">
        <v>30</v>
      </c>
      <c r="I1008" s="28" t="s">
        <v>25</v>
      </c>
    </row>
    <row r="1009" spans="1:9" x14ac:dyDescent="0.3">
      <c r="A1009" s="26">
        <v>45328</v>
      </c>
      <c r="B1009" t="s">
        <v>969</v>
      </c>
      <c r="C1009" t="s">
        <v>753</v>
      </c>
      <c r="D1009">
        <v>0.68</v>
      </c>
      <c r="E1009" t="s">
        <v>790</v>
      </c>
      <c r="F1009" t="s">
        <v>754</v>
      </c>
      <c r="G1009" t="s">
        <v>1645</v>
      </c>
      <c r="H1009" t="s">
        <v>30</v>
      </c>
      <c r="I1009" s="28" t="s">
        <v>25</v>
      </c>
    </row>
    <row r="1010" spans="1:9" x14ac:dyDescent="0.3">
      <c r="A1010" s="26">
        <v>45328</v>
      </c>
      <c r="B1010" t="s">
        <v>969</v>
      </c>
      <c r="C1010" t="s">
        <v>753</v>
      </c>
      <c r="D1010">
        <v>0.85</v>
      </c>
      <c r="E1010" t="s">
        <v>7</v>
      </c>
      <c r="F1010" t="s">
        <v>772</v>
      </c>
      <c r="G1010" t="s">
        <v>1646</v>
      </c>
      <c r="H1010" t="s">
        <v>30</v>
      </c>
      <c r="I1010" s="28" t="s">
        <v>25</v>
      </c>
    </row>
    <row r="1011" spans="1:9" x14ac:dyDescent="0.3">
      <c r="A1011" s="26">
        <v>45328</v>
      </c>
      <c r="B1011" t="s">
        <v>969</v>
      </c>
      <c r="C1011" t="s">
        <v>789</v>
      </c>
      <c r="D1011">
        <v>0.27</v>
      </c>
      <c r="E1011" t="s">
        <v>7</v>
      </c>
      <c r="F1011" t="s">
        <v>772</v>
      </c>
      <c r="G1011" t="s">
        <v>1012</v>
      </c>
      <c r="H1011" t="s">
        <v>30</v>
      </c>
      <c r="I1011" s="28" t="s">
        <v>25</v>
      </c>
    </row>
    <row r="1012" spans="1:9" x14ac:dyDescent="0.3">
      <c r="A1012" s="26">
        <v>45328</v>
      </c>
      <c r="B1012" t="s">
        <v>969</v>
      </c>
      <c r="C1012" t="s">
        <v>789</v>
      </c>
      <c r="D1012">
        <v>0.9</v>
      </c>
      <c r="E1012" t="s">
        <v>7</v>
      </c>
      <c r="F1012" t="s">
        <v>772</v>
      </c>
      <c r="G1012" t="s">
        <v>1647</v>
      </c>
      <c r="H1012" t="s">
        <v>30</v>
      </c>
      <c r="I1012" s="28" t="s">
        <v>25</v>
      </c>
    </row>
    <row r="1013" spans="1:9" x14ac:dyDescent="0.3">
      <c r="A1013" s="26">
        <v>45328</v>
      </c>
      <c r="B1013" t="s">
        <v>969</v>
      </c>
      <c r="C1013" t="s">
        <v>771</v>
      </c>
      <c r="D1013">
        <v>0.57999999999999996</v>
      </c>
      <c r="E1013" t="s">
        <v>7</v>
      </c>
      <c r="F1013" t="s">
        <v>772</v>
      </c>
      <c r="G1013" t="s">
        <v>1648</v>
      </c>
      <c r="H1013" t="s">
        <v>30</v>
      </c>
      <c r="I1013" s="28" t="s">
        <v>25</v>
      </c>
    </row>
    <row r="1014" spans="1:9" x14ac:dyDescent="0.3">
      <c r="A1014" s="26">
        <v>45328</v>
      </c>
      <c r="B1014" t="s">
        <v>969</v>
      </c>
      <c r="C1014" t="s">
        <v>771</v>
      </c>
      <c r="D1014">
        <v>0.95</v>
      </c>
      <c r="E1014" t="s">
        <v>7</v>
      </c>
      <c r="F1014" t="s">
        <v>772</v>
      </c>
      <c r="G1014" t="s">
        <v>1649</v>
      </c>
      <c r="H1014" t="s">
        <v>30</v>
      </c>
      <c r="I1014" s="28" t="s">
        <v>25</v>
      </c>
    </row>
    <row r="1015" spans="1:9" x14ac:dyDescent="0.3">
      <c r="A1015" s="26">
        <v>45328</v>
      </c>
      <c r="B1015" t="s">
        <v>969</v>
      </c>
      <c r="C1015" t="s">
        <v>771</v>
      </c>
      <c r="D1015">
        <v>1.98</v>
      </c>
      <c r="E1015" t="s">
        <v>7</v>
      </c>
      <c r="F1015" t="s">
        <v>772</v>
      </c>
      <c r="G1015" t="s">
        <v>1650</v>
      </c>
      <c r="H1015" t="s">
        <v>30</v>
      </c>
      <c r="I1015" s="28" t="s">
        <v>25</v>
      </c>
    </row>
    <row r="1016" spans="1:9" x14ac:dyDescent="0.3">
      <c r="A1016" s="26">
        <v>45328</v>
      </c>
      <c r="B1016" t="s">
        <v>969</v>
      </c>
      <c r="C1016" t="s">
        <v>835</v>
      </c>
      <c r="D1016">
        <v>0.33</v>
      </c>
      <c r="E1016" t="s">
        <v>7</v>
      </c>
      <c r="F1016" t="s">
        <v>772</v>
      </c>
      <c r="G1016" t="s">
        <v>976</v>
      </c>
      <c r="H1016" t="s">
        <v>30</v>
      </c>
      <c r="I1016" s="28" t="s">
        <v>25</v>
      </c>
    </row>
    <row r="1017" spans="1:9" x14ac:dyDescent="0.3">
      <c r="A1017" s="26">
        <v>45328</v>
      </c>
      <c r="B1017" t="s">
        <v>969</v>
      </c>
      <c r="C1017" t="s">
        <v>835</v>
      </c>
      <c r="D1017">
        <v>0.35</v>
      </c>
      <c r="E1017" t="s">
        <v>790</v>
      </c>
      <c r="F1017" t="s">
        <v>754</v>
      </c>
      <c r="G1017" t="s">
        <v>1651</v>
      </c>
      <c r="H1017" t="s">
        <v>30</v>
      </c>
      <c r="I1017" s="28" t="s">
        <v>25</v>
      </c>
    </row>
    <row r="1018" spans="1:9" x14ac:dyDescent="0.3">
      <c r="A1018" s="26">
        <v>45328</v>
      </c>
      <c r="B1018" t="s">
        <v>969</v>
      </c>
      <c r="C1018" t="s">
        <v>835</v>
      </c>
      <c r="D1018">
        <v>0.47</v>
      </c>
      <c r="E1018" t="s">
        <v>790</v>
      </c>
      <c r="F1018" t="s">
        <v>754</v>
      </c>
      <c r="G1018" t="s">
        <v>976</v>
      </c>
      <c r="H1018" t="s">
        <v>30</v>
      </c>
      <c r="I1018" s="28" t="s">
        <v>25</v>
      </c>
    </row>
    <row r="1019" spans="1:9" x14ac:dyDescent="0.3">
      <c r="A1019" s="26">
        <v>45328</v>
      </c>
      <c r="B1019" t="s">
        <v>969</v>
      </c>
      <c r="C1019" t="s">
        <v>776</v>
      </c>
      <c r="D1019">
        <v>0.65</v>
      </c>
      <c r="E1019" t="s">
        <v>7</v>
      </c>
      <c r="F1019" t="s">
        <v>772</v>
      </c>
      <c r="G1019" t="s">
        <v>1652</v>
      </c>
      <c r="H1019" t="s">
        <v>30</v>
      </c>
      <c r="I1019" s="28" t="s">
        <v>25</v>
      </c>
    </row>
    <row r="1020" spans="1:9" x14ac:dyDescent="0.3">
      <c r="A1020" s="26">
        <v>45328</v>
      </c>
      <c r="B1020" t="s">
        <v>977</v>
      </c>
      <c r="C1020" t="s">
        <v>753</v>
      </c>
      <c r="D1020">
        <v>2.12</v>
      </c>
      <c r="E1020" t="s">
        <v>978</v>
      </c>
      <c r="F1020" t="s">
        <v>754</v>
      </c>
      <c r="G1020" t="s">
        <v>1653</v>
      </c>
      <c r="H1020" t="s">
        <v>30</v>
      </c>
      <c r="I1020" s="28" t="s">
        <v>25</v>
      </c>
    </row>
    <row r="1021" spans="1:9" x14ac:dyDescent="0.3">
      <c r="A1021" s="26">
        <v>45328</v>
      </c>
      <c r="B1021" t="s">
        <v>977</v>
      </c>
      <c r="C1021" t="s">
        <v>753</v>
      </c>
      <c r="D1021">
        <v>5.38</v>
      </c>
      <c r="E1021" t="s">
        <v>978</v>
      </c>
      <c r="F1021" t="s">
        <v>754</v>
      </c>
      <c r="G1021" t="s">
        <v>1654</v>
      </c>
      <c r="H1021" t="s">
        <v>30</v>
      </c>
      <c r="I1021" s="28" t="s">
        <v>25</v>
      </c>
    </row>
    <row r="1022" spans="1:9" x14ac:dyDescent="0.3">
      <c r="A1022" s="26">
        <v>45328</v>
      </c>
      <c r="B1022" t="s">
        <v>977</v>
      </c>
      <c r="C1022" t="s">
        <v>771</v>
      </c>
      <c r="D1022">
        <v>0.5</v>
      </c>
      <c r="E1022" t="s">
        <v>7</v>
      </c>
      <c r="F1022" t="s">
        <v>772</v>
      </c>
      <c r="G1022" t="s">
        <v>820</v>
      </c>
      <c r="H1022" t="s">
        <v>30</v>
      </c>
      <c r="I1022" s="28" t="s">
        <v>25</v>
      </c>
    </row>
    <row r="1023" spans="1:9" x14ac:dyDescent="0.3">
      <c r="A1023" s="26">
        <v>45328</v>
      </c>
      <c r="B1023" t="s">
        <v>981</v>
      </c>
      <c r="C1023" t="s">
        <v>982</v>
      </c>
      <c r="D1023">
        <v>9</v>
      </c>
      <c r="E1023" t="s">
        <v>7</v>
      </c>
      <c r="F1023" t="s">
        <v>772</v>
      </c>
      <c r="G1023" t="s">
        <v>1655</v>
      </c>
      <c r="H1023" t="s">
        <v>30</v>
      </c>
      <c r="I1023" s="28" t="s">
        <v>25</v>
      </c>
    </row>
    <row r="1024" spans="1:9" x14ac:dyDescent="0.3">
      <c r="A1024" s="26">
        <v>45328</v>
      </c>
      <c r="B1024" t="s">
        <v>984</v>
      </c>
      <c r="C1024" t="s">
        <v>753</v>
      </c>
      <c r="D1024">
        <v>1.72</v>
      </c>
      <c r="E1024" t="s">
        <v>13</v>
      </c>
      <c r="F1024" t="s">
        <v>754</v>
      </c>
      <c r="G1024" t="s">
        <v>1656</v>
      </c>
      <c r="H1024" t="s">
        <v>30</v>
      </c>
      <c r="I1024" s="28" t="s">
        <v>25</v>
      </c>
    </row>
    <row r="1025" spans="1:9" x14ac:dyDescent="0.3">
      <c r="A1025" s="26">
        <v>45328</v>
      </c>
      <c r="B1025" t="s">
        <v>984</v>
      </c>
      <c r="C1025" t="s">
        <v>753</v>
      </c>
      <c r="D1025">
        <v>3.03</v>
      </c>
      <c r="E1025" t="s">
        <v>985</v>
      </c>
      <c r="F1025" t="s">
        <v>754</v>
      </c>
      <c r="G1025" t="s">
        <v>1657</v>
      </c>
      <c r="H1025" t="s">
        <v>30</v>
      </c>
      <c r="I1025" s="28" t="s">
        <v>25</v>
      </c>
    </row>
    <row r="1026" spans="1:9" x14ac:dyDescent="0.3">
      <c r="A1026" s="26">
        <v>45328</v>
      </c>
      <c r="B1026" t="s">
        <v>984</v>
      </c>
      <c r="C1026" t="s">
        <v>771</v>
      </c>
      <c r="D1026">
        <v>0.87</v>
      </c>
      <c r="E1026" t="s">
        <v>7</v>
      </c>
      <c r="F1026" t="s">
        <v>772</v>
      </c>
      <c r="H1026" t="s">
        <v>30</v>
      </c>
      <c r="I1026" s="28" t="s">
        <v>25</v>
      </c>
    </row>
    <row r="1027" spans="1:9" x14ac:dyDescent="0.3">
      <c r="A1027" s="26">
        <v>45328</v>
      </c>
      <c r="B1027" t="s">
        <v>984</v>
      </c>
      <c r="C1027" t="s">
        <v>771</v>
      </c>
      <c r="D1027">
        <v>1.7</v>
      </c>
      <c r="E1027" t="s">
        <v>7</v>
      </c>
      <c r="F1027" t="s">
        <v>772</v>
      </c>
      <c r="G1027" t="s">
        <v>1658</v>
      </c>
      <c r="H1027" t="s">
        <v>30</v>
      </c>
      <c r="I1027" s="28" t="s">
        <v>25</v>
      </c>
    </row>
    <row r="1028" spans="1:9" x14ac:dyDescent="0.3">
      <c r="A1028" s="26">
        <v>45328</v>
      </c>
      <c r="B1028" t="s">
        <v>984</v>
      </c>
      <c r="C1028" t="s">
        <v>1441</v>
      </c>
      <c r="D1028">
        <v>0.15</v>
      </c>
      <c r="E1028" t="s">
        <v>602</v>
      </c>
      <c r="F1028" t="s">
        <v>754</v>
      </c>
      <c r="G1028" t="s">
        <v>1659</v>
      </c>
      <c r="H1028" t="s">
        <v>30</v>
      </c>
      <c r="I1028" s="28" t="s">
        <v>25</v>
      </c>
    </row>
    <row r="1029" spans="1:9" x14ac:dyDescent="0.3">
      <c r="A1029" s="26">
        <v>45328</v>
      </c>
      <c r="B1029" t="s">
        <v>984</v>
      </c>
      <c r="C1029" t="s">
        <v>1441</v>
      </c>
      <c r="D1029">
        <v>0.23</v>
      </c>
      <c r="E1029" t="s">
        <v>985</v>
      </c>
      <c r="F1029" t="s">
        <v>754</v>
      </c>
      <c r="G1029" t="s">
        <v>1660</v>
      </c>
      <c r="H1029" t="s">
        <v>30</v>
      </c>
      <c r="I1029" s="28" t="s">
        <v>25</v>
      </c>
    </row>
    <row r="1030" spans="1:9" x14ac:dyDescent="0.3">
      <c r="A1030" s="26">
        <v>45328</v>
      </c>
      <c r="B1030" t="s">
        <v>984</v>
      </c>
      <c r="C1030" t="s">
        <v>874</v>
      </c>
      <c r="D1030">
        <v>0.35</v>
      </c>
      <c r="E1030" t="s">
        <v>7</v>
      </c>
      <c r="F1030" t="s">
        <v>772</v>
      </c>
      <c r="G1030" t="s">
        <v>1661</v>
      </c>
      <c r="H1030" t="s">
        <v>30</v>
      </c>
      <c r="I1030" s="28" t="s">
        <v>25</v>
      </c>
    </row>
    <row r="1031" spans="1:9" x14ac:dyDescent="0.3">
      <c r="A1031" s="26">
        <v>45328</v>
      </c>
      <c r="B1031" t="s">
        <v>991</v>
      </c>
      <c r="C1031" t="s">
        <v>992</v>
      </c>
      <c r="D1031">
        <v>0.65</v>
      </c>
      <c r="E1031" t="s">
        <v>7</v>
      </c>
      <c r="F1031" t="s">
        <v>772</v>
      </c>
      <c r="G1031" t="s">
        <v>1662</v>
      </c>
      <c r="H1031" t="s">
        <v>30</v>
      </c>
      <c r="I1031" s="28" t="s">
        <v>25</v>
      </c>
    </row>
    <row r="1032" spans="1:9" x14ac:dyDescent="0.3">
      <c r="A1032" s="26">
        <v>45328</v>
      </c>
      <c r="B1032" t="s">
        <v>991</v>
      </c>
      <c r="C1032" t="s">
        <v>992</v>
      </c>
      <c r="D1032">
        <v>1.35</v>
      </c>
      <c r="E1032" t="s">
        <v>999</v>
      </c>
      <c r="F1032" t="s">
        <v>772</v>
      </c>
      <c r="G1032" t="s">
        <v>1663</v>
      </c>
      <c r="H1032" t="s">
        <v>30</v>
      </c>
      <c r="I1032" s="28" t="s">
        <v>25</v>
      </c>
    </row>
    <row r="1033" spans="1:9" x14ac:dyDescent="0.3">
      <c r="A1033" s="26">
        <v>45328</v>
      </c>
      <c r="B1033" t="s">
        <v>991</v>
      </c>
      <c r="C1033" t="s">
        <v>992</v>
      </c>
      <c r="D1033">
        <v>1.53</v>
      </c>
      <c r="E1033" t="s">
        <v>7</v>
      </c>
      <c r="F1033" t="s">
        <v>772</v>
      </c>
      <c r="G1033" t="s">
        <v>1664</v>
      </c>
      <c r="H1033" t="s">
        <v>30</v>
      </c>
      <c r="I1033" s="28" t="s">
        <v>25</v>
      </c>
    </row>
    <row r="1034" spans="1:9" x14ac:dyDescent="0.3">
      <c r="A1034" s="26">
        <v>45328</v>
      </c>
      <c r="B1034" t="s">
        <v>991</v>
      </c>
      <c r="C1034" t="s">
        <v>835</v>
      </c>
      <c r="D1034">
        <v>1.68</v>
      </c>
      <c r="E1034" t="s">
        <v>7</v>
      </c>
      <c r="F1034" t="s">
        <v>772</v>
      </c>
      <c r="G1034" t="s">
        <v>1665</v>
      </c>
      <c r="H1034" t="s">
        <v>30</v>
      </c>
      <c r="I1034" s="28" t="s">
        <v>25</v>
      </c>
    </row>
    <row r="1035" spans="1:9" x14ac:dyDescent="0.3">
      <c r="A1035" s="26">
        <v>45328</v>
      </c>
      <c r="B1035" t="s">
        <v>991</v>
      </c>
      <c r="C1035" t="s">
        <v>776</v>
      </c>
      <c r="D1035">
        <v>0.4</v>
      </c>
      <c r="E1035" t="s">
        <v>999</v>
      </c>
      <c r="F1035" t="s">
        <v>772</v>
      </c>
      <c r="G1035" t="s">
        <v>1666</v>
      </c>
      <c r="H1035" t="s">
        <v>30</v>
      </c>
      <c r="I1035" s="28" t="s">
        <v>25</v>
      </c>
    </row>
    <row r="1036" spans="1:9" x14ac:dyDescent="0.3">
      <c r="A1036" s="26">
        <v>45328</v>
      </c>
      <c r="B1036" t="s">
        <v>991</v>
      </c>
      <c r="C1036" t="s">
        <v>776</v>
      </c>
      <c r="D1036">
        <v>0.42</v>
      </c>
      <c r="E1036" t="s">
        <v>999</v>
      </c>
      <c r="F1036" t="s">
        <v>772</v>
      </c>
      <c r="G1036" t="s">
        <v>1667</v>
      </c>
      <c r="H1036" t="s">
        <v>30</v>
      </c>
      <c r="I1036" s="28" t="s">
        <v>25</v>
      </c>
    </row>
    <row r="1037" spans="1:9" x14ac:dyDescent="0.3">
      <c r="A1037" s="26">
        <v>45328</v>
      </c>
      <c r="B1037" t="s">
        <v>991</v>
      </c>
      <c r="C1037" t="s">
        <v>776</v>
      </c>
      <c r="D1037">
        <v>3.05</v>
      </c>
      <c r="E1037" t="s">
        <v>999</v>
      </c>
      <c r="F1037" t="s">
        <v>772</v>
      </c>
      <c r="G1037" t="s">
        <v>1668</v>
      </c>
      <c r="H1037" t="s">
        <v>30</v>
      </c>
      <c r="I1037" s="28" t="s">
        <v>25</v>
      </c>
    </row>
    <row r="1038" spans="1:9" x14ac:dyDescent="0.3">
      <c r="A1038" s="26">
        <v>45328</v>
      </c>
      <c r="B1038" t="s">
        <v>1002</v>
      </c>
      <c r="C1038" t="s">
        <v>1003</v>
      </c>
      <c r="D1038">
        <v>10</v>
      </c>
      <c r="E1038" t="s">
        <v>7</v>
      </c>
      <c r="F1038" t="s">
        <v>772</v>
      </c>
      <c r="G1038" t="s">
        <v>1669</v>
      </c>
      <c r="H1038" t="s">
        <v>30</v>
      </c>
      <c r="I1038" s="28" t="s">
        <v>25</v>
      </c>
    </row>
    <row r="1039" spans="1:9" x14ac:dyDescent="0.3">
      <c r="A1039" s="26">
        <v>45328</v>
      </c>
      <c r="B1039" t="s">
        <v>1005</v>
      </c>
      <c r="C1039" t="s">
        <v>753</v>
      </c>
      <c r="D1039">
        <v>0.5</v>
      </c>
      <c r="E1039" t="s">
        <v>471</v>
      </c>
      <c r="F1039" t="s">
        <v>754</v>
      </c>
      <c r="H1039" t="s">
        <v>30</v>
      </c>
      <c r="I1039" s="28" t="s">
        <v>25</v>
      </c>
    </row>
    <row r="1040" spans="1:9" x14ac:dyDescent="0.3">
      <c r="A1040" s="26">
        <v>45328</v>
      </c>
      <c r="B1040" t="s">
        <v>1005</v>
      </c>
      <c r="C1040" t="s">
        <v>753</v>
      </c>
      <c r="D1040">
        <v>1</v>
      </c>
      <c r="E1040" t="s">
        <v>1438</v>
      </c>
      <c r="F1040" t="s">
        <v>754</v>
      </c>
      <c r="G1040" t="s">
        <v>1670</v>
      </c>
      <c r="H1040" t="s">
        <v>30</v>
      </c>
      <c r="I1040" s="28" t="s">
        <v>25</v>
      </c>
    </row>
    <row r="1041" spans="1:9" x14ac:dyDescent="0.3">
      <c r="A1041" s="26">
        <v>45328</v>
      </c>
      <c r="B1041" t="s">
        <v>1005</v>
      </c>
      <c r="C1041" t="s">
        <v>753</v>
      </c>
      <c r="D1041">
        <v>1.5</v>
      </c>
      <c r="E1041" t="s">
        <v>1438</v>
      </c>
      <c r="F1041" t="s">
        <v>754</v>
      </c>
      <c r="G1041" t="s">
        <v>1671</v>
      </c>
      <c r="H1041" t="s">
        <v>30</v>
      </c>
      <c r="I1041" s="28" t="s">
        <v>25</v>
      </c>
    </row>
    <row r="1042" spans="1:9" x14ac:dyDescent="0.3">
      <c r="A1042" s="26">
        <v>45328</v>
      </c>
      <c r="B1042" t="s">
        <v>1005</v>
      </c>
      <c r="C1042" t="s">
        <v>753</v>
      </c>
      <c r="D1042">
        <v>1.5</v>
      </c>
      <c r="E1042" t="s">
        <v>430</v>
      </c>
      <c r="F1042" t="s">
        <v>754</v>
      </c>
      <c r="G1042" t="s">
        <v>1672</v>
      </c>
      <c r="H1042" t="s">
        <v>30</v>
      </c>
      <c r="I1042" s="28" t="s">
        <v>25</v>
      </c>
    </row>
    <row r="1043" spans="1:9" x14ac:dyDescent="0.3">
      <c r="A1043" s="26">
        <v>45328</v>
      </c>
      <c r="B1043" t="s">
        <v>1005</v>
      </c>
      <c r="C1043" t="s">
        <v>776</v>
      </c>
      <c r="D1043">
        <v>0.5</v>
      </c>
      <c r="E1043" t="s">
        <v>1438</v>
      </c>
      <c r="F1043" t="s">
        <v>754</v>
      </c>
      <c r="G1043" t="s">
        <v>1673</v>
      </c>
      <c r="H1043" t="s">
        <v>30</v>
      </c>
      <c r="I1043" s="28" t="s">
        <v>25</v>
      </c>
    </row>
    <row r="1044" spans="1:9" x14ac:dyDescent="0.3">
      <c r="A1044" s="26">
        <v>45328</v>
      </c>
      <c r="B1044" t="s">
        <v>1005</v>
      </c>
      <c r="C1044" t="s">
        <v>776</v>
      </c>
      <c r="D1044">
        <v>0.5</v>
      </c>
      <c r="E1044" t="s">
        <v>1438</v>
      </c>
      <c r="F1044" t="s">
        <v>754</v>
      </c>
      <c r="G1044" t="s">
        <v>1674</v>
      </c>
      <c r="H1044" t="s">
        <v>30</v>
      </c>
      <c r="I1044" s="28" t="s">
        <v>25</v>
      </c>
    </row>
    <row r="1045" spans="1:9" x14ac:dyDescent="0.3">
      <c r="A1045" s="26">
        <v>45328</v>
      </c>
      <c r="B1045" t="s">
        <v>1006</v>
      </c>
      <c r="C1045" t="s">
        <v>909</v>
      </c>
      <c r="D1045">
        <v>0.2</v>
      </c>
      <c r="E1045" t="s">
        <v>757</v>
      </c>
      <c r="F1045" t="s">
        <v>754</v>
      </c>
      <c r="G1045" t="s">
        <v>1675</v>
      </c>
      <c r="H1045" t="s">
        <v>30</v>
      </c>
      <c r="I1045" s="28" t="s">
        <v>25</v>
      </c>
    </row>
    <row r="1046" spans="1:9" x14ac:dyDescent="0.3">
      <c r="A1046" s="26">
        <v>45328</v>
      </c>
      <c r="B1046" t="s">
        <v>1006</v>
      </c>
      <c r="C1046" t="s">
        <v>909</v>
      </c>
      <c r="D1046">
        <v>0.4</v>
      </c>
      <c r="E1046" t="s">
        <v>151</v>
      </c>
      <c r="F1046" t="s">
        <v>754</v>
      </c>
      <c r="G1046" t="s">
        <v>1676</v>
      </c>
      <c r="H1046" t="s">
        <v>30</v>
      </c>
      <c r="I1046" s="28" t="s">
        <v>25</v>
      </c>
    </row>
    <row r="1047" spans="1:9" x14ac:dyDescent="0.3">
      <c r="A1047" s="26">
        <v>45328</v>
      </c>
      <c r="B1047" t="s">
        <v>1006</v>
      </c>
      <c r="C1047" t="s">
        <v>909</v>
      </c>
      <c r="D1047">
        <v>2.72</v>
      </c>
      <c r="E1047" t="s">
        <v>757</v>
      </c>
      <c r="F1047" t="s">
        <v>772</v>
      </c>
      <c r="G1047" t="s">
        <v>1677</v>
      </c>
      <c r="H1047" t="s">
        <v>30</v>
      </c>
      <c r="I1047" s="28" t="s">
        <v>25</v>
      </c>
    </row>
    <row r="1048" spans="1:9" x14ac:dyDescent="0.3">
      <c r="A1048" s="26">
        <v>45328</v>
      </c>
      <c r="B1048" t="s">
        <v>1006</v>
      </c>
      <c r="C1048" t="s">
        <v>789</v>
      </c>
      <c r="D1048">
        <v>1.1299999999999999</v>
      </c>
      <c r="E1048" t="s">
        <v>151</v>
      </c>
      <c r="F1048" t="s">
        <v>754</v>
      </c>
      <c r="G1048" t="s">
        <v>1008</v>
      </c>
      <c r="H1048" t="s">
        <v>30</v>
      </c>
      <c r="I1048" s="28" t="s">
        <v>25</v>
      </c>
    </row>
    <row r="1049" spans="1:9" x14ac:dyDescent="0.3">
      <c r="A1049" s="26">
        <v>45328</v>
      </c>
      <c r="B1049" t="s">
        <v>1006</v>
      </c>
      <c r="C1049" t="s">
        <v>771</v>
      </c>
      <c r="D1049">
        <v>1.55</v>
      </c>
      <c r="E1049" t="s">
        <v>7</v>
      </c>
      <c r="F1049" t="s">
        <v>772</v>
      </c>
      <c r="G1049" t="s">
        <v>1010</v>
      </c>
      <c r="H1049" t="s">
        <v>30</v>
      </c>
      <c r="I1049" s="28" t="s">
        <v>25</v>
      </c>
    </row>
    <row r="1050" spans="1:9" x14ac:dyDescent="0.3">
      <c r="A1050" s="26">
        <v>45328</v>
      </c>
      <c r="B1050" t="s">
        <v>1011</v>
      </c>
      <c r="C1050" t="s">
        <v>753</v>
      </c>
      <c r="D1050">
        <v>0.47</v>
      </c>
      <c r="E1050" t="s">
        <v>589</v>
      </c>
      <c r="F1050" t="s">
        <v>754</v>
      </c>
      <c r="H1050" t="s">
        <v>30</v>
      </c>
      <c r="I1050" s="28" t="s">
        <v>25</v>
      </c>
    </row>
    <row r="1051" spans="1:9" x14ac:dyDescent="0.3">
      <c r="A1051" s="26">
        <v>45328</v>
      </c>
      <c r="B1051" t="s">
        <v>1011</v>
      </c>
      <c r="C1051" t="s">
        <v>753</v>
      </c>
      <c r="D1051">
        <v>0.83</v>
      </c>
      <c r="E1051" t="s">
        <v>1013</v>
      </c>
      <c r="F1051" t="s">
        <v>754</v>
      </c>
      <c r="G1051" t="s">
        <v>1678</v>
      </c>
      <c r="H1051" t="s">
        <v>30</v>
      </c>
      <c r="I1051" s="28" t="s">
        <v>25</v>
      </c>
    </row>
    <row r="1052" spans="1:9" x14ac:dyDescent="0.3">
      <c r="A1052" s="26">
        <v>45328</v>
      </c>
      <c r="B1052" t="s">
        <v>1011</v>
      </c>
      <c r="C1052" t="s">
        <v>753</v>
      </c>
      <c r="D1052">
        <v>0.93</v>
      </c>
      <c r="E1052" t="s">
        <v>1013</v>
      </c>
      <c r="F1052" t="s">
        <v>772</v>
      </c>
      <c r="G1052" t="s">
        <v>1679</v>
      </c>
      <c r="H1052" t="s">
        <v>30</v>
      </c>
      <c r="I1052" s="28" t="s">
        <v>25</v>
      </c>
    </row>
    <row r="1053" spans="1:9" x14ac:dyDescent="0.3">
      <c r="A1053" s="26">
        <v>45328</v>
      </c>
      <c r="B1053" t="s">
        <v>1011</v>
      </c>
      <c r="C1053" t="s">
        <v>753</v>
      </c>
      <c r="D1053">
        <v>1.02</v>
      </c>
      <c r="E1053" t="s">
        <v>1013</v>
      </c>
      <c r="F1053" t="s">
        <v>754</v>
      </c>
      <c r="G1053" t="s">
        <v>1680</v>
      </c>
      <c r="H1053" t="s">
        <v>30</v>
      </c>
      <c r="I1053" s="28" t="s">
        <v>25</v>
      </c>
    </row>
    <row r="1054" spans="1:9" x14ac:dyDescent="0.3">
      <c r="A1054" s="26">
        <v>45328</v>
      </c>
      <c r="B1054" t="s">
        <v>1011</v>
      </c>
      <c r="C1054" t="s">
        <v>753</v>
      </c>
      <c r="D1054">
        <v>1.1499999999999999</v>
      </c>
      <c r="E1054" t="s">
        <v>589</v>
      </c>
      <c r="F1054" t="s">
        <v>754</v>
      </c>
      <c r="G1054" t="s">
        <v>1681</v>
      </c>
      <c r="H1054" t="s">
        <v>30</v>
      </c>
      <c r="I1054" s="28" t="s">
        <v>25</v>
      </c>
    </row>
    <row r="1055" spans="1:9" x14ac:dyDescent="0.3">
      <c r="A1055" s="26">
        <v>45328</v>
      </c>
      <c r="B1055" t="s">
        <v>1011</v>
      </c>
      <c r="C1055" t="s">
        <v>753</v>
      </c>
      <c r="D1055">
        <v>1.33</v>
      </c>
      <c r="E1055" t="s">
        <v>1013</v>
      </c>
      <c r="F1055" t="s">
        <v>754</v>
      </c>
      <c r="G1055" t="s">
        <v>1682</v>
      </c>
      <c r="H1055" t="s">
        <v>30</v>
      </c>
      <c r="I1055" s="28" t="s">
        <v>25</v>
      </c>
    </row>
    <row r="1056" spans="1:9" x14ac:dyDescent="0.3">
      <c r="A1056" s="26">
        <v>45328</v>
      </c>
      <c r="B1056" t="s">
        <v>1011</v>
      </c>
      <c r="C1056" t="s">
        <v>753</v>
      </c>
      <c r="D1056">
        <v>2.6</v>
      </c>
      <c r="E1056" t="s">
        <v>1013</v>
      </c>
      <c r="F1056" t="s">
        <v>754</v>
      </c>
      <c r="G1056" t="s">
        <v>1683</v>
      </c>
      <c r="H1056" t="s">
        <v>30</v>
      </c>
      <c r="I1056" s="28" t="s">
        <v>25</v>
      </c>
    </row>
    <row r="1057" spans="1:9" x14ac:dyDescent="0.3">
      <c r="A1057" s="26">
        <v>45328</v>
      </c>
      <c r="B1057" t="s">
        <v>1011</v>
      </c>
      <c r="C1057" t="s">
        <v>771</v>
      </c>
      <c r="D1057">
        <v>0.22</v>
      </c>
      <c r="E1057" t="s">
        <v>7</v>
      </c>
      <c r="F1057" t="s">
        <v>772</v>
      </c>
      <c r="G1057" t="s">
        <v>1684</v>
      </c>
      <c r="H1057" t="s">
        <v>30</v>
      </c>
      <c r="I1057" s="28" t="s">
        <v>25</v>
      </c>
    </row>
    <row r="1058" spans="1:9" x14ac:dyDescent="0.3">
      <c r="A1058" s="26">
        <v>45328</v>
      </c>
      <c r="B1058" t="s">
        <v>1020</v>
      </c>
      <c r="C1058" t="s">
        <v>753</v>
      </c>
      <c r="D1058">
        <v>0.38</v>
      </c>
      <c r="E1058" t="s">
        <v>11</v>
      </c>
      <c r="F1058" t="s">
        <v>754</v>
      </c>
      <c r="G1058" t="s">
        <v>1685</v>
      </c>
      <c r="H1058" t="s">
        <v>30</v>
      </c>
      <c r="I1058" s="28" t="s">
        <v>25</v>
      </c>
    </row>
    <row r="1059" spans="1:9" x14ac:dyDescent="0.3">
      <c r="A1059" s="26">
        <v>45328</v>
      </c>
      <c r="B1059" t="s">
        <v>1020</v>
      </c>
      <c r="C1059" t="s">
        <v>753</v>
      </c>
      <c r="D1059">
        <v>1.28</v>
      </c>
      <c r="E1059" t="s">
        <v>964</v>
      </c>
      <c r="F1059" t="s">
        <v>772</v>
      </c>
      <c r="G1059" t="s">
        <v>1686</v>
      </c>
      <c r="H1059" t="s">
        <v>30</v>
      </c>
      <c r="I1059" s="28" t="s">
        <v>25</v>
      </c>
    </row>
    <row r="1060" spans="1:9" x14ac:dyDescent="0.3">
      <c r="A1060" s="26">
        <v>45328</v>
      </c>
      <c r="B1060" t="s">
        <v>1020</v>
      </c>
      <c r="C1060" t="s">
        <v>753</v>
      </c>
      <c r="D1060">
        <v>1.28</v>
      </c>
      <c r="E1060" t="s">
        <v>964</v>
      </c>
      <c r="F1060" t="s">
        <v>754</v>
      </c>
      <c r="G1060" t="s">
        <v>1687</v>
      </c>
      <c r="H1060" t="s">
        <v>30</v>
      </c>
      <c r="I1060" s="28" t="s">
        <v>25</v>
      </c>
    </row>
    <row r="1061" spans="1:9" x14ac:dyDescent="0.3">
      <c r="A1061" s="26">
        <v>45328</v>
      </c>
      <c r="B1061" t="s">
        <v>1020</v>
      </c>
      <c r="C1061" t="s">
        <v>753</v>
      </c>
      <c r="D1061">
        <v>3.27</v>
      </c>
      <c r="E1061" t="s">
        <v>964</v>
      </c>
      <c r="F1061" t="s">
        <v>754</v>
      </c>
      <c r="G1061" t="s">
        <v>1688</v>
      </c>
      <c r="H1061" t="s">
        <v>30</v>
      </c>
      <c r="I1061" s="28" t="s">
        <v>25</v>
      </c>
    </row>
    <row r="1062" spans="1:9" x14ac:dyDescent="0.3">
      <c r="A1062" s="26">
        <v>45328</v>
      </c>
      <c r="B1062" t="s">
        <v>1020</v>
      </c>
      <c r="C1062" t="s">
        <v>771</v>
      </c>
      <c r="D1062">
        <v>0.22</v>
      </c>
      <c r="E1062" t="s">
        <v>7</v>
      </c>
      <c r="F1062" t="s">
        <v>772</v>
      </c>
      <c r="G1062" t="s">
        <v>1024</v>
      </c>
      <c r="H1062" t="s">
        <v>30</v>
      </c>
      <c r="I1062" s="28" t="s">
        <v>25</v>
      </c>
    </row>
    <row r="1063" spans="1:9" x14ac:dyDescent="0.3">
      <c r="A1063" s="26">
        <v>45328</v>
      </c>
      <c r="B1063" t="s">
        <v>1020</v>
      </c>
      <c r="C1063" t="s">
        <v>835</v>
      </c>
      <c r="D1063">
        <v>2.0699999999999998</v>
      </c>
      <c r="E1063" t="s">
        <v>11</v>
      </c>
      <c r="F1063" t="s">
        <v>754</v>
      </c>
      <c r="H1063" t="s">
        <v>30</v>
      </c>
      <c r="I1063" s="28" t="s">
        <v>25</v>
      </c>
    </row>
    <row r="1064" spans="1:9" x14ac:dyDescent="0.3">
      <c r="A1064" s="26">
        <v>45328</v>
      </c>
      <c r="B1064" t="s">
        <v>1026</v>
      </c>
      <c r="C1064" t="s">
        <v>771</v>
      </c>
      <c r="D1064">
        <v>1.47</v>
      </c>
      <c r="E1064" t="s">
        <v>7</v>
      </c>
      <c r="F1064" t="s">
        <v>772</v>
      </c>
      <c r="G1064" t="s">
        <v>1689</v>
      </c>
      <c r="H1064" t="s">
        <v>30</v>
      </c>
      <c r="I1064" s="28" t="s">
        <v>25</v>
      </c>
    </row>
    <row r="1065" spans="1:9" x14ac:dyDescent="0.3">
      <c r="A1065" s="26">
        <v>45328</v>
      </c>
      <c r="B1065" t="s">
        <v>1026</v>
      </c>
      <c r="C1065" t="s">
        <v>771</v>
      </c>
      <c r="D1065">
        <v>2.2000000000000002</v>
      </c>
      <c r="E1065" t="s">
        <v>7</v>
      </c>
      <c r="F1065" t="s">
        <v>772</v>
      </c>
      <c r="G1065" t="s">
        <v>1690</v>
      </c>
      <c r="H1065" t="s">
        <v>30</v>
      </c>
      <c r="I1065" s="28" t="s">
        <v>25</v>
      </c>
    </row>
    <row r="1066" spans="1:9" x14ac:dyDescent="0.3">
      <c r="A1066" s="26">
        <v>45328</v>
      </c>
      <c r="B1066" t="s">
        <v>1026</v>
      </c>
      <c r="C1066" t="s">
        <v>771</v>
      </c>
      <c r="D1066">
        <v>3.27</v>
      </c>
      <c r="E1066" t="s">
        <v>7</v>
      </c>
      <c r="F1066" t="s">
        <v>772</v>
      </c>
      <c r="G1066" t="s">
        <v>1691</v>
      </c>
      <c r="H1066" t="s">
        <v>30</v>
      </c>
      <c r="I1066" s="28" t="s">
        <v>25</v>
      </c>
    </row>
    <row r="1067" spans="1:9" x14ac:dyDescent="0.3">
      <c r="A1067" s="26">
        <v>45328</v>
      </c>
      <c r="B1067" t="s">
        <v>1026</v>
      </c>
      <c r="C1067" t="s">
        <v>874</v>
      </c>
      <c r="D1067">
        <v>0.22</v>
      </c>
      <c r="E1067" t="s">
        <v>7</v>
      </c>
      <c r="F1067" t="s">
        <v>772</v>
      </c>
      <c r="G1067" t="s">
        <v>1692</v>
      </c>
      <c r="H1067" t="s">
        <v>30</v>
      </c>
      <c r="I1067" s="28" t="s">
        <v>25</v>
      </c>
    </row>
    <row r="1068" spans="1:9" x14ac:dyDescent="0.3">
      <c r="A1068" s="26">
        <v>45328</v>
      </c>
      <c r="B1068" t="s">
        <v>1026</v>
      </c>
      <c r="C1068" t="s">
        <v>874</v>
      </c>
      <c r="D1068">
        <v>1</v>
      </c>
      <c r="E1068" t="s">
        <v>7</v>
      </c>
      <c r="F1068" t="s">
        <v>772</v>
      </c>
      <c r="G1068" t="s">
        <v>1693</v>
      </c>
      <c r="H1068" t="s">
        <v>30</v>
      </c>
      <c r="I1068" s="28" t="s">
        <v>25</v>
      </c>
    </row>
    <row r="1069" spans="1:9" x14ac:dyDescent="0.3">
      <c r="A1069" s="26">
        <v>45328</v>
      </c>
      <c r="B1069" t="s">
        <v>1032</v>
      </c>
      <c r="C1069" t="s">
        <v>753</v>
      </c>
      <c r="D1069">
        <v>8.73</v>
      </c>
      <c r="E1069" t="s">
        <v>790</v>
      </c>
      <c r="F1069" t="s">
        <v>754</v>
      </c>
      <c r="H1069" t="s">
        <v>30</v>
      </c>
      <c r="I1069" s="28" t="s">
        <v>25</v>
      </c>
    </row>
    <row r="1070" spans="1:9" x14ac:dyDescent="0.3">
      <c r="A1070" s="26">
        <v>45328</v>
      </c>
      <c r="B1070" t="s">
        <v>1034</v>
      </c>
      <c r="C1070" t="s">
        <v>771</v>
      </c>
      <c r="D1070">
        <v>0.43</v>
      </c>
      <c r="E1070" t="s">
        <v>7</v>
      </c>
      <c r="F1070" t="s">
        <v>772</v>
      </c>
      <c r="G1070" t="s">
        <v>1694</v>
      </c>
      <c r="H1070" t="s">
        <v>30</v>
      </c>
      <c r="I1070" s="28" t="s">
        <v>25</v>
      </c>
    </row>
    <row r="1071" spans="1:9" x14ac:dyDescent="0.3">
      <c r="A1071" s="26">
        <v>45328</v>
      </c>
      <c r="B1071" t="s">
        <v>1034</v>
      </c>
      <c r="C1071" t="s">
        <v>771</v>
      </c>
      <c r="D1071">
        <v>0.5</v>
      </c>
      <c r="E1071" t="s">
        <v>7</v>
      </c>
      <c r="F1071" t="s">
        <v>772</v>
      </c>
      <c r="G1071" t="s">
        <v>781</v>
      </c>
      <c r="H1071" t="s">
        <v>30</v>
      </c>
      <c r="I1071" s="28" t="s">
        <v>25</v>
      </c>
    </row>
    <row r="1072" spans="1:9" x14ac:dyDescent="0.3">
      <c r="A1072" s="26">
        <v>45328</v>
      </c>
      <c r="B1072" t="s">
        <v>1034</v>
      </c>
      <c r="C1072" t="s">
        <v>919</v>
      </c>
      <c r="D1072">
        <v>0.15</v>
      </c>
      <c r="E1072" t="s">
        <v>1695</v>
      </c>
      <c r="F1072" t="s">
        <v>754</v>
      </c>
      <c r="G1072" t="s">
        <v>1696</v>
      </c>
      <c r="H1072" t="s">
        <v>30</v>
      </c>
      <c r="I1072" s="28" t="s">
        <v>25</v>
      </c>
    </row>
    <row r="1073" spans="1:9" x14ac:dyDescent="0.3">
      <c r="A1073" s="26">
        <v>45328</v>
      </c>
      <c r="B1073" t="s">
        <v>1034</v>
      </c>
      <c r="C1073" t="s">
        <v>776</v>
      </c>
      <c r="D1073">
        <v>0.18</v>
      </c>
      <c r="E1073" t="s">
        <v>1543</v>
      </c>
      <c r="F1073" t="s">
        <v>754</v>
      </c>
      <c r="G1073" t="s">
        <v>1697</v>
      </c>
      <c r="H1073" t="s">
        <v>30</v>
      </c>
      <c r="I1073" s="28" t="s">
        <v>25</v>
      </c>
    </row>
    <row r="1074" spans="1:9" x14ac:dyDescent="0.3">
      <c r="A1074" s="26">
        <v>45328</v>
      </c>
      <c r="B1074" t="s">
        <v>1034</v>
      </c>
      <c r="C1074" t="s">
        <v>776</v>
      </c>
      <c r="D1074">
        <v>0.27</v>
      </c>
      <c r="E1074" t="s">
        <v>879</v>
      </c>
      <c r="F1074" t="s">
        <v>754</v>
      </c>
      <c r="G1074" t="s">
        <v>1698</v>
      </c>
      <c r="H1074" t="s">
        <v>30</v>
      </c>
      <c r="I1074" s="28" t="s">
        <v>25</v>
      </c>
    </row>
    <row r="1075" spans="1:9" x14ac:dyDescent="0.3">
      <c r="A1075" s="26">
        <v>45328</v>
      </c>
      <c r="B1075" t="s">
        <v>1034</v>
      </c>
      <c r="C1075" t="s">
        <v>776</v>
      </c>
      <c r="D1075">
        <v>0.97</v>
      </c>
      <c r="E1075" t="s">
        <v>790</v>
      </c>
      <c r="F1075" t="s">
        <v>754</v>
      </c>
      <c r="G1075" t="s">
        <v>1699</v>
      </c>
      <c r="H1075" t="s">
        <v>30</v>
      </c>
      <c r="I1075" s="28" t="s">
        <v>25</v>
      </c>
    </row>
    <row r="1076" spans="1:9" x14ac:dyDescent="0.3">
      <c r="A1076" s="26">
        <v>45328</v>
      </c>
      <c r="B1076" t="s">
        <v>1034</v>
      </c>
      <c r="C1076" t="s">
        <v>776</v>
      </c>
      <c r="D1076">
        <v>2.73</v>
      </c>
      <c r="E1076" t="s">
        <v>879</v>
      </c>
      <c r="F1076" t="s">
        <v>754</v>
      </c>
      <c r="G1076" t="s">
        <v>1700</v>
      </c>
      <c r="H1076" t="s">
        <v>30</v>
      </c>
      <c r="I1076" s="28" t="s">
        <v>25</v>
      </c>
    </row>
    <row r="1077" spans="1:9" x14ac:dyDescent="0.3">
      <c r="A1077" s="26">
        <v>45328</v>
      </c>
      <c r="B1077" t="s">
        <v>1034</v>
      </c>
      <c r="C1077" t="s">
        <v>776</v>
      </c>
      <c r="D1077">
        <v>2.83</v>
      </c>
      <c r="E1077" t="s">
        <v>879</v>
      </c>
      <c r="F1077" t="s">
        <v>754</v>
      </c>
      <c r="G1077" t="s">
        <v>1701</v>
      </c>
      <c r="H1077" t="s">
        <v>30</v>
      </c>
      <c r="I1077" s="28" t="s">
        <v>25</v>
      </c>
    </row>
    <row r="1078" spans="1:9" x14ac:dyDescent="0.3">
      <c r="A1078" s="26">
        <v>45328</v>
      </c>
      <c r="B1078" t="s">
        <v>1043</v>
      </c>
      <c r="C1078" t="s">
        <v>1269</v>
      </c>
      <c r="D1078">
        <v>0.33</v>
      </c>
      <c r="E1078" t="s">
        <v>964</v>
      </c>
      <c r="F1078" t="s">
        <v>754</v>
      </c>
      <c r="G1078" t="s">
        <v>1702</v>
      </c>
      <c r="H1078" t="s">
        <v>30</v>
      </c>
      <c r="I1078" s="28" t="s">
        <v>25</v>
      </c>
    </row>
    <row r="1079" spans="1:9" x14ac:dyDescent="0.3">
      <c r="A1079" s="26">
        <v>45328</v>
      </c>
      <c r="B1079" t="s">
        <v>1043</v>
      </c>
      <c r="C1079" t="s">
        <v>1269</v>
      </c>
      <c r="D1079">
        <v>1</v>
      </c>
      <c r="E1079" t="s">
        <v>964</v>
      </c>
      <c r="F1079" t="s">
        <v>754</v>
      </c>
      <c r="G1079" t="s">
        <v>1703</v>
      </c>
      <c r="H1079" t="s">
        <v>30</v>
      </c>
      <c r="I1079" s="28" t="s">
        <v>25</v>
      </c>
    </row>
    <row r="1080" spans="1:9" x14ac:dyDescent="0.3">
      <c r="A1080" s="26">
        <v>45328</v>
      </c>
      <c r="B1080" t="s">
        <v>1049</v>
      </c>
      <c r="C1080" t="s">
        <v>753</v>
      </c>
      <c r="D1080">
        <v>0.3</v>
      </c>
      <c r="E1080" t="s">
        <v>10</v>
      </c>
      <c r="F1080" t="s">
        <v>754</v>
      </c>
      <c r="G1080" t="s">
        <v>1052</v>
      </c>
      <c r="H1080" t="s">
        <v>30</v>
      </c>
      <c r="I1080" s="28" t="s">
        <v>25</v>
      </c>
    </row>
    <row r="1081" spans="1:9" x14ac:dyDescent="0.3">
      <c r="A1081" s="26">
        <v>45328</v>
      </c>
      <c r="B1081" t="s">
        <v>1049</v>
      </c>
      <c r="C1081" t="s">
        <v>753</v>
      </c>
      <c r="D1081">
        <v>0.73</v>
      </c>
      <c r="E1081" t="s">
        <v>659</v>
      </c>
      <c r="F1081" t="s">
        <v>754</v>
      </c>
      <c r="G1081" t="s">
        <v>1704</v>
      </c>
      <c r="H1081" t="s">
        <v>30</v>
      </c>
      <c r="I1081" s="28" t="s">
        <v>25</v>
      </c>
    </row>
    <row r="1082" spans="1:9" x14ac:dyDescent="0.3">
      <c r="A1082" s="26">
        <v>45328</v>
      </c>
      <c r="B1082" t="s">
        <v>1049</v>
      </c>
      <c r="C1082" t="s">
        <v>753</v>
      </c>
      <c r="D1082">
        <v>1.62</v>
      </c>
      <c r="E1082" t="s">
        <v>964</v>
      </c>
      <c r="F1082" t="s">
        <v>754</v>
      </c>
      <c r="G1082" t="s">
        <v>1705</v>
      </c>
      <c r="H1082" t="s">
        <v>30</v>
      </c>
      <c r="I1082" s="28" t="s">
        <v>25</v>
      </c>
    </row>
    <row r="1083" spans="1:9" x14ac:dyDescent="0.3">
      <c r="A1083" s="26">
        <v>45328</v>
      </c>
      <c r="B1083" t="s">
        <v>1049</v>
      </c>
      <c r="C1083" t="s">
        <v>753</v>
      </c>
      <c r="D1083">
        <v>1.92</v>
      </c>
      <c r="E1083" t="s">
        <v>964</v>
      </c>
      <c r="F1083" t="s">
        <v>754</v>
      </c>
      <c r="G1083" t="s">
        <v>1706</v>
      </c>
      <c r="H1083" t="s">
        <v>30</v>
      </c>
      <c r="I1083" s="28" t="s">
        <v>25</v>
      </c>
    </row>
    <row r="1084" spans="1:9" x14ac:dyDescent="0.3">
      <c r="A1084" s="26">
        <v>45328</v>
      </c>
      <c r="B1084" t="s">
        <v>1049</v>
      </c>
      <c r="C1084" t="s">
        <v>753</v>
      </c>
      <c r="D1084">
        <v>2.12</v>
      </c>
      <c r="E1084" t="s">
        <v>964</v>
      </c>
      <c r="F1084" t="s">
        <v>754</v>
      </c>
      <c r="G1084" t="s">
        <v>1707</v>
      </c>
      <c r="H1084" t="s">
        <v>30</v>
      </c>
      <c r="I1084" s="28" t="s">
        <v>25</v>
      </c>
    </row>
    <row r="1085" spans="1:9" x14ac:dyDescent="0.3">
      <c r="A1085" s="26">
        <v>45328</v>
      </c>
      <c r="B1085" t="s">
        <v>1049</v>
      </c>
      <c r="C1085" t="s">
        <v>771</v>
      </c>
      <c r="D1085">
        <v>0.5</v>
      </c>
      <c r="E1085" t="s">
        <v>7</v>
      </c>
      <c r="F1085" t="s">
        <v>772</v>
      </c>
      <c r="G1085" t="s">
        <v>1058</v>
      </c>
      <c r="H1085" t="s">
        <v>30</v>
      </c>
      <c r="I1085" s="28" t="s">
        <v>25</v>
      </c>
    </row>
    <row r="1086" spans="1:9" x14ac:dyDescent="0.3">
      <c r="A1086" s="26">
        <v>45328</v>
      </c>
      <c r="B1086" t="s">
        <v>1049</v>
      </c>
      <c r="C1086" t="s">
        <v>1441</v>
      </c>
      <c r="D1086">
        <v>0.18</v>
      </c>
      <c r="E1086" t="s">
        <v>1069</v>
      </c>
      <c r="F1086" t="s">
        <v>754</v>
      </c>
      <c r="G1086" t="s">
        <v>1708</v>
      </c>
      <c r="H1086" t="s">
        <v>30</v>
      </c>
      <c r="I1086" s="28" t="s">
        <v>25</v>
      </c>
    </row>
    <row r="1087" spans="1:9" x14ac:dyDescent="0.3">
      <c r="A1087" s="26">
        <v>45328</v>
      </c>
      <c r="B1087" t="s">
        <v>1049</v>
      </c>
      <c r="C1087" t="s">
        <v>916</v>
      </c>
      <c r="D1087">
        <v>0.72</v>
      </c>
      <c r="E1087" t="s">
        <v>1709</v>
      </c>
      <c r="F1087" t="s">
        <v>754</v>
      </c>
      <c r="G1087" t="s">
        <v>1710</v>
      </c>
      <c r="H1087" t="s">
        <v>30</v>
      </c>
      <c r="I1087" s="28" t="s">
        <v>25</v>
      </c>
    </row>
    <row r="1088" spans="1:9" x14ac:dyDescent="0.3">
      <c r="A1088" s="26">
        <v>45328</v>
      </c>
      <c r="B1088" t="s">
        <v>1060</v>
      </c>
      <c r="C1088" t="s">
        <v>909</v>
      </c>
      <c r="D1088">
        <v>0.25</v>
      </c>
      <c r="E1088" t="s">
        <v>161</v>
      </c>
      <c r="F1088" t="s">
        <v>754</v>
      </c>
      <c r="G1088" t="s">
        <v>1711</v>
      </c>
      <c r="H1088" t="s">
        <v>30</v>
      </c>
      <c r="I1088" s="28" t="s">
        <v>25</v>
      </c>
    </row>
    <row r="1089" spans="1:9" x14ac:dyDescent="0.3">
      <c r="A1089" s="26">
        <v>45328</v>
      </c>
      <c r="B1089" t="s">
        <v>1060</v>
      </c>
      <c r="C1089" t="s">
        <v>909</v>
      </c>
      <c r="D1089">
        <v>0.5</v>
      </c>
      <c r="E1089" t="s">
        <v>288</v>
      </c>
      <c r="F1089" t="s">
        <v>754</v>
      </c>
      <c r="G1089" t="s">
        <v>1712</v>
      </c>
      <c r="H1089" t="s">
        <v>30</v>
      </c>
      <c r="I1089" s="28" t="s">
        <v>25</v>
      </c>
    </row>
    <row r="1090" spans="1:9" x14ac:dyDescent="0.3">
      <c r="A1090" s="26">
        <v>45328</v>
      </c>
      <c r="B1090" t="s">
        <v>1060</v>
      </c>
      <c r="C1090" t="s">
        <v>909</v>
      </c>
      <c r="D1090">
        <v>0.5</v>
      </c>
      <c r="E1090" t="s">
        <v>589</v>
      </c>
      <c r="F1090" t="s">
        <v>754</v>
      </c>
      <c r="G1090" t="s">
        <v>1713</v>
      </c>
      <c r="H1090" t="s">
        <v>30</v>
      </c>
      <c r="I1090" s="28" t="s">
        <v>25</v>
      </c>
    </row>
    <row r="1091" spans="1:9" x14ac:dyDescent="0.3">
      <c r="A1091" s="26">
        <v>45328</v>
      </c>
      <c r="B1091" t="s">
        <v>1060</v>
      </c>
      <c r="C1091" t="s">
        <v>909</v>
      </c>
      <c r="D1091">
        <v>0.5</v>
      </c>
      <c r="E1091" t="s">
        <v>623</v>
      </c>
      <c r="F1091" t="s">
        <v>754</v>
      </c>
      <c r="G1091" t="s">
        <v>1714</v>
      </c>
      <c r="H1091" t="s">
        <v>30</v>
      </c>
      <c r="I1091" s="28" t="s">
        <v>25</v>
      </c>
    </row>
    <row r="1092" spans="1:9" x14ac:dyDescent="0.3">
      <c r="A1092" s="26">
        <v>45328</v>
      </c>
      <c r="B1092" t="s">
        <v>1060</v>
      </c>
      <c r="C1092" t="s">
        <v>909</v>
      </c>
      <c r="D1092">
        <v>0.5</v>
      </c>
      <c r="E1092" t="s">
        <v>623</v>
      </c>
      <c r="F1092" t="s">
        <v>754</v>
      </c>
      <c r="G1092" t="s">
        <v>1715</v>
      </c>
      <c r="H1092" t="s">
        <v>30</v>
      </c>
      <c r="I1092" s="28" t="s">
        <v>25</v>
      </c>
    </row>
    <row r="1093" spans="1:9" x14ac:dyDescent="0.3">
      <c r="A1093" s="26">
        <v>45328</v>
      </c>
      <c r="B1093" t="s">
        <v>1060</v>
      </c>
      <c r="C1093" t="s">
        <v>771</v>
      </c>
      <c r="D1093">
        <v>1</v>
      </c>
      <c r="E1093" t="s">
        <v>7</v>
      </c>
      <c r="F1093" t="s">
        <v>772</v>
      </c>
      <c r="G1093" t="s">
        <v>1716</v>
      </c>
      <c r="H1093" t="s">
        <v>30</v>
      </c>
      <c r="I1093" s="28" t="s">
        <v>25</v>
      </c>
    </row>
    <row r="1094" spans="1:9" x14ac:dyDescent="0.3">
      <c r="A1094" s="26">
        <v>45328</v>
      </c>
      <c r="B1094" t="s">
        <v>1060</v>
      </c>
      <c r="C1094" t="s">
        <v>771</v>
      </c>
      <c r="D1094">
        <v>1</v>
      </c>
      <c r="E1094" t="s">
        <v>7</v>
      </c>
      <c r="F1094" t="s">
        <v>772</v>
      </c>
      <c r="G1094" t="s">
        <v>1717</v>
      </c>
      <c r="H1094" t="s">
        <v>30</v>
      </c>
      <c r="I1094" s="28" t="s">
        <v>25</v>
      </c>
    </row>
    <row r="1095" spans="1:9" x14ac:dyDescent="0.3">
      <c r="A1095" s="26">
        <v>45328</v>
      </c>
      <c r="B1095" t="s">
        <v>1060</v>
      </c>
      <c r="C1095" t="s">
        <v>771</v>
      </c>
      <c r="D1095">
        <v>1</v>
      </c>
      <c r="E1095" t="s">
        <v>7</v>
      </c>
      <c r="F1095" t="s">
        <v>772</v>
      </c>
      <c r="G1095" t="s">
        <v>1718</v>
      </c>
      <c r="H1095" t="s">
        <v>30</v>
      </c>
      <c r="I1095" s="28" t="s">
        <v>25</v>
      </c>
    </row>
    <row r="1096" spans="1:9" x14ac:dyDescent="0.3">
      <c r="A1096" s="26">
        <v>45328</v>
      </c>
      <c r="B1096" t="s">
        <v>1060</v>
      </c>
      <c r="C1096" t="s">
        <v>916</v>
      </c>
      <c r="D1096">
        <v>0.25</v>
      </c>
      <c r="E1096" t="s">
        <v>173</v>
      </c>
      <c r="F1096" t="s">
        <v>754</v>
      </c>
      <c r="G1096" t="s">
        <v>1719</v>
      </c>
      <c r="H1096" t="s">
        <v>30</v>
      </c>
      <c r="I1096" s="28" t="s">
        <v>25</v>
      </c>
    </row>
    <row r="1097" spans="1:9" x14ac:dyDescent="0.3">
      <c r="A1097" s="26">
        <v>45328</v>
      </c>
      <c r="B1097" t="s">
        <v>1060</v>
      </c>
      <c r="C1097" t="s">
        <v>916</v>
      </c>
      <c r="D1097">
        <v>0.33</v>
      </c>
      <c r="E1097" t="s">
        <v>1631</v>
      </c>
      <c r="F1097" t="s">
        <v>754</v>
      </c>
      <c r="G1097" t="s">
        <v>1720</v>
      </c>
      <c r="H1097" t="s">
        <v>30</v>
      </c>
      <c r="I1097" s="28" t="s">
        <v>25</v>
      </c>
    </row>
    <row r="1098" spans="1:9" x14ac:dyDescent="0.3">
      <c r="A1098" s="26">
        <v>45328</v>
      </c>
      <c r="B1098" t="s">
        <v>1060</v>
      </c>
      <c r="C1098" t="s">
        <v>916</v>
      </c>
      <c r="D1098">
        <v>0.33</v>
      </c>
      <c r="E1098" t="s">
        <v>1150</v>
      </c>
      <c r="F1098" t="s">
        <v>754</v>
      </c>
      <c r="G1098" t="s">
        <v>1071</v>
      </c>
      <c r="H1098" t="s">
        <v>30</v>
      </c>
      <c r="I1098" s="28" t="s">
        <v>25</v>
      </c>
    </row>
    <row r="1099" spans="1:9" x14ac:dyDescent="0.3">
      <c r="A1099" s="26">
        <v>45328</v>
      </c>
      <c r="B1099" t="s">
        <v>1060</v>
      </c>
      <c r="C1099" t="s">
        <v>916</v>
      </c>
      <c r="D1099">
        <v>0.33</v>
      </c>
      <c r="E1099" t="s">
        <v>944</v>
      </c>
      <c r="F1099" t="s">
        <v>754</v>
      </c>
      <c r="G1099" t="s">
        <v>1071</v>
      </c>
      <c r="H1099" t="s">
        <v>30</v>
      </c>
      <c r="I1099" s="28" t="s">
        <v>25</v>
      </c>
    </row>
    <row r="1100" spans="1:9" x14ac:dyDescent="0.3">
      <c r="A1100" s="26">
        <v>45328</v>
      </c>
      <c r="B1100" t="s">
        <v>1060</v>
      </c>
      <c r="C1100" t="s">
        <v>874</v>
      </c>
      <c r="D1100">
        <v>1.5</v>
      </c>
      <c r="E1100" t="s">
        <v>7</v>
      </c>
      <c r="F1100" t="s">
        <v>772</v>
      </c>
      <c r="G1100" t="s">
        <v>1721</v>
      </c>
      <c r="H1100" t="s">
        <v>30</v>
      </c>
      <c r="I1100" s="28" t="s">
        <v>25</v>
      </c>
    </row>
    <row r="1101" spans="1:9" x14ac:dyDescent="0.3">
      <c r="A1101" s="26">
        <v>45328</v>
      </c>
      <c r="B1101" t="s">
        <v>1074</v>
      </c>
      <c r="C1101" t="s">
        <v>753</v>
      </c>
      <c r="D1101">
        <v>0.1</v>
      </c>
      <c r="E1101" t="s">
        <v>964</v>
      </c>
      <c r="F1101" t="s">
        <v>754</v>
      </c>
      <c r="G1101" t="s">
        <v>1722</v>
      </c>
      <c r="H1101" t="s">
        <v>30</v>
      </c>
      <c r="I1101" s="28" t="s">
        <v>25</v>
      </c>
    </row>
    <row r="1102" spans="1:9" x14ac:dyDescent="0.3">
      <c r="A1102" s="26">
        <v>45328</v>
      </c>
      <c r="B1102" t="s">
        <v>1074</v>
      </c>
      <c r="C1102" t="s">
        <v>753</v>
      </c>
      <c r="D1102">
        <v>0.3</v>
      </c>
      <c r="E1102" t="s">
        <v>964</v>
      </c>
      <c r="F1102" t="s">
        <v>754</v>
      </c>
      <c r="G1102" t="s">
        <v>1723</v>
      </c>
      <c r="H1102" t="s">
        <v>30</v>
      </c>
      <c r="I1102" s="28" t="s">
        <v>25</v>
      </c>
    </row>
    <row r="1103" spans="1:9" x14ac:dyDescent="0.3">
      <c r="A1103" s="26">
        <v>45328</v>
      </c>
      <c r="B1103" t="s">
        <v>1074</v>
      </c>
      <c r="C1103" t="s">
        <v>753</v>
      </c>
      <c r="D1103">
        <v>0.4</v>
      </c>
      <c r="E1103" t="s">
        <v>964</v>
      </c>
      <c r="F1103" t="s">
        <v>754</v>
      </c>
      <c r="G1103" t="s">
        <v>1724</v>
      </c>
      <c r="H1103" t="s">
        <v>30</v>
      </c>
      <c r="I1103" s="28" t="s">
        <v>25</v>
      </c>
    </row>
    <row r="1104" spans="1:9" x14ac:dyDescent="0.3">
      <c r="A1104" s="26">
        <v>45328</v>
      </c>
      <c r="B1104" t="s">
        <v>1074</v>
      </c>
      <c r="C1104" t="s">
        <v>753</v>
      </c>
      <c r="D1104">
        <v>0.6</v>
      </c>
      <c r="E1104" t="s">
        <v>964</v>
      </c>
      <c r="F1104" t="s">
        <v>754</v>
      </c>
      <c r="G1104" t="s">
        <v>1014</v>
      </c>
      <c r="H1104" t="s">
        <v>30</v>
      </c>
      <c r="I1104" s="28" t="s">
        <v>25</v>
      </c>
    </row>
    <row r="1105" spans="1:9" x14ac:dyDescent="0.3">
      <c r="A1105" s="26">
        <v>45328</v>
      </c>
      <c r="B1105" t="s">
        <v>1074</v>
      </c>
      <c r="C1105" t="s">
        <v>753</v>
      </c>
      <c r="D1105">
        <v>0.72</v>
      </c>
      <c r="E1105" t="s">
        <v>964</v>
      </c>
      <c r="F1105" t="s">
        <v>754</v>
      </c>
      <c r="G1105" t="s">
        <v>1725</v>
      </c>
      <c r="H1105" t="s">
        <v>30</v>
      </c>
      <c r="I1105" s="28" t="s">
        <v>25</v>
      </c>
    </row>
    <row r="1106" spans="1:9" x14ac:dyDescent="0.3">
      <c r="A1106" s="26">
        <v>45328</v>
      </c>
      <c r="B1106" t="s">
        <v>1074</v>
      </c>
      <c r="C1106" t="s">
        <v>753</v>
      </c>
      <c r="D1106">
        <v>3</v>
      </c>
      <c r="E1106" t="s">
        <v>964</v>
      </c>
      <c r="F1106" t="s">
        <v>754</v>
      </c>
      <c r="G1106" t="s">
        <v>1726</v>
      </c>
      <c r="H1106" t="s">
        <v>30</v>
      </c>
      <c r="I1106" s="28" t="s">
        <v>25</v>
      </c>
    </row>
    <row r="1107" spans="1:9" x14ac:dyDescent="0.3">
      <c r="A1107" s="26">
        <v>45328</v>
      </c>
      <c r="B1107" t="s">
        <v>1074</v>
      </c>
      <c r="C1107" t="s">
        <v>906</v>
      </c>
      <c r="D1107">
        <v>0.5</v>
      </c>
      <c r="E1107" t="s">
        <v>7</v>
      </c>
      <c r="F1107" t="s">
        <v>772</v>
      </c>
      <c r="G1107" t="s">
        <v>1727</v>
      </c>
      <c r="H1107" t="s">
        <v>30</v>
      </c>
      <c r="I1107" s="28" t="s">
        <v>25</v>
      </c>
    </row>
    <row r="1108" spans="1:9" x14ac:dyDescent="0.3">
      <c r="A1108" s="26">
        <v>45328</v>
      </c>
      <c r="B1108" t="s">
        <v>1074</v>
      </c>
      <c r="C1108" t="s">
        <v>909</v>
      </c>
      <c r="D1108">
        <v>0.8</v>
      </c>
      <c r="E1108" t="s">
        <v>964</v>
      </c>
      <c r="F1108" t="s">
        <v>754</v>
      </c>
      <c r="G1108" t="s">
        <v>1728</v>
      </c>
      <c r="H1108" t="s">
        <v>30</v>
      </c>
      <c r="I1108" s="28" t="s">
        <v>25</v>
      </c>
    </row>
    <row r="1109" spans="1:9" x14ac:dyDescent="0.3">
      <c r="A1109" s="26">
        <v>45328</v>
      </c>
      <c r="B1109" t="s">
        <v>1074</v>
      </c>
      <c r="C1109" t="s">
        <v>771</v>
      </c>
      <c r="D1109">
        <v>0.2</v>
      </c>
      <c r="E1109" t="s">
        <v>7</v>
      </c>
      <c r="F1109" t="s">
        <v>772</v>
      </c>
      <c r="G1109" t="s">
        <v>1729</v>
      </c>
      <c r="H1109" t="s">
        <v>30</v>
      </c>
      <c r="I1109" s="28" t="s">
        <v>25</v>
      </c>
    </row>
    <row r="1110" spans="1:9" x14ac:dyDescent="0.3">
      <c r="A1110" s="26">
        <v>45328</v>
      </c>
      <c r="B1110" t="s">
        <v>1074</v>
      </c>
      <c r="C1110" t="s">
        <v>771</v>
      </c>
      <c r="D1110">
        <v>0.4</v>
      </c>
      <c r="E1110" t="s">
        <v>7</v>
      </c>
      <c r="F1110" t="s">
        <v>772</v>
      </c>
      <c r="G1110" t="s">
        <v>1730</v>
      </c>
      <c r="H1110" t="s">
        <v>30</v>
      </c>
      <c r="I1110" s="28" t="s">
        <v>25</v>
      </c>
    </row>
    <row r="1111" spans="1:9" x14ac:dyDescent="0.3">
      <c r="A1111" s="26">
        <v>45328</v>
      </c>
      <c r="B1111" t="s">
        <v>1074</v>
      </c>
      <c r="C1111" t="s">
        <v>1441</v>
      </c>
      <c r="D1111">
        <v>0.3</v>
      </c>
      <c r="E1111" t="s">
        <v>964</v>
      </c>
      <c r="F1111" t="s">
        <v>754</v>
      </c>
      <c r="G1111" t="s">
        <v>1731</v>
      </c>
      <c r="H1111" t="s">
        <v>30</v>
      </c>
      <c r="I1111" s="28" t="s">
        <v>25</v>
      </c>
    </row>
    <row r="1112" spans="1:9" x14ac:dyDescent="0.3">
      <c r="A1112" s="26">
        <v>45328</v>
      </c>
      <c r="B1112" t="s">
        <v>1074</v>
      </c>
      <c r="C1112" t="s">
        <v>835</v>
      </c>
      <c r="D1112">
        <v>1.8</v>
      </c>
      <c r="E1112" t="s">
        <v>1096</v>
      </c>
      <c r="F1112" t="s">
        <v>754</v>
      </c>
      <c r="G1112" t="s">
        <v>1732</v>
      </c>
      <c r="H1112" t="s">
        <v>30</v>
      </c>
      <c r="I1112" s="28" t="s">
        <v>25</v>
      </c>
    </row>
    <row r="1113" spans="1:9" x14ac:dyDescent="0.3">
      <c r="A1113" s="26">
        <v>45328</v>
      </c>
      <c r="B1113" t="s">
        <v>1505</v>
      </c>
      <c r="C1113" t="s">
        <v>802</v>
      </c>
      <c r="D1113">
        <v>2</v>
      </c>
      <c r="E1113" t="s">
        <v>7</v>
      </c>
      <c r="F1113" t="s">
        <v>772</v>
      </c>
      <c r="G1113" t="s">
        <v>1506</v>
      </c>
      <c r="H1113" t="s">
        <v>30</v>
      </c>
      <c r="I1113" s="28" t="s">
        <v>25</v>
      </c>
    </row>
    <row r="1114" spans="1:9" x14ac:dyDescent="0.3">
      <c r="A1114" s="26">
        <v>45328</v>
      </c>
      <c r="B1114" t="s">
        <v>1081</v>
      </c>
      <c r="C1114" t="s">
        <v>771</v>
      </c>
      <c r="D1114">
        <v>8</v>
      </c>
      <c r="E1114" t="s">
        <v>7</v>
      </c>
      <c r="F1114" t="s">
        <v>772</v>
      </c>
      <c r="G1114" t="s">
        <v>1733</v>
      </c>
      <c r="H1114" t="s">
        <v>30</v>
      </c>
      <c r="I1114" s="28" t="s">
        <v>25</v>
      </c>
    </row>
    <row r="1115" spans="1:9" x14ac:dyDescent="0.3">
      <c r="A1115" s="26">
        <v>45329</v>
      </c>
      <c r="B1115" t="s">
        <v>752</v>
      </c>
      <c r="C1115" t="s">
        <v>802</v>
      </c>
      <c r="D1115">
        <v>0.5</v>
      </c>
      <c r="E1115" t="s">
        <v>7</v>
      </c>
      <c r="F1115" t="s">
        <v>772</v>
      </c>
      <c r="G1115" t="s">
        <v>1734</v>
      </c>
      <c r="H1115" t="s">
        <v>30</v>
      </c>
      <c r="I1115" s="28" t="s">
        <v>26</v>
      </c>
    </row>
    <row r="1116" spans="1:9" x14ac:dyDescent="0.3">
      <c r="A1116" s="26">
        <v>45329</v>
      </c>
      <c r="B1116" t="s">
        <v>752</v>
      </c>
      <c r="C1116" t="s">
        <v>753</v>
      </c>
      <c r="D1116">
        <v>0.17</v>
      </c>
      <c r="E1116" t="s">
        <v>602</v>
      </c>
      <c r="F1116" t="s">
        <v>754</v>
      </c>
      <c r="G1116" t="s">
        <v>758</v>
      </c>
      <c r="H1116" t="s">
        <v>30</v>
      </c>
      <c r="I1116" s="28" t="s">
        <v>26</v>
      </c>
    </row>
    <row r="1117" spans="1:9" x14ac:dyDescent="0.3">
      <c r="A1117" s="26">
        <v>45329</v>
      </c>
      <c r="B1117" t="s">
        <v>752</v>
      </c>
      <c r="C1117" t="s">
        <v>753</v>
      </c>
      <c r="D1117">
        <v>0.17</v>
      </c>
      <c r="E1117" t="s">
        <v>664</v>
      </c>
      <c r="F1117" t="s">
        <v>754</v>
      </c>
      <c r="G1117" t="s">
        <v>1735</v>
      </c>
      <c r="H1117" t="s">
        <v>30</v>
      </c>
      <c r="I1117" s="28" t="s">
        <v>26</v>
      </c>
    </row>
    <row r="1118" spans="1:9" x14ac:dyDescent="0.3">
      <c r="A1118" s="26">
        <v>45329</v>
      </c>
      <c r="B1118" t="s">
        <v>752</v>
      </c>
      <c r="C1118" t="s">
        <v>753</v>
      </c>
      <c r="D1118">
        <v>0.22</v>
      </c>
      <c r="E1118" t="s">
        <v>630</v>
      </c>
      <c r="F1118" t="s">
        <v>754</v>
      </c>
      <c r="G1118" t="s">
        <v>760</v>
      </c>
      <c r="H1118" t="s">
        <v>30</v>
      </c>
      <c r="I1118" s="28" t="s">
        <v>26</v>
      </c>
    </row>
    <row r="1119" spans="1:9" x14ac:dyDescent="0.3">
      <c r="A1119" s="26">
        <v>45329</v>
      </c>
      <c r="B1119" t="s">
        <v>752</v>
      </c>
      <c r="C1119" t="s">
        <v>753</v>
      </c>
      <c r="D1119">
        <v>0.23</v>
      </c>
      <c r="E1119" t="s">
        <v>757</v>
      </c>
      <c r="F1119" t="s">
        <v>754</v>
      </c>
      <c r="G1119" t="s">
        <v>1736</v>
      </c>
      <c r="H1119" t="s">
        <v>30</v>
      </c>
      <c r="I1119" s="28" t="s">
        <v>26</v>
      </c>
    </row>
    <row r="1120" spans="1:9" x14ac:dyDescent="0.3">
      <c r="A1120" s="26">
        <v>45329</v>
      </c>
      <c r="B1120" t="s">
        <v>752</v>
      </c>
      <c r="C1120" t="s">
        <v>753</v>
      </c>
      <c r="D1120">
        <v>0.3</v>
      </c>
      <c r="E1120" t="s">
        <v>1084</v>
      </c>
      <c r="F1120" t="s">
        <v>754</v>
      </c>
      <c r="G1120" t="s">
        <v>1737</v>
      </c>
      <c r="H1120" t="s">
        <v>30</v>
      </c>
      <c r="I1120" s="28" t="s">
        <v>26</v>
      </c>
    </row>
    <row r="1121" spans="1:9" x14ac:dyDescent="0.3">
      <c r="A1121" s="26">
        <v>45329</v>
      </c>
      <c r="B1121" t="s">
        <v>752</v>
      </c>
      <c r="C1121" t="s">
        <v>753</v>
      </c>
      <c r="D1121">
        <v>0.32</v>
      </c>
      <c r="E1121" t="s">
        <v>1084</v>
      </c>
      <c r="F1121" t="s">
        <v>754</v>
      </c>
      <c r="G1121" t="s">
        <v>763</v>
      </c>
      <c r="H1121" t="s">
        <v>30</v>
      </c>
      <c r="I1121" s="28" t="s">
        <v>26</v>
      </c>
    </row>
    <row r="1122" spans="1:9" x14ac:dyDescent="0.3">
      <c r="A1122" s="26">
        <v>45329</v>
      </c>
      <c r="B1122" t="s">
        <v>752</v>
      </c>
      <c r="C1122" t="s">
        <v>753</v>
      </c>
      <c r="D1122">
        <v>0.35</v>
      </c>
      <c r="E1122" t="s">
        <v>210</v>
      </c>
      <c r="F1122" t="s">
        <v>754</v>
      </c>
      <c r="G1122" t="s">
        <v>765</v>
      </c>
      <c r="H1122" t="s">
        <v>30</v>
      </c>
      <c r="I1122" s="28" t="s">
        <v>26</v>
      </c>
    </row>
    <row r="1123" spans="1:9" x14ac:dyDescent="0.3">
      <c r="A1123" s="26">
        <v>45329</v>
      </c>
      <c r="B1123" t="s">
        <v>752</v>
      </c>
      <c r="C1123" t="s">
        <v>753</v>
      </c>
      <c r="D1123">
        <v>0.37</v>
      </c>
      <c r="E1123" t="s">
        <v>757</v>
      </c>
      <c r="F1123" t="s">
        <v>754</v>
      </c>
      <c r="G1123" t="s">
        <v>1513</v>
      </c>
      <c r="H1123" t="s">
        <v>30</v>
      </c>
      <c r="I1123" s="28" t="s">
        <v>26</v>
      </c>
    </row>
    <row r="1124" spans="1:9" x14ac:dyDescent="0.3">
      <c r="A1124" s="26">
        <v>45329</v>
      </c>
      <c r="B1124" t="s">
        <v>752</v>
      </c>
      <c r="C1124" t="s">
        <v>753</v>
      </c>
      <c r="D1124">
        <v>0.42</v>
      </c>
      <c r="E1124" t="s">
        <v>553</v>
      </c>
      <c r="F1124" t="s">
        <v>754</v>
      </c>
      <c r="G1124" t="s">
        <v>765</v>
      </c>
      <c r="H1124" t="s">
        <v>30</v>
      </c>
      <c r="I1124" s="28" t="s">
        <v>26</v>
      </c>
    </row>
    <row r="1125" spans="1:9" x14ac:dyDescent="0.3">
      <c r="A1125" s="26">
        <v>45329</v>
      </c>
      <c r="B1125" t="s">
        <v>752</v>
      </c>
      <c r="C1125" t="s">
        <v>753</v>
      </c>
      <c r="D1125">
        <v>0.6</v>
      </c>
      <c r="E1125" t="s">
        <v>757</v>
      </c>
      <c r="F1125" t="s">
        <v>754</v>
      </c>
      <c r="G1125" t="s">
        <v>765</v>
      </c>
      <c r="H1125" t="s">
        <v>30</v>
      </c>
      <c r="I1125" s="28" t="s">
        <v>26</v>
      </c>
    </row>
    <row r="1126" spans="1:9" x14ac:dyDescent="0.3">
      <c r="A1126" s="26">
        <v>45329</v>
      </c>
      <c r="B1126" t="s">
        <v>752</v>
      </c>
      <c r="C1126" t="s">
        <v>753</v>
      </c>
      <c r="D1126">
        <v>0.77</v>
      </c>
      <c r="E1126" t="s">
        <v>664</v>
      </c>
      <c r="F1126" t="s">
        <v>754</v>
      </c>
      <c r="G1126" t="s">
        <v>1738</v>
      </c>
      <c r="H1126" t="s">
        <v>30</v>
      </c>
      <c r="I1126" s="28" t="s">
        <v>26</v>
      </c>
    </row>
    <row r="1127" spans="1:9" x14ac:dyDescent="0.3">
      <c r="A1127" s="26">
        <v>45329</v>
      </c>
      <c r="B1127" t="s">
        <v>752</v>
      </c>
      <c r="C1127" t="s">
        <v>753</v>
      </c>
      <c r="D1127">
        <v>1.38</v>
      </c>
      <c r="E1127" t="s">
        <v>659</v>
      </c>
      <c r="F1127" t="s">
        <v>754</v>
      </c>
      <c r="G1127" t="s">
        <v>765</v>
      </c>
      <c r="H1127" t="s">
        <v>30</v>
      </c>
      <c r="I1127" s="28" t="s">
        <v>26</v>
      </c>
    </row>
    <row r="1128" spans="1:9" x14ac:dyDescent="0.3">
      <c r="A1128" s="26">
        <v>45329</v>
      </c>
      <c r="B1128" t="s">
        <v>752</v>
      </c>
      <c r="C1128" t="s">
        <v>789</v>
      </c>
      <c r="D1128">
        <v>0.25</v>
      </c>
      <c r="E1128" t="s">
        <v>757</v>
      </c>
      <c r="F1128" t="s">
        <v>772</v>
      </c>
      <c r="G1128" t="s">
        <v>1739</v>
      </c>
      <c r="H1128" t="s">
        <v>30</v>
      </c>
      <c r="I1128" s="28" t="s">
        <v>26</v>
      </c>
    </row>
    <row r="1129" spans="1:9" x14ac:dyDescent="0.3">
      <c r="A1129" s="26">
        <v>45329</v>
      </c>
      <c r="B1129" t="s">
        <v>752</v>
      </c>
      <c r="C1129" t="s">
        <v>771</v>
      </c>
      <c r="D1129">
        <v>0.23</v>
      </c>
      <c r="E1129" t="s">
        <v>7</v>
      </c>
      <c r="F1129" t="s">
        <v>772</v>
      </c>
      <c r="G1129" t="s">
        <v>1740</v>
      </c>
      <c r="H1129" t="s">
        <v>30</v>
      </c>
      <c r="I1129" s="28" t="s">
        <v>26</v>
      </c>
    </row>
    <row r="1130" spans="1:9" x14ac:dyDescent="0.3">
      <c r="A1130" s="26">
        <v>45329</v>
      </c>
      <c r="B1130" t="s">
        <v>752</v>
      </c>
      <c r="C1130" t="s">
        <v>771</v>
      </c>
      <c r="D1130">
        <v>0.25</v>
      </c>
      <c r="E1130" t="s">
        <v>7</v>
      </c>
      <c r="F1130" t="s">
        <v>772</v>
      </c>
      <c r="G1130" t="s">
        <v>774</v>
      </c>
      <c r="H1130" t="s">
        <v>30</v>
      </c>
      <c r="I1130" s="28" t="s">
        <v>26</v>
      </c>
    </row>
    <row r="1131" spans="1:9" x14ac:dyDescent="0.3">
      <c r="A1131" s="26">
        <v>45329</v>
      </c>
      <c r="B1131" t="s">
        <v>752</v>
      </c>
      <c r="C1131" t="s">
        <v>771</v>
      </c>
      <c r="D1131">
        <v>0.25</v>
      </c>
      <c r="E1131" t="s">
        <v>7</v>
      </c>
      <c r="F1131" t="s">
        <v>772</v>
      </c>
      <c r="G1131" t="s">
        <v>775</v>
      </c>
      <c r="H1131" t="s">
        <v>30</v>
      </c>
      <c r="I1131" s="28" t="s">
        <v>26</v>
      </c>
    </row>
    <row r="1132" spans="1:9" x14ac:dyDescent="0.3">
      <c r="A1132" s="26">
        <v>45329</v>
      </c>
      <c r="B1132" t="s">
        <v>752</v>
      </c>
      <c r="C1132" t="s">
        <v>834</v>
      </c>
      <c r="D1132">
        <v>0.23</v>
      </c>
      <c r="E1132" t="s">
        <v>7</v>
      </c>
      <c r="F1132" t="s">
        <v>772</v>
      </c>
      <c r="G1132" t="s">
        <v>1741</v>
      </c>
      <c r="H1132" t="s">
        <v>30</v>
      </c>
      <c r="I1132" s="28" t="s">
        <v>26</v>
      </c>
    </row>
    <row r="1133" spans="1:9" x14ac:dyDescent="0.3">
      <c r="A1133" s="26">
        <v>45329</v>
      </c>
      <c r="B1133" t="s">
        <v>752</v>
      </c>
      <c r="C1133" t="s">
        <v>834</v>
      </c>
      <c r="D1133">
        <v>0.5</v>
      </c>
      <c r="E1133" t="s">
        <v>7</v>
      </c>
      <c r="F1133" t="s">
        <v>772</v>
      </c>
      <c r="G1133" t="s">
        <v>1742</v>
      </c>
      <c r="H1133" t="s">
        <v>30</v>
      </c>
      <c r="I1133" s="28" t="s">
        <v>26</v>
      </c>
    </row>
    <row r="1134" spans="1:9" x14ac:dyDescent="0.3">
      <c r="A1134" s="26">
        <v>45329</v>
      </c>
      <c r="B1134" t="s">
        <v>752</v>
      </c>
      <c r="C1134" t="s">
        <v>874</v>
      </c>
      <c r="D1134">
        <v>0.35</v>
      </c>
      <c r="E1134" t="s">
        <v>7</v>
      </c>
      <c r="F1134" t="s">
        <v>772</v>
      </c>
      <c r="G1134" t="s">
        <v>1743</v>
      </c>
      <c r="H1134" t="s">
        <v>30</v>
      </c>
      <c r="I1134" s="28" t="s">
        <v>26</v>
      </c>
    </row>
    <row r="1135" spans="1:9" x14ac:dyDescent="0.3">
      <c r="A1135" s="26">
        <v>45329</v>
      </c>
      <c r="B1135" t="s">
        <v>752</v>
      </c>
      <c r="C1135" t="s">
        <v>776</v>
      </c>
      <c r="D1135">
        <v>0.15</v>
      </c>
      <c r="E1135" t="s">
        <v>659</v>
      </c>
      <c r="F1135" t="s">
        <v>754</v>
      </c>
      <c r="G1135" t="s">
        <v>755</v>
      </c>
      <c r="H1135" t="s">
        <v>30</v>
      </c>
      <c r="I1135" s="28" t="s">
        <v>26</v>
      </c>
    </row>
    <row r="1136" spans="1:9" x14ac:dyDescent="0.3">
      <c r="A1136" s="26">
        <v>45329</v>
      </c>
      <c r="B1136" t="s">
        <v>1093</v>
      </c>
      <c r="C1136" t="s">
        <v>1094</v>
      </c>
      <c r="D1136">
        <v>0.33</v>
      </c>
      <c r="E1136" t="s">
        <v>455</v>
      </c>
      <c r="F1136" t="s">
        <v>754</v>
      </c>
      <c r="G1136" t="s">
        <v>1744</v>
      </c>
      <c r="H1136" t="s">
        <v>30</v>
      </c>
      <c r="I1136" s="28" t="s">
        <v>26</v>
      </c>
    </row>
    <row r="1137" spans="1:9" x14ac:dyDescent="0.3">
      <c r="A1137" s="26">
        <v>45329</v>
      </c>
      <c r="B1137" t="s">
        <v>21</v>
      </c>
      <c r="C1137" t="s">
        <v>1163</v>
      </c>
      <c r="D1137">
        <v>4</v>
      </c>
      <c r="E1137" t="s">
        <v>7</v>
      </c>
      <c r="F1137" t="s">
        <v>772</v>
      </c>
      <c r="G1137" t="s">
        <v>1745</v>
      </c>
      <c r="H1137" t="s">
        <v>30</v>
      </c>
      <c r="I1137" s="28" t="s">
        <v>26</v>
      </c>
    </row>
    <row r="1138" spans="1:9" x14ac:dyDescent="0.3">
      <c r="A1138" s="26">
        <v>45329</v>
      </c>
      <c r="B1138" t="s">
        <v>21</v>
      </c>
      <c r="C1138" t="s">
        <v>753</v>
      </c>
      <c r="D1138">
        <v>0.25</v>
      </c>
      <c r="E1138" t="s">
        <v>13</v>
      </c>
      <c r="F1138" t="s">
        <v>754</v>
      </c>
      <c r="H1138" t="s">
        <v>30</v>
      </c>
      <c r="I1138" s="28" t="s">
        <v>26</v>
      </c>
    </row>
    <row r="1139" spans="1:9" x14ac:dyDescent="0.3">
      <c r="A1139" s="26">
        <v>45329</v>
      </c>
      <c r="B1139" t="s">
        <v>21</v>
      </c>
      <c r="C1139" t="s">
        <v>753</v>
      </c>
      <c r="D1139">
        <v>0.56999999999999995</v>
      </c>
      <c r="E1139" t="s">
        <v>1096</v>
      </c>
      <c r="F1139" t="s">
        <v>754</v>
      </c>
      <c r="G1139" t="s">
        <v>1746</v>
      </c>
      <c r="H1139" t="s">
        <v>30</v>
      </c>
      <c r="I1139" s="28" t="s">
        <v>26</v>
      </c>
    </row>
    <row r="1140" spans="1:9" x14ac:dyDescent="0.3">
      <c r="A1140" s="26">
        <v>45329</v>
      </c>
      <c r="B1140" t="s">
        <v>21</v>
      </c>
      <c r="C1140" t="s">
        <v>771</v>
      </c>
      <c r="D1140">
        <v>0.13</v>
      </c>
      <c r="E1140" t="s">
        <v>7</v>
      </c>
      <c r="F1140" t="s">
        <v>772</v>
      </c>
      <c r="G1140" t="s">
        <v>1747</v>
      </c>
      <c r="H1140" t="s">
        <v>30</v>
      </c>
      <c r="I1140" s="28" t="s">
        <v>26</v>
      </c>
    </row>
    <row r="1141" spans="1:9" x14ac:dyDescent="0.3">
      <c r="A1141" s="26">
        <v>45329</v>
      </c>
      <c r="B1141" t="s">
        <v>21</v>
      </c>
      <c r="C1141" t="s">
        <v>771</v>
      </c>
      <c r="D1141">
        <v>0.22</v>
      </c>
      <c r="E1141" t="s">
        <v>7</v>
      </c>
      <c r="F1141" t="s">
        <v>772</v>
      </c>
      <c r="G1141" t="s">
        <v>1748</v>
      </c>
      <c r="H1141" t="s">
        <v>30</v>
      </c>
      <c r="I1141" s="28" t="s">
        <v>26</v>
      </c>
    </row>
    <row r="1142" spans="1:9" x14ac:dyDescent="0.3">
      <c r="A1142" s="26">
        <v>45329</v>
      </c>
      <c r="B1142" t="s">
        <v>21</v>
      </c>
      <c r="C1142" t="s">
        <v>771</v>
      </c>
      <c r="D1142">
        <v>0.23</v>
      </c>
      <c r="E1142" t="s">
        <v>7</v>
      </c>
      <c r="F1142" t="s">
        <v>772</v>
      </c>
      <c r="G1142" t="s">
        <v>781</v>
      </c>
      <c r="H1142" t="s">
        <v>30</v>
      </c>
      <c r="I1142" s="28" t="s">
        <v>26</v>
      </c>
    </row>
    <row r="1143" spans="1:9" x14ac:dyDescent="0.3">
      <c r="A1143" s="26">
        <v>45329</v>
      </c>
      <c r="B1143" t="s">
        <v>21</v>
      </c>
      <c r="C1143" t="s">
        <v>771</v>
      </c>
      <c r="D1143">
        <v>0.32</v>
      </c>
      <c r="E1143" t="s">
        <v>7</v>
      </c>
      <c r="F1143" t="s">
        <v>772</v>
      </c>
      <c r="G1143" t="s">
        <v>1749</v>
      </c>
      <c r="H1143" t="s">
        <v>30</v>
      </c>
      <c r="I1143" s="28" t="s">
        <v>26</v>
      </c>
    </row>
    <row r="1144" spans="1:9" x14ac:dyDescent="0.3">
      <c r="A1144" s="26">
        <v>45329</v>
      </c>
      <c r="B1144" t="s">
        <v>21</v>
      </c>
      <c r="C1144" t="s">
        <v>771</v>
      </c>
      <c r="D1144">
        <v>0.37</v>
      </c>
      <c r="E1144" t="s">
        <v>7</v>
      </c>
      <c r="F1144" t="s">
        <v>772</v>
      </c>
      <c r="G1144" t="s">
        <v>1750</v>
      </c>
      <c r="H1144" t="s">
        <v>30</v>
      </c>
      <c r="I1144" s="28" t="s">
        <v>26</v>
      </c>
    </row>
    <row r="1145" spans="1:9" x14ac:dyDescent="0.3">
      <c r="A1145" s="26">
        <v>45329</v>
      </c>
      <c r="B1145" t="s">
        <v>21</v>
      </c>
      <c r="C1145" t="s">
        <v>771</v>
      </c>
      <c r="D1145">
        <v>0.45</v>
      </c>
      <c r="E1145" t="s">
        <v>7</v>
      </c>
      <c r="F1145" t="s">
        <v>772</v>
      </c>
      <c r="G1145" t="s">
        <v>1751</v>
      </c>
      <c r="H1145" t="s">
        <v>30</v>
      </c>
      <c r="I1145" s="28" t="s">
        <v>26</v>
      </c>
    </row>
    <row r="1146" spans="1:9" x14ac:dyDescent="0.3">
      <c r="A1146" s="26">
        <v>45329</v>
      </c>
      <c r="B1146" t="s">
        <v>21</v>
      </c>
      <c r="C1146" t="s">
        <v>874</v>
      </c>
      <c r="D1146">
        <v>0.25</v>
      </c>
      <c r="E1146" t="s">
        <v>7</v>
      </c>
      <c r="F1146" t="s">
        <v>772</v>
      </c>
      <c r="G1146" t="s">
        <v>1752</v>
      </c>
      <c r="H1146" t="s">
        <v>30</v>
      </c>
      <c r="I1146" s="28" t="s">
        <v>26</v>
      </c>
    </row>
    <row r="1147" spans="1:9" x14ac:dyDescent="0.3">
      <c r="A1147" s="26">
        <v>45329</v>
      </c>
      <c r="B1147" t="s">
        <v>21</v>
      </c>
      <c r="C1147" t="s">
        <v>874</v>
      </c>
      <c r="D1147">
        <v>0.38</v>
      </c>
      <c r="E1147" t="s">
        <v>7</v>
      </c>
      <c r="F1147" t="s">
        <v>772</v>
      </c>
      <c r="G1147" t="s">
        <v>1536</v>
      </c>
      <c r="H1147" t="s">
        <v>30</v>
      </c>
      <c r="I1147" s="28" t="s">
        <v>26</v>
      </c>
    </row>
    <row r="1148" spans="1:9" x14ac:dyDescent="0.3">
      <c r="A1148" s="26">
        <v>45329</v>
      </c>
      <c r="B1148" t="s">
        <v>21</v>
      </c>
      <c r="C1148" t="s">
        <v>776</v>
      </c>
      <c r="D1148">
        <v>0.83</v>
      </c>
      <c r="E1148" t="s">
        <v>13</v>
      </c>
      <c r="F1148" t="s">
        <v>754</v>
      </c>
      <c r="H1148" t="s">
        <v>30</v>
      </c>
      <c r="I1148" s="28" t="s">
        <v>26</v>
      </c>
    </row>
    <row r="1149" spans="1:9" x14ac:dyDescent="0.3">
      <c r="A1149" s="26">
        <v>45329</v>
      </c>
      <c r="B1149" t="s">
        <v>783</v>
      </c>
      <c r="C1149" t="s">
        <v>753</v>
      </c>
      <c r="D1149">
        <v>0.85</v>
      </c>
      <c r="E1149" t="s">
        <v>170</v>
      </c>
      <c r="F1149" t="s">
        <v>754</v>
      </c>
      <c r="G1149" t="s">
        <v>1753</v>
      </c>
      <c r="H1149" t="s">
        <v>30</v>
      </c>
      <c r="I1149" s="28" t="s">
        <v>26</v>
      </c>
    </row>
    <row r="1150" spans="1:9" x14ac:dyDescent="0.3">
      <c r="A1150" s="26">
        <v>45329</v>
      </c>
      <c r="B1150" t="s">
        <v>783</v>
      </c>
      <c r="C1150" t="s">
        <v>753</v>
      </c>
      <c r="D1150">
        <v>1.38</v>
      </c>
      <c r="E1150" t="s">
        <v>288</v>
      </c>
      <c r="F1150" t="s">
        <v>754</v>
      </c>
      <c r="G1150" t="s">
        <v>1754</v>
      </c>
      <c r="H1150" t="s">
        <v>30</v>
      </c>
      <c r="I1150" s="28" t="s">
        <v>26</v>
      </c>
    </row>
    <row r="1151" spans="1:9" x14ac:dyDescent="0.3">
      <c r="A1151" s="26">
        <v>45329</v>
      </c>
      <c r="B1151" t="s">
        <v>783</v>
      </c>
      <c r="C1151" t="s">
        <v>753</v>
      </c>
      <c r="D1151">
        <v>1.67</v>
      </c>
      <c r="E1151" t="s">
        <v>564</v>
      </c>
      <c r="F1151" t="s">
        <v>754</v>
      </c>
      <c r="G1151" t="s">
        <v>1755</v>
      </c>
      <c r="H1151" t="s">
        <v>30</v>
      </c>
      <c r="I1151" s="28" t="s">
        <v>26</v>
      </c>
    </row>
    <row r="1152" spans="1:9" x14ac:dyDescent="0.3">
      <c r="A1152" s="26">
        <v>45329</v>
      </c>
      <c r="B1152" t="s">
        <v>783</v>
      </c>
      <c r="C1152" t="s">
        <v>753</v>
      </c>
      <c r="D1152">
        <v>2.75</v>
      </c>
      <c r="E1152" t="s">
        <v>170</v>
      </c>
      <c r="F1152" t="s">
        <v>754</v>
      </c>
      <c r="G1152" t="s">
        <v>1755</v>
      </c>
      <c r="H1152" t="s">
        <v>30</v>
      </c>
      <c r="I1152" s="28" t="s">
        <v>26</v>
      </c>
    </row>
    <row r="1153" spans="1:9" x14ac:dyDescent="0.3">
      <c r="A1153" s="26">
        <v>45329</v>
      </c>
      <c r="B1153" t="s">
        <v>783</v>
      </c>
      <c r="C1153" t="s">
        <v>919</v>
      </c>
      <c r="D1153">
        <v>1.42</v>
      </c>
      <c r="E1153" t="s">
        <v>288</v>
      </c>
      <c r="F1153" t="s">
        <v>772</v>
      </c>
      <c r="G1153" t="s">
        <v>1756</v>
      </c>
      <c r="H1153" t="s">
        <v>30</v>
      </c>
      <c r="I1153" s="28" t="s">
        <v>26</v>
      </c>
    </row>
    <row r="1154" spans="1:9" x14ac:dyDescent="0.3">
      <c r="A1154" s="26">
        <v>45329</v>
      </c>
      <c r="B1154" t="s">
        <v>785</v>
      </c>
      <c r="C1154" t="s">
        <v>786</v>
      </c>
      <c r="D1154">
        <v>8</v>
      </c>
      <c r="E1154" t="s">
        <v>7</v>
      </c>
      <c r="F1154" t="s">
        <v>772</v>
      </c>
      <c r="G1154" t="s">
        <v>1324</v>
      </c>
      <c r="H1154" t="s">
        <v>30</v>
      </c>
      <c r="I1154" s="28" t="s">
        <v>26</v>
      </c>
    </row>
    <row r="1155" spans="1:9" x14ac:dyDescent="0.3">
      <c r="A1155" s="26">
        <v>45329</v>
      </c>
      <c r="B1155" t="s">
        <v>788</v>
      </c>
      <c r="C1155" t="s">
        <v>786</v>
      </c>
      <c r="D1155">
        <v>11</v>
      </c>
      <c r="E1155" t="s">
        <v>7</v>
      </c>
      <c r="F1155" t="s">
        <v>772</v>
      </c>
      <c r="H1155" t="s">
        <v>30</v>
      </c>
      <c r="I1155" s="28" t="s">
        <v>26</v>
      </c>
    </row>
    <row r="1156" spans="1:9" x14ac:dyDescent="0.3">
      <c r="A1156" s="26">
        <v>45329</v>
      </c>
      <c r="B1156" t="s">
        <v>792</v>
      </c>
      <c r="C1156" t="s">
        <v>753</v>
      </c>
      <c r="D1156">
        <v>0.56999999999999995</v>
      </c>
      <c r="E1156" t="s">
        <v>790</v>
      </c>
      <c r="F1156" t="s">
        <v>754</v>
      </c>
      <c r="G1156" t="s">
        <v>1539</v>
      </c>
      <c r="H1156" t="s">
        <v>30</v>
      </c>
      <c r="I1156" s="28" t="s">
        <v>26</v>
      </c>
    </row>
    <row r="1157" spans="1:9" x14ac:dyDescent="0.3">
      <c r="A1157" s="26">
        <v>45329</v>
      </c>
      <c r="B1157" t="s">
        <v>792</v>
      </c>
      <c r="C1157" t="s">
        <v>753</v>
      </c>
      <c r="D1157">
        <v>1.4</v>
      </c>
      <c r="E1157" t="s">
        <v>790</v>
      </c>
      <c r="F1157" t="s">
        <v>754</v>
      </c>
      <c r="G1157" t="s">
        <v>794</v>
      </c>
      <c r="H1157" t="s">
        <v>30</v>
      </c>
      <c r="I1157" s="28" t="s">
        <v>26</v>
      </c>
    </row>
    <row r="1158" spans="1:9" x14ac:dyDescent="0.3">
      <c r="A1158" s="26">
        <v>45329</v>
      </c>
      <c r="B1158" t="s">
        <v>792</v>
      </c>
      <c r="C1158" t="s">
        <v>753</v>
      </c>
      <c r="D1158">
        <v>1.78</v>
      </c>
      <c r="E1158" t="s">
        <v>790</v>
      </c>
      <c r="F1158" t="s">
        <v>754</v>
      </c>
      <c r="G1158" t="s">
        <v>793</v>
      </c>
      <c r="H1158" t="s">
        <v>30</v>
      </c>
      <c r="I1158" s="28" t="s">
        <v>26</v>
      </c>
    </row>
    <row r="1159" spans="1:9" x14ac:dyDescent="0.3">
      <c r="A1159" s="26">
        <v>45329</v>
      </c>
      <c r="B1159" t="s">
        <v>792</v>
      </c>
      <c r="C1159" t="s">
        <v>753</v>
      </c>
      <c r="D1159">
        <v>2.3199999999999998</v>
      </c>
      <c r="E1159" t="s">
        <v>790</v>
      </c>
      <c r="F1159" t="s">
        <v>754</v>
      </c>
      <c r="G1159" t="s">
        <v>1757</v>
      </c>
      <c r="H1159" t="s">
        <v>30</v>
      </c>
      <c r="I1159" s="28" t="s">
        <v>26</v>
      </c>
    </row>
    <row r="1160" spans="1:9" x14ac:dyDescent="0.3">
      <c r="A1160" s="26">
        <v>45329</v>
      </c>
      <c r="B1160" t="s">
        <v>792</v>
      </c>
      <c r="C1160" t="s">
        <v>753</v>
      </c>
      <c r="D1160">
        <v>2.52</v>
      </c>
      <c r="E1160" t="s">
        <v>790</v>
      </c>
      <c r="F1160" t="s">
        <v>754</v>
      </c>
      <c r="G1160" t="s">
        <v>1758</v>
      </c>
      <c r="H1160" t="s">
        <v>30</v>
      </c>
      <c r="I1160" s="28" t="s">
        <v>26</v>
      </c>
    </row>
    <row r="1161" spans="1:9" x14ac:dyDescent="0.3">
      <c r="A1161" s="26">
        <v>45329</v>
      </c>
      <c r="B1161" t="s">
        <v>796</v>
      </c>
      <c r="C1161" t="s">
        <v>753</v>
      </c>
      <c r="D1161">
        <v>0.57999999999999996</v>
      </c>
      <c r="E1161" t="s">
        <v>655</v>
      </c>
      <c r="F1161" t="s">
        <v>754</v>
      </c>
      <c r="G1161" t="s">
        <v>765</v>
      </c>
      <c r="H1161" t="s">
        <v>30</v>
      </c>
      <c r="I1161" s="28" t="s">
        <v>26</v>
      </c>
    </row>
    <row r="1162" spans="1:9" x14ac:dyDescent="0.3">
      <c r="A1162" s="26">
        <v>45329</v>
      </c>
      <c r="B1162" t="s">
        <v>796</v>
      </c>
      <c r="C1162" t="s">
        <v>753</v>
      </c>
      <c r="D1162">
        <v>1.58</v>
      </c>
      <c r="E1162" t="s">
        <v>585</v>
      </c>
      <c r="F1162" t="s">
        <v>754</v>
      </c>
      <c r="G1162" t="s">
        <v>797</v>
      </c>
      <c r="H1162" t="s">
        <v>30</v>
      </c>
      <c r="I1162" s="28" t="s">
        <v>26</v>
      </c>
    </row>
    <row r="1163" spans="1:9" x14ac:dyDescent="0.3">
      <c r="A1163" s="26">
        <v>45329</v>
      </c>
      <c r="B1163" t="s">
        <v>796</v>
      </c>
      <c r="C1163" t="s">
        <v>753</v>
      </c>
      <c r="D1163">
        <v>4.75</v>
      </c>
      <c r="E1163" t="s">
        <v>430</v>
      </c>
      <c r="F1163" t="s">
        <v>754</v>
      </c>
      <c r="G1163" t="s">
        <v>1116</v>
      </c>
      <c r="H1163" t="s">
        <v>30</v>
      </c>
      <c r="I1163" s="28" t="s">
        <v>26</v>
      </c>
    </row>
    <row r="1164" spans="1:9" x14ac:dyDescent="0.3">
      <c r="A1164" s="26">
        <v>45329</v>
      </c>
      <c r="B1164" t="s">
        <v>796</v>
      </c>
      <c r="C1164" t="s">
        <v>771</v>
      </c>
      <c r="D1164">
        <v>0.42</v>
      </c>
      <c r="E1164" t="s">
        <v>7</v>
      </c>
      <c r="F1164" t="s">
        <v>772</v>
      </c>
      <c r="G1164" t="s">
        <v>1332</v>
      </c>
      <c r="H1164" t="s">
        <v>30</v>
      </c>
      <c r="I1164" s="28" t="s">
        <v>26</v>
      </c>
    </row>
    <row r="1165" spans="1:9" x14ac:dyDescent="0.3">
      <c r="A1165" s="26">
        <v>45329</v>
      </c>
      <c r="B1165" t="s">
        <v>796</v>
      </c>
      <c r="C1165" t="s">
        <v>776</v>
      </c>
      <c r="D1165">
        <v>0.75</v>
      </c>
      <c r="E1165" t="s">
        <v>727</v>
      </c>
      <c r="F1165" t="s">
        <v>754</v>
      </c>
      <c r="H1165" t="s">
        <v>30</v>
      </c>
      <c r="I1165" s="28" t="s">
        <v>26</v>
      </c>
    </row>
    <row r="1166" spans="1:9" x14ac:dyDescent="0.3">
      <c r="A1166" s="26">
        <v>45329</v>
      </c>
      <c r="B1166" t="s">
        <v>801</v>
      </c>
      <c r="C1166" t="s">
        <v>802</v>
      </c>
      <c r="D1166">
        <v>9.4499999999999993</v>
      </c>
      <c r="E1166" t="s">
        <v>7</v>
      </c>
      <c r="F1166" t="s">
        <v>772</v>
      </c>
      <c r="H1166" t="s">
        <v>30</v>
      </c>
      <c r="I1166" s="28" t="s">
        <v>26</v>
      </c>
    </row>
    <row r="1167" spans="1:9" x14ac:dyDescent="0.3">
      <c r="A1167" s="26">
        <v>45329</v>
      </c>
      <c r="B1167" t="s">
        <v>808</v>
      </c>
      <c r="C1167" t="s">
        <v>802</v>
      </c>
      <c r="D1167">
        <v>9.18</v>
      </c>
      <c r="E1167" t="s">
        <v>7</v>
      </c>
      <c r="F1167" t="s">
        <v>772</v>
      </c>
      <c r="G1167" t="s">
        <v>1759</v>
      </c>
      <c r="H1167" t="s">
        <v>30</v>
      </c>
      <c r="I1167" s="28" t="s">
        <v>26</v>
      </c>
    </row>
    <row r="1168" spans="1:9" x14ac:dyDescent="0.3">
      <c r="A1168" s="26">
        <v>45329</v>
      </c>
      <c r="B1168" t="s">
        <v>810</v>
      </c>
      <c r="C1168" t="s">
        <v>753</v>
      </c>
      <c r="D1168">
        <v>0.17</v>
      </c>
      <c r="E1168" t="s">
        <v>898</v>
      </c>
      <c r="F1168" t="s">
        <v>772</v>
      </c>
      <c r="G1168" t="s">
        <v>1760</v>
      </c>
      <c r="H1168" t="s">
        <v>30</v>
      </c>
      <c r="I1168" s="28" t="s">
        <v>26</v>
      </c>
    </row>
    <row r="1169" spans="1:9" x14ac:dyDescent="0.3">
      <c r="A1169" s="26">
        <v>45329</v>
      </c>
      <c r="B1169" t="s">
        <v>810</v>
      </c>
      <c r="C1169" t="s">
        <v>753</v>
      </c>
      <c r="D1169">
        <v>0.25</v>
      </c>
      <c r="E1169" t="s">
        <v>910</v>
      </c>
      <c r="F1169" t="s">
        <v>754</v>
      </c>
      <c r="G1169" t="s">
        <v>1761</v>
      </c>
      <c r="H1169" t="s">
        <v>30</v>
      </c>
      <c r="I1169" s="28" t="s">
        <v>26</v>
      </c>
    </row>
    <row r="1170" spans="1:9" x14ac:dyDescent="0.3">
      <c r="A1170" s="26">
        <v>45329</v>
      </c>
      <c r="B1170" t="s">
        <v>810</v>
      </c>
      <c r="C1170" t="s">
        <v>753</v>
      </c>
      <c r="D1170">
        <v>0.33</v>
      </c>
      <c r="E1170" t="s">
        <v>1069</v>
      </c>
      <c r="F1170" t="s">
        <v>754</v>
      </c>
      <c r="G1170" t="s">
        <v>1762</v>
      </c>
      <c r="H1170" t="s">
        <v>30</v>
      </c>
      <c r="I1170" s="28" t="s">
        <v>26</v>
      </c>
    </row>
    <row r="1171" spans="1:9" x14ac:dyDescent="0.3">
      <c r="A1171" s="26">
        <v>45329</v>
      </c>
      <c r="B1171" t="s">
        <v>810</v>
      </c>
      <c r="C1171" t="s">
        <v>753</v>
      </c>
      <c r="D1171">
        <v>0.42</v>
      </c>
      <c r="E1171" t="s">
        <v>814</v>
      </c>
      <c r="F1171" t="s">
        <v>754</v>
      </c>
      <c r="G1171" t="s">
        <v>1762</v>
      </c>
      <c r="H1171" t="s">
        <v>30</v>
      </c>
      <c r="I1171" s="28" t="s">
        <v>26</v>
      </c>
    </row>
    <row r="1172" spans="1:9" x14ac:dyDescent="0.3">
      <c r="A1172" s="26">
        <v>45329</v>
      </c>
      <c r="B1172" t="s">
        <v>810</v>
      </c>
      <c r="C1172" t="s">
        <v>753</v>
      </c>
      <c r="D1172">
        <v>0.5</v>
      </c>
      <c r="E1172" t="s">
        <v>815</v>
      </c>
      <c r="F1172" t="s">
        <v>772</v>
      </c>
      <c r="G1172" t="s">
        <v>1336</v>
      </c>
      <c r="H1172" t="s">
        <v>30</v>
      </c>
      <c r="I1172" s="28" t="s">
        <v>26</v>
      </c>
    </row>
    <row r="1173" spans="1:9" x14ac:dyDescent="0.3">
      <c r="A1173" s="26">
        <v>45329</v>
      </c>
      <c r="B1173" t="s">
        <v>810</v>
      </c>
      <c r="C1173" t="s">
        <v>753</v>
      </c>
      <c r="D1173">
        <v>0.75</v>
      </c>
      <c r="E1173" t="s">
        <v>898</v>
      </c>
      <c r="F1173" t="s">
        <v>754</v>
      </c>
      <c r="G1173" t="s">
        <v>1763</v>
      </c>
      <c r="H1173" t="s">
        <v>30</v>
      </c>
      <c r="I1173" s="28" t="s">
        <v>26</v>
      </c>
    </row>
    <row r="1174" spans="1:9" x14ac:dyDescent="0.3">
      <c r="A1174" s="26">
        <v>45329</v>
      </c>
      <c r="B1174" t="s">
        <v>810</v>
      </c>
      <c r="C1174" t="s">
        <v>753</v>
      </c>
      <c r="D1174">
        <v>0.83</v>
      </c>
      <c r="E1174" t="s">
        <v>815</v>
      </c>
      <c r="F1174" t="s">
        <v>754</v>
      </c>
      <c r="G1174" t="s">
        <v>1762</v>
      </c>
      <c r="H1174" t="s">
        <v>30</v>
      </c>
      <c r="I1174" s="28" t="s">
        <v>26</v>
      </c>
    </row>
    <row r="1175" spans="1:9" x14ac:dyDescent="0.3">
      <c r="A1175" s="26">
        <v>45329</v>
      </c>
      <c r="B1175" t="s">
        <v>810</v>
      </c>
      <c r="C1175" t="s">
        <v>753</v>
      </c>
      <c r="D1175">
        <v>0.83</v>
      </c>
      <c r="E1175" t="s">
        <v>811</v>
      </c>
      <c r="F1175" t="s">
        <v>754</v>
      </c>
      <c r="G1175" t="s">
        <v>1762</v>
      </c>
      <c r="H1175" t="s">
        <v>30</v>
      </c>
      <c r="I1175" s="28" t="s">
        <v>26</v>
      </c>
    </row>
    <row r="1176" spans="1:9" x14ac:dyDescent="0.3">
      <c r="A1176" s="26">
        <v>45329</v>
      </c>
      <c r="B1176" t="s">
        <v>810</v>
      </c>
      <c r="C1176" t="s">
        <v>753</v>
      </c>
      <c r="D1176">
        <v>1.33</v>
      </c>
      <c r="E1176" t="s">
        <v>817</v>
      </c>
      <c r="F1176" t="s">
        <v>754</v>
      </c>
      <c r="G1176" t="s">
        <v>1762</v>
      </c>
      <c r="H1176" t="s">
        <v>30</v>
      </c>
      <c r="I1176" s="28" t="s">
        <v>26</v>
      </c>
    </row>
    <row r="1177" spans="1:9" x14ac:dyDescent="0.3">
      <c r="A1177" s="26">
        <v>45329</v>
      </c>
      <c r="B1177" t="s">
        <v>810</v>
      </c>
      <c r="C1177" t="s">
        <v>753</v>
      </c>
      <c r="D1177">
        <v>1.58</v>
      </c>
      <c r="E1177" t="s">
        <v>813</v>
      </c>
      <c r="F1177" t="s">
        <v>754</v>
      </c>
      <c r="G1177" t="s">
        <v>1762</v>
      </c>
      <c r="H1177" t="s">
        <v>30</v>
      </c>
      <c r="I1177" s="28" t="s">
        <v>26</v>
      </c>
    </row>
    <row r="1178" spans="1:9" x14ac:dyDescent="0.3">
      <c r="A1178" s="26">
        <v>45329</v>
      </c>
      <c r="B1178" t="s">
        <v>810</v>
      </c>
      <c r="C1178" t="s">
        <v>771</v>
      </c>
      <c r="D1178">
        <v>0.5</v>
      </c>
      <c r="E1178" t="s">
        <v>7</v>
      </c>
      <c r="F1178" t="s">
        <v>772</v>
      </c>
      <c r="G1178" t="s">
        <v>781</v>
      </c>
      <c r="H1178" t="s">
        <v>30</v>
      </c>
      <c r="I1178" s="28" t="s">
        <v>26</v>
      </c>
    </row>
    <row r="1179" spans="1:9" x14ac:dyDescent="0.3">
      <c r="A1179" s="26">
        <v>45329</v>
      </c>
      <c r="B1179" t="s">
        <v>810</v>
      </c>
      <c r="C1179" t="s">
        <v>776</v>
      </c>
      <c r="D1179">
        <v>0.5</v>
      </c>
      <c r="E1179" t="s">
        <v>898</v>
      </c>
      <c r="F1179" t="s">
        <v>754</v>
      </c>
      <c r="G1179" t="s">
        <v>1764</v>
      </c>
      <c r="H1179" t="s">
        <v>30</v>
      </c>
      <c r="I1179" s="28" t="s">
        <v>26</v>
      </c>
    </row>
    <row r="1180" spans="1:9" x14ac:dyDescent="0.3">
      <c r="A1180" s="26">
        <v>45329</v>
      </c>
      <c r="B1180" t="s">
        <v>829</v>
      </c>
      <c r="C1180" t="s">
        <v>753</v>
      </c>
      <c r="D1180">
        <v>0.3</v>
      </c>
      <c r="E1180" t="s">
        <v>248</v>
      </c>
      <c r="F1180" t="s">
        <v>754</v>
      </c>
      <c r="G1180" t="s">
        <v>1012</v>
      </c>
      <c r="H1180" t="s">
        <v>30</v>
      </c>
      <c r="I1180" s="28" t="s">
        <v>26</v>
      </c>
    </row>
    <row r="1181" spans="1:9" x14ac:dyDescent="0.3">
      <c r="A1181" s="26">
        <v>45329</v>
      </c>
      <c r="B1181" t="s">
        <v>829</v>
      </c>
      <c r="C1181" t="s">
        <v>753</v>
      </c>
      <c r="D1181">
        <v>0.33</v>
      </c>
      <c r="E1181" t="s">
        <v>857</v>
      </c>
      <c r="F1181" t="s">
        <v>754</v>
      </c>
      <c r="G1181" t="s">
        <v>1765</v>
      </c>
      <c r="H1181" t="s">
        <v>30</v>
      </c>
      <c r="I1181" s="28" t="s">
        <v>26</v>
      </c>
    </row>
    <row r="1182" spans="1:9" x14ac:dyDescent="0.3">
      <c r="A1182" s="26">
        <v>45329</v>
      </c>
      <c r="B1182" t="s">
        <v>829</v>
      </c>
      <c r="C1182" t="s">
        <v>753</v>
      </c>
      <c r="D1182">
        <v>0.37</v>
      </c>
      <c r="E1182" t="s">
        <v>857</v>
      </c>
      <c r="F1182" t="s">
        <v>754</v>
      </c>
      <c r="G1182" t="s">
        <v>830</v>
      </c>
      <c r="H1182" t="s">
        <v>30</v>
      </c>
      <c r="I1182" s="28" t="s">
        <v>26</v>
      </c>
    </row>
    <row r="1183" spans="1:9" x14ac:dyDescent="0.3">
      <c r="A1183" s="26">
        <v>45329</v>
      </c>
      <c r="B1183" t="s">
        <v>829</v>
      </c>
      <c r="C1183" t="s">
        <v>753</v>
      </c>
      <c r="D1183">
        <v>0.55000000000000004</v>
      </c>
      <c r="E1183" t="s">
        <v>375</v>
      </c>
      <c r="F1183" t="s">
        <v>754</v>
      </c>
      <c r="G1183" t="s">
        <v>1127</v>
      </c>
      <c r="H1183" t="s">
        <v>30</v>
      </c>
      <c r="I1183" s="28" t="s">
        <v>26</v>
      </c>
    </row>
    <row r="1184" spans="1:9" x14ac:dyDescent="0.3">
      <c r="A1184" s="26">
        <v>45329</v>
      </c>
      <c r="B1184" t="s">
        <v>829</v>
      </c>
      <c r="C1184" t="s">
        <v>771</v>
      </c>
      <c r="D1184">
        <v>0.4</v>
      </c>
      <c r="E1184" t="s">
        <v>7</v>
      </c>
      <c r="F1184" t="s">
        <v>772</v>
      </c>
      <c r="G1184" t="s">
        <v>1766</v>
      </c>
      <c r="H1184" t="s">
        <v>30</v>
      </c>
      <c r="I1184" s="28" t="s">
        <v>26</v>
      </c>
    </row>
    <row r="1185" spans="1:9" x14ac:dyDescent="0.3">
      <c r="A1185" s="26">
        <v>45329</v>
      </c>
      <c r="B1185" t="s">
        <v>829</v>
      </c>
      <c r="C1185" t="s">
        <v>771</v>
      </c>
      <c r="D1185">
        <v>0.62</v>
      </c>
      <c r="E1185" t="s">
        <v>7</v>
      </c>
      <c r="F1185" t="s">
        <v>772</v>
      </c>
      <c r="G1185" t="s">
        <v>833</v>
      </c>
      <c r="H1185" t="s">
        <v>30</v>
      </c>
      <c r="I1185" s="28" t="s">
        <v>26</v>
      </c>
    </row>
    <row r="1186" spans="1:9" x14ac:dyDescent="0.3">
      <c r="A1186" s="26">
        <v>45329</v>
      </c>
      <c r="B1186" t="s">
        <v>829</v>
      </c>
      <c r="C1186" t="s">
        <v>776</v>
      </c>
      <c r="D1186">
        <v>0.56999999999999995</v>
      </c>
      <c r="E1186" t="s">
        <v>898</v>
      </c>
      <c r="F1186" t="s">
        <v>754</v>
      </c>
      <c r="G1186" t="s">
        <v>1767</v>
      </c>
      <c r="H1186" t="s">
        <v>30</v>
      </c>
      <c r="I1186" s="28" t="s">
        <v>26</v>
      </c>
    </row>
    <row r="1187" spans="1:9" x14ac:dyDescent="0.3">
      <c r="A1187" s="26">
        <v>45329</v>
      </c>
      <c r="B1187" t="s">
        <v>829</v>
      </c>
      <c r="C1187" t="s">
        <v>776</v>
      </c>
      <c r="D1187">
        <v>1.35</v>
      </c>
      <c r="E1187" t="s">
        <v>790</v>
      </c>
      <c r="F1187" t="s">
        <v>754</v>
      </c>
      <c r="G1187" t="s">
        <v>1768</v>
      </c>
      <c r="H1187" t="s">
        <v>30</v>
      </c>
      <c r="I1187" s="28" t="s">
        <v>26</v>
      </c>
    </row>
    <row r="1188" spans="1:9" x14ac:dyDescent="0.3">
      <c r="A1188" s="26">
        <v>45329</v>
      </c>
      <c r="B1188" t="s">
        <v>829</v>
      </c>
      <c r="C1188" t="s">
        <v>776</v>
      </c>
      <c r="D1188">
        <v>3.52</v>
      </c>
      <c r="E1188" t="s">
        <v>790</v>
      </c>
      <c r="F1188" t="s">
        <v>754</v>
      </c>
      <c r="H1188" t="s">
        <v>30</v>
      </c>
      <c r="I1188" s="28" t="s">
        <v>26</v>
      </c>
    </row>
    <row r="1189" spans="1:9" x14ac:dyDescent="0.3">
      <c r="A1189" s="26">
        <v>45329</v>
      </c>
      <c r="B1189" t="s">
        <v>840</v>
      </c>
      <c r="C1189" t="s">
        <v>771</v>
      </c>
      <c r="D1189">
        <v>9.58</v>
      </c>
      <c r="E1189" t="s">
        <v>7</v>
      </c>
      <c r="F1189" t="s">
        <v>772</v>
      </c>
      <c r="G1189" t="e">
        <f>- Emails - Checking Air BnB - ATO (Admin tasks) - ASIC</f>
        <v>#NAME?</v>
      </c>
      <c r="H1189" t="s">
        <v>30</v>
      </c>
      <c r="I1189" s="28" t="s">
        <v>26</v>
      </c>
    </row>
    <row r="1190" spans="1:9" x14ac:dyDescent="0.3">
      <c r="A1190" s="26">
        <v>45329</v>
      </c>
      <c r="B1190" t="s">
        <v>843</v>
      </c>
      <c r="C1190" t="s">
        <v>753</v>
      </c>
      <c r="D1190">
        <v>0.5</v>
      </c>
      <c r="E1190" t="s">
        <v>628</v>
      </c>
      <c r="F1190" t="s">
        <v>754</v>
      </c>
      <c r="G1190" t="s">
        <v>849</v>
      </c>
      <c r="H1190" t="s">
        <v>30</v>
      </c>
      <c r="I1190" s="28" t="s">
        <v>26</v>
      </c>
    </row>
    <row r="1191" spans="1:9" x14ac:dyDescent="0.3">
      <c r="A1191" s="26">
        <v>45329</v>
      </c>
      <c r="B1191" t="s">
        <v>843</v>
      </c>
      <c r="C1191" t="s">
        <v>753</v>
      </c>
      <c r="D1191">
        <v>0.57999999999999996</v>
      </c>
      <c r="E1191" t="s">
        <v>563</v>
      </c>
      <c r="F1191" t="s">
        <v>772</v>
      </c>
      <c r="G1191" t="s">
        <v>1769</v>
      </c>
      <c r="H1191" t="s">
        <v>30</v>
      </c>
      <c r="I1191" s="28" t="s">
        <v>26</v>
      </c>
    </row>
    <row r="1192" spans="1:9" x14ac:dyDescent="0.3">
      <c r="A1192" s="26">
        <v>45329</v>
      </c>
      <c r="B1192" t="s">
        <v>843</v>
      </c>
      <c r="C1192" t="s">
        <v>753</v>
      </c>
      <c r="D1192">
        <v>0.7</v>
      </c>
      <c r="E1192" t="s">
        <v>234</v>
      </c>
      <c r="F1192" t="s">
        <v>754</v>
      </c>
      <c r="G1192" t="s">
        <v>1770</v>
      </c>
      <c r="H1192" t="s">
        <v>30</v>
      </c>
      <c r="I1192" s="28" t="s">
        <v>26</v>
      </c>
    </row>
    <row r="1193" spans="1:9" x14ac:dyDescent="0.3">
      <c r="A1193" s="26">
        <v>45329</v>
      </c>
      <c r="B1193" t="s">
        <v>843</v>
      </c>
      <c r="C1193" t="s">
        <v>753</v>
      </c>
      <c r="D1193">
        <v>0.72</v>
      </c>
      <c r="E1193" t="s">
        <v>845</v>
      </c>
      <c r="F1193" t="s">
        <v>754</v>
      </c>
      <c r="G1193" t="s">
        <v>1771</v>
      </c>
      <c r="H1193" t="s">
        <v>30</v>
      </c>
      <c r="I1193" s="28" t="s">
        <v>26</v>
      </c>
    </row>
    <row r="1194" spans="1:9" x14ac:dyDescent="0.3">
      <c r="A1194" s="26">
        <v>45329</v>
      </c>
      <c r="B1194" t="s">
        <v>843</v>
      </c>
      <c r="C1194" t="s">
        <v>753</v>
      </c>
      <c r="D1194">
        <v>1.08</v>
      </c>
      <c r="E1194" t="s">
        <v>845</v>
      </c>
      <c r="F1194" t="s">
        <v>754</v>
      </c>
      <c r="G1194" t="s">
        <v>1772</v>
      </c>
      <c r="H1194" t="s">
        <v>30</v>
      </c>
      <c r="I1194" s="28" t="s">
        <v>26</v>
      </c>
    </row>
    <row r="1195" spans="1:9" x14ac:dyDescent="0.3">
      <c r="A1195" s="26">
        <v>45329</v>
      </c>
      <c r="B1195" t="s">
        <v>843</v>
      </c>
      <c r="C1195" t="s">
        <v>753</v>
      </c>
      <c r="D1195">
        <v>1.1000000000000001</v>
      </c>
      <c r="E1195" t="s">
        <v>845</v>
      </c>
      <c r="F1195" t="s">
        <v>754</v>
      </c>
      <c r="G1195" t="s">
        <v>1773</v>
      </c>
      <c r="H1195" t="s">
        <v>30</v>
      </c>
      <c r="I1195" s="28" t="s">
        <v>26</v>
      </c>
    </row>
    <row r="1196" spans="1:9" x14ac:dyDescent="0.3">
      <c r="A1196" s="26">
        <v>45329</v>
      </c>
      <c r="B1196" t="s">
        <v>843</v>
      </c>
      <c r="C1196" t="s">
        <v>753</v>
      </c>
      <c r="D1196">
        <v>1.5</v>
      </c>
      <c r="E1196" t="s">
        <v>234</v>
      </c>
      <c r="F1196" t="s">
        <v>772</v>
      </c>
      <c r="G1196" t="s">
        <v>1774</v>
      </c>
      <c r="H1196" t="s">
        <v>30</v>
      </c>
      <c r="I1196" s="28" t="s">
        <v>26</v>
      </c>
    </row>
    <row r="1197" spans="1:9" x14ac:dyDescent="0.3">
      <c r="A1197" s="26">
        <v>45329</v>
      </c>
      <c r="B1197" t="s">
        <v>843</v>
      </c>
      <c r="C1197" t="s">
        <v>853</v>
      </c>
      <c r="D1197">
        <v>0.47</v>
      </c>
      <c r="E1197" t="s">
        <v>259</v>
      </c>
      <c r="F1197" t="s">
        <v>754</v>
      </c>
      <c r="G1197" t="s">
        <v>846</v>
      </c>
      <c r="H1197" t="s">
        <v>30</v>
      </c>
      <c r="I1197" s="28" t="s">
        <v>26</v>
      </c>
    </row>
    <row r="1198" spans="1:9" x14ac:dyDescent="0.3">
      <c r="A1198" s="26">
        <v>45329</v>
      </c>
      <c r="B1198" t="s">
        <v>843</v>
      </c>
      <c r="C1198" t="s">
        <v>771</v>
      </c>
      <c r="D1198">
        <v>0.4</v>
      </c>
      <c r="E1198" t="s">
        <v>7</v>
      </c>
      <c r="F1198" t="s">
        <v>772</v>
      </c>
      <c r="G1198" t="s">
        <v>1012</v>
      </c>
      <c r="H1198" t="s">
        <v>30</v>
      </c>
      <c r="I1198" s="28" t="s">
        <v>26</v>
      </c>
    </row>
    <row r="1199" spans="1:9" x14ac:dyDescent="0.3">
      <c r="A1199" s="26">
        <v>45329</v>
      </c>
      <c r="B1199" t="s">
        <v>843</v>
      </c>
      <c r="C1199" t="s">
        <v>771</v>
      </c>
      <c r="D1199">
        <v>0.45</v>
      </c>
      <c r="E1199" t="s">
        <v>7</v>
      </c>
      <c r="F1199" t="s">
        <v>772</v>
      </c>
      <c r="H1199" t="s">
        <v>30</v>
      </c>
      <c r="I1199" s="28" t="s">
        <v>26</v>
      </c>
    </row>
    <row r="1200" spans="1:9" x14ac:dyDescent="0.3">
      <c r="A1200" s="26">
        <v>45329</v>
      </c>
      <c r="B1200" t="s">
        <v>843</v>
      </c>
      <c r="C1200" t="s">
        <v>771</v>
      </c>
      <c r="D1200">
        <v>0.5</v>
      </c>
      <c r="E1200" t="s">
        <v>7</v>
      </c>
      <c r="F1200" t="s">
        <v>772</v>
      </c>
      <c r="G1200" t="s">
        <v>781</v>
      </c>
      <c r="H1200" t="s">
        <v>30</v>
      </c>
      <c r="I1200" s="28" t="s">
        <v>26</v>
      </c>
    </row>
    <row r="1201" spans="1:9" x14ac:dyDescent="0.3">
      <c r="A1201" s="26">
        <v>45329</v>
      </c>
      <c r="B1201" t="s">
        <v>856</v>
      </c>
      <c r="C1201" t="s">
        <v>753</v>
      </c>
      <c r="D1201">
        <v>0.27</v>
      </c>
      <c r="E1201" t="s">
        <v>857</v>
      </c>
      <c r="F1201" t="s">
        <v>754</v>
      </c>
      <c r="G1201" t="s">
        <v>1146</v>
      </c>
      <c r="H1201" t="s">
        <v>30</v>
      </c>
      <c r="I1201" s="28" t="s">
        <v>26</v>
      </c>
    </row>
    <row r="1202" spans="1:9" x14ac:dyDescent="0.3">
      <c r="A1202" s="26">
        <v>45329</v>
      </c>
      <c r="B1202" t="s">
        <v>856</v>
      </c>
      <c r="C1202" t="s">
        <v>753</v>
      </c>
      <c r="D1202">
        <v>0.65</v>
      </c>
      <c r="E1202" t="s">
        <v>173</v>
      </c>
      <c r="F1202" t="s">
        <v>754</v>
      </c>
      <c r="G1202" t="s">
        <v>1775</v>
      </c>
      <c r="H1202" t="s">
        <v>30</v>
      </c>
      <c r="I1202" s="28" t="s">
        <v>26</v>
      </c>
    </row>
    <row r="1203" spans="1:9" x14ac:dyDescent="0.3">
      <c r="A1203" s="26">
        <v>45329</v>
      </c>
      <c r="B1203" t="s">
        <v>856</v>
      </c>
      <c r="C1203" t="s">
        <v>753</v>
      </c>
      <c r="D1203">
        <v>0.82</v>
      </c>
      <c r="E1203" t="s">
        <v>857</v>
      </c>
      <c r="F1203" t="s">
        <v>754</v>
      </c>
      <c r="G1203" t="s">
        <v>1776</v>
      </c>
      <c r="H1203" t="s">
        <v>30</v>
      </c>
      <c r="I1203" s="28" t="s">
        <v>26</v>
      </c>
    </row>
    <row r="1204" spans="1:9" x14ac:dyDescent="0.3">
      <c r="A1204" s="26">
        <v>45329</v>
      </c>
      <c r="B1204" t="s">
        <v>856</v>
      </c>
      <c r="C1204" t="s">
        <v>753</v>
      </c>
      <c r="D1204">
        <v>2.5</v>
      </c>
      <c r="E1204" t="s">
        <v>583</v>
      </c>
      <c r="F1204" t="s">
        <v>772</v>
      </c>
      <c r="G1204" t="s">
        <v>1777</v>
      </c>
      <c r="H1204" t="s">
        <v>30</v>
      </c>
      <c r="I1204" s="28" t="s">
        <v>26</v>
      </c>
    </row>
    <row r="1205" spans="1:9" x14ac:dyDescent="0.3">
      <c r="A1205" s="26">
        <v>45329</v>
      </c>
      <c r="B1205" t="s">
        <v>856</v>
      </c>
      <c r="C1205" t="s">
        <v>789</v>
      </c>
      <c r="D1205">
        <v>0.13</v>
      </c>
      <c r="E1205" t="s">
        <v>589</v>
      </c>
      <c r="F1205" t="s">
        <v>772</v>
      </c>
      <c r="G1205" t="s">
        <v>1778</v>
      </c>
      <c r="H1205" t="s">
        <v>30</v>
      </c>
      <c r="I1205" s="28" t="s">
        <v>26</v>
      </c>
    </row>
    <row r="1206" spans="1:9" x14ac:dyDescent="0.3">
      <c r="A1206" s="26">
        <v>45329</v>
      </c>
      <c r="B1206" t="s">
        <v>856</v>
      </c>
      <c r="C1206" t="s">
        <v>835</v>
      </c>
      <c r="D1206">
        <v>0.37</v>
      </c>
      <c r="E1206" t="s">
        <v>173</v>
      </c>
      <c r="F1206" t="s">
        <v>754</v>
      </c>
      <c r="G1206" t="s">
        <v>1779</v>
      </c>
      <c r="H1206" t="s">
        <v>30</v>
      </c>
      <c r="I1206" s="28" t="s">
        <v>26</v>
      </c>
    </row>
    <row r="1207" spans="1:9" x14ac:dyDescent="0.3">
      <c r="A1207" s="26">
        <v>45329</v>
      </c>
      <c r="B1207" t="s">
        <v>856</v>
      </c>
      <c r="C1207" t="s">
        <v>835</v>
      </c>
      <c r="D1207">
        <v>1.37</v>
      </c>
      <c r="E1207" t="s">
        <v>857</v>
      </c>
      <c r="F1207" t="s">
        <v>754</v>
      </c>
      <c r="G1207" t="s">
        <v>1780</v>
      </c>
      <c r="H1207" t="s">
        <v>30</v>
      </c>
      <c r="I1207" s="28" t="s">
        <v>26</v>
      </c>
    </row>
    <row r="1208" spans="1:9" x14ac:dyDescent="0.3">
      <c r="A1208" s="26">
        <v>45329</v>
      </c>
      <c r="B1208" t="s">
        <v>856</v>
      </c>
      <c r="C1208" t="s">
        <v>835</v>
      </c>
      <c r="D1208">
        <v>3.03</v>
      </c>
      <c r="E1208" t="s">
        <v>857</v>
      </c>
      <c r="F1208" t="s">
        <v>754</v>
      </c>
      <c r="G1208" t="s">
        <v>1781</v>
      </c>
      <c r="H1208" t="s">
        <v>30</v>
      </c>
      <c r="I1208" s="28" t="s">
        <v>26</v>
      </c>
    </row>
    <row r="1209" spans="1:9" x14ac:dyDescent="0.3">
      <c r="A1209" s="26">
        <v>45329</v>
      </c>
      <c r="B1209" t="s">
        <v>856</v>
      </c>
      <c r="C1209" t="s">
        <v>776</v>
      </c>
      <c r="D1209">
        <v>0.27</v>
      </c>
      <c r="E1209" t="s">
        <v>879</v>
      </c>
      <c r="F1209" t="s">
        <v>754</v>
      </c>
      <c r="G1209" t="s">
        <v>1782</v>
      </c>
      <c r="H1209" t="s">
        <v>30</v>
      </c>
      <c r="I1209" s="28" t="s">
        <v>26</v>
      </c>
    </row>
    <row r="1210" spans="1:9" x14ac:dyDescent="0.3">
      <c r="A1210" s="26">
        <v>45329</v>
      </c>
      <c r="B1210" t="s">
        <v>33</v>
      </c>
      <c r="C1210" t="s">
        <v>771</v>
      </c>
      <c r="D1210">
        <v>0.1</v>
      </c>
      <c r="E1210" t="s">
        <v>7</v>
      </c>
      <c r="F1210" t="s">
        <v>772</v>
      </c>
      <c r="G1210" t="s">
        <v>1783</v>
      </c>
      <c r="H1210" t="s">
        <v>30</v>
      </c>
      <c r="I1210" s="28" t="s">
        <v>26</v>
      </c>
    </row>
    <row r="1211" spans="1:9" x14ac:dyDescent="0.3">
      <c r="A1211" s="26">
        <v>45329</v>
      </c>
      <c r="B1211" t="s">
        <v>33</v>
      </c>
      <c r="C1211" t="s">
        <v>771</v>
      </c>
      <c r="D1211">
        <v>0.28000000000000003</v>
      </c>
      <c r="E1211" t="s">
        <v>7</v>
      </c>
      <c r="F1211" t="s">
        <v>772</v>
      </c>
      <c r="G1211" t="s">
        <v>1784</v>
      </c>
      <c r="H1211" t="s">
        <v>30</v>
      </c>
      <c r="I1211" s="28" t="s">
        <v>26</v>
      </c>
    </row>
    <row r="1212" spans="1:9" x14ac:dyDescent="0.3">
      <c r="A1212" s="26">
        <v>45329</v>
      </c>
      <c r="B1212" t="s">
        <v>33</v>
      </c>
      <c r="C1212" t="s">
        <v>771</v>
      </c>
      <c r="D1212">
        <v>0.32</v>
      </c>
      <c r="E1212" t="s">
        <v>7</v>
      </c>
      <c r="F1212" t="s">
        <v>772</v>
      </c>
      <c r="G1212" t="s">
        <v>1785</v>
      </c>
      <c r="H1212" t="s">
        <v>30</v>
      </c>
      <c r="I1212" s="28" t="s">
        <v>26</v>
      </c>
    </row>
    <row r="1213" spans="1:9" x14ac:dyDescent="0.3">
      <c r="A1213" s="26">
        <v>45329</v>
      </c>
      <c r="B1213" t="s">
        <v>33</v>
      </c>
      <c r="C1213" t="s">
        <v>771</v>
      </c>
      <c r="D1213">
        <v>0.35</v>
      </c>
      <c r="E1213" t="s">
        <v>7</v>
      </c>
      <c r="F1213" t="s">
        <v>772</v>
      </c>
      <c r="G1213" t="s">
        <v>1786</v>
      </c>
      <c r="H1213" t="s">
        <v>30</v>
      </c>
      <c r="I1213" s="28" t="s">
        <v>26</v>
      </c>
    </row>
    <row r="1214" spans="1:9" x14ac:dyDescent="0.3">
      <c r="A1214" s="26">
        <v>45329</v>
      </c>
      <c r="B1214" t="s">
        <v>33</v>
      </c>
      <c r="C1214" t="s">
        <v>771</v>
      </c>
      <c r="D1214">
        <v>0.95</v>
      </c>
      <c r="E1214" t="s">
        <v>7</v>
      </c>
      <c r="F1214" t="s">
        <v>772</v>
      </c>
      <c r="G1214" t="s">
        <v>1787</v>
      </c>
      <c r="H1214" t="s">
        <v>30</v>
      </c>
      <c r="I1214" s="28" t="s">
        <v>26</v>
      </c>
    </row>
    <row r="1215" spans="1:9" x14ac:dyDescent="0.3">
      <c r="A1215" s="26">
        <v>45329</v>
      </c>
      <c r="B1215" t="s">
        <v>33</v>
      </c>
      <c r="C1215" t="s">
        <v>771</v>
      </c>
      <c r="D1215">
        <v>1.1000000000000001</v>
      </c>
      <c r="E1215" t="s">
        <v>7</v>
      </c>
      <c r="F1215" t="s">
        <v>772</v>
      </c>
      <c r="G1215" t="s">
        <v>1788</v>
      </c>
      <c r="H1215" t="s">
        <v>30</v>
      </c>
      <c r="I1215" s="28" t="s">
        <v>26</v>
      </c>
    </row>
    <row r="1216" spans="1:9" x14ac:dyDescent="0.3">
      <c r="A1216" s="26">
        <v>45329</v>
      </c>
      <c r="B1216" t="s">
        <v>33</v>
      </c>
      <c r="C1216" t="s">
        <v>771</v>
      </c>
      <c r="D1216">
        <v>1.25</v>
      </c>
      <c r="E1216" t="s">
        <v>7</v>
      </c>
      <c r="F1216" t="s">
        <v>772</v>
      </c>
      <c r="G1216" t="s">
        <v>1789</v>
      </c>
      <c r="H1216" t="s">
        <v>30</v>
      </c>
      <c r="I1216" s="28" t="s">
        <v>26</v>
      </c>
    </row>
    <row r="1217" spans="1:9" x14ac:dyDescent="0.3">
      <c r="A1217" s="26">
        <v>45329</v>
      </c>
      <c r="B1217" t="s">
        <v>33</v>
      </c>
      <c r="C1217" t="s">
        <v>835</v>
      </c>
      <c r="D1217">
        <v>0.73</v>
      </c>
      <c r="E1217" t="s">
        <v>770</v>
      </c>
      <c r="F1217" t="s">
        <v>754</v>
      </c>
      <c r="G1217" t="s">
        <v>1790</v>
      </c>
      <c r="H1217" t="s">
        <v>30</v>
      </c>
      <c r="I1217" s="28" t="s">
        <v>26</v>
      </c>
    </row>
    <row r="1218" spans="1:9" x14ac:dyDescent="0.3">
      <c r="A1218" s="26">
        <v>45329</v>
      </c>
      <c r="B1218" t="s">
        <v>33</v>
      </c>
      <c r="C1218" t="s">
        <v>835</v>
      </c>
      <c r="D1218">
        <v>1.7</v>
      </c>
      <c r="E1218" t="s">
        <v>11</v>
      </c>
      <c r="F1218" t="s">
        <v>772</v>
      </c>
      <c r="G1218" t="s">
        <v>1791</v>
      </c>
      <c r="H1218" t="s">
        <v>30</v>
      </c>
      <c r="I1218" s="28" t="s">
        <v>26</v>
      </c>
    </row>
    <row r="1219" spans="1:9" x14ac:dyDescent="0.3">
      <c r="A1219" s="26">
        <v>45329</v>
      </c>
      <c r="B1219" t="s">
        <v>33</v>
      </c>
      <c r="C1219" t="s">
        <v>874</v>
      </c>
      <c r="D1219">
        <v>0.47</v>
      </c>
      <c r="E1219" t="s">
        <v>7</v>
      </c>
      <c r="F1219" t="s">
        <v>772</v>
      </c>
      <c r="G1219" t="s">
        <v>1792</v>
      </c>
      <c r="H1219" t="s">
        <v>30</v>
      </c>
      <c r="I1219" s="28" t="s">
        <v>26</v>
      </c>
    </row>
    <row r="1220" spans="1:9" x14ac:dyDescent="0.3">
      <c r="A1220" s="26">
        <v>45329</v>
      </c>
      <c r="B1220" t="s">
        <v>876</v>
      </c>
      <c r="C1220" t="s">
        <v>753</v>
      </c>
      <c r="D1220">
        <v>1.57</v>
      </c>
      <c r="E1220" t="s">
        <v>11</v>
      </c>
      <c r="F1220" t="s">
        <v>754</v>
      </c>
      <c r="H1220" t="s">
        <v>30</v>
      </c>
      <c r="I1220" s="28" t="s">
        <v>26</v>
      </c>
    </row>
    <row r="1221" spans="1:9" x14ac:dyDescent="0.3">
      <c r="A1221" s="26">
        <v>45329</v>
      </c>
      <c r="B1221" t="s">
        <v>876</v>
      </c>
      <c r="C1221" t="s">
        <v>776</v>
      </c>
      <c r="D1221">
        <v>6.53</v>
      </c>
      <c r="E1221" t="s">
        <v>664</v>
      </c>
      <c r="F1221" t="s">
        <v>754</v>
      </c>
      <c r="H1221" t="s">
        <v>30</v>
      </c>
      <c r="I1221" s="28" t="s">
        <v>26</v>
      </c>
    </row>
    <row r="1222" spans="1:9" x14ac:dyDescent="0.3">
      <c r="A1222" s="26">
        <v>45329</v>
      </c>
      <c r="B1222" t="s">
        <v>877</v>
      </c>
      <c r="C1222" t="s">
        <v>874</v>
      </c>
      <c r="D1222">
        <v>0.5</v>
      </c>
      <c r="E1222" t="s">
        <v>7</v>
      </c>
      <c r="F1222" t="s">
        <v>772</v>
      </c>
      <c r="G1222" t="s">
        <v>1793</v>
      </c>
      <c r="H1222" t="s">
        <v>30</v>
      </c>
      <c r="I1222" s="28" t="s">
        <v>26</v>
      </c>
    </row>
    <row r="1223" spans="1:9" x14ac:dyDescent="0.3">
      <c r="A1223" s="26">
        <v>45329</v>
      </c>
      <c r="B1223" t="s">
        <v>877</v>
      </c>
      <c r="C1223" t="s">
        <v>878</v>
      </c>
      <c r="D1223">
        <v>0.5</v>
      </c>
      <c r="E1223" t="s">
        <v>882</v>
      </c>
      <c r="F1223" t="s">
        <v>754</v>
      </c>
      <c r="G1223" t="s">
        <v>1794</v>
      </c>
      <c r="H1223" t="s">
        <v>30</v>
      </c>
      <c r="I1223" s="28" t="s">
        <v>26</v>
      </c>
    </row>
    <row r="1224" spans="1:9" x14ac:dyDescent="0.3">
      <c r="A1224" s="26">
        <v>45329</v>
      </c>
      <c r="B1224" t="s">
        <v>877</v>
      </c>
      <c r="C1224" t="s">
        <v>878</v>
      </c>
      <c r="D1224">
        <v>2.17</v>
      </c>
      <c r="E1224" t="s">
        <v>882</v>
      </c>
      <c r="F1224" t="s">
        <v>754</v>
      </c>
      <c r="G1224" t="s">
        <v>1795</v>
      </c>
      <c r="H1224" t="s">
        <v>30</v>
      </c>
      <c r="I1224" s="28" t="s">
        <v>26</v>
      </c>
    </row>
    <row r="1225" spans="1:9" x14ac:dyDescent="0.3">
      <c r="A1225" s="26">
        <v>45329</v>
      </c>
      <c r="B1225" t="s">
        <v>877</v>
      </c>
      <c r="C1225" t="s">
        <v>878</v>
      </c>
      <c r="D1225">
        <v>5.17</v>
      </c>
      <c r="E1225" t="s">
        <v>879</v>
      </c>
      <c r="F1225" t="s">
        <v>754</v>
      </c>
      <c r="G1225" t="s">
        <v>1796</v>
      </c>
      <c r="H1225" t="s">
        <v>30</v>
      </c>
      <c r="I1225" s="28" t="s">
        <v>26</v>
      </c>
    </row>
    <row r="1226" spans="1:9" x14ac:dyDescent="0.3">
      <c r="A1226" s="26">
        <v>45329</v>
      </c>
      <c r="B1226" t="s">
        <v>884</v>
      </c>
      <c r="C1226" t="s">
        <v>753</v>
      </c>
      <c r="D1226">
        <v>0.27</v>
      </c>
      <c r="E1226" t="s">
        <v>375</v>
      </c>
      <c r="F1226" t="s">
        <v>754</v>
      </c>
      <c r="G1226" t="s">
        <v>1797</v>
      </c>
      <c r="H1226" t="s">
        <v>30</v>
      </c>
      <c r="I1226" s="28" t="s">
        <v>26</v>
      </c>
    </row>
    <row r="1227" spans="1:9" x14ac:dyDescent="0.3">
      <c r="A1227" s="26">
        <v>45329</v>
      </c>
      <c r="B1227" t="s">
        <v>884</v>
      </c>
      <c r="C1227" t="s">
        <v>753</v>
      </c>
      <c r="D1227">
        <v>0.32</v>
      </c>
      <c r="E1227" t="s">
        <v>248</v>
      </c>
      <c r="F1227" t="s">
        <v>754</v>
      </c>
      <c r="G1227" t="s">
        <v>1798</v>
      </c>
      <c r="H1227" t="s">
        <v>30</v>
      </c>
      <c r="I1227" s="28" t="s">
        <v>26</v>
      </c>
    </row>
    <row r="1228" spans="1:9" x14ac:dyDescent="0.3">
      <c r="A1228" s="26">
        <v>45329</v>
      </c>
      <c r="B1228" t="s">
        <v>884</v>
      </c>
      <c r="C1228" t="s">
        <v>753</v>
      </c>
      <c r="D1228">
        <v>0.38</v>
      </c>
      <c r="E1228" t="s">
        <v>375</v>
      </c>
      <c r="F1228" t="s">
        <v>754</v>
      </c>
      <c r="G1228" t="s">
        <v>1799</v>
      </c>
      <c r="H1228" t="s">
        <v>30</v>
      </c>
      <c r="I1228" s="28" t="s">
        <v>26</v>
      </c>
    </row>
    <row r="1229" spans="1:9" x14ac:dyDescent="0.3">
      <c r="A1229" s="26">
        <v>45329</v>
      </c>
      <c r="B1229" t="s">
        <v>884</v>
      </c>
      <c r="C1229" t="s">
        <v>753</v>
      </c>
      <c r="D1229">
        <v>0.5</v>
      </c>
      <c r="E1229" t="s">
        <v>885</v>
      </c>
      <c r="F1229" t="s">
        <v>754</v>
      </c>
      <c r="G1229" t="s">
        <v>1800</v>
      </c>
      <c r="H1229" t="s">
        <v>30</v>
      </c>
      <c r="I1229" s="28" t="s">
        <v>26</v>
      </c>
    </row>
    <row r="1230" spans="1:9" x14ac:dyDescent="0.3">
      <c r="A1230" s="26">
        <v>45329</v>
      </c>
      <c r="B1230" t="s">
        <v>884</v>
      </c>
      <c r="C1230" t="s">
        <v>753</v>
      </c>
      <c r="D1230">
        <v>0.57999999999999996</v>
      </c>
      <c r="E1230" t="s">
        <v>316</v>
      </c>
      <c r="F1230" t="s">
        <v>754</v>
      </c>
      <c r="G1230" t="s">
        <v>1801</v>
      </c>
      <c r="H1230" t="s">
        <v>30</v>
      </c>
      <c r="I1230" s="28" t="s">
        <v>26</v>
      </c>
    </row>
    <row r="1231" spans="1:9" x14ac:dyDescent="0.3">
      <c r="A1231" s="26">
        <v>45329</v>
      </c>
      <c r="B1231" t="s">
        <v>884</v>
      </c>
      <c r="C1231" t="s">
        <v>753</v>
      </c>
      <c r="D1231">
        <v>0.62</v>
      </c>
      <c r="E1231" t="s">
        <v>248</v>
      </c>
      <c r="F1231" t="s">
        <v>754</v>
      </c>
      <c r="G1231" t="s">
        <v>1802</v>
      </c>
      <c r="H1231" t="s">
        <v>30</v>
      </c>
      <c r="I1231" s="28" t="s">
        <v>26</v>
      </c>
    </row>
    <row r="1232" spans="1:9" x14ac:dyDescent="0.3">
      <c r="A1232" s="26">
        <v>45329</v>
      </c>
      <c r="B1232" t="s">
        <v>884</v>
      </c>
      <c r="C1232" t="s">
        <v>753</v>
      </c>
      <c r="D1232">
        <v>0.92</v>
      </c>
      <c r="E1232" t="s">
        <v>248</v>
      </c>
      <c r="F1232" t="s">
        <v>754</v>
      </c>
      <c r="G1232" t="s">
        <v>1803</v>
      </c>
      <c r="H1232" t="s">
        <v>30</v>
      </c>
      <c r="I1232" s="28" t="s">
        <v>26</v>
      </c>
    </row>
    <row r="1233" spans="1:9" x14ac:dyDescent="0.3">
      <c r="A1233" s="26">
        <v>45329</v>
      </c>
      <c r="B1233" t="s">
        <v>884</v>
      </c>
      <c r="C1233" t="s">
        <v>753</v>
      </c>
      <c r="D1233">
        <v>1.42</v>
      </c>
      <c r="E1233" t="s">
        <v>562</v>
      </c>
      <c r="F1233" t="s">
        <v>754</v>
      </c>
      <c r="G1233" t="s">
        <v>1804</v>
      </c>
      <c r="H1233" t="s">
        <v>30</v>
      </c>
      <c r="I1233" s="28" t="s">
        <v>26</v>
      </c>
    </row>
    <row r="1234" spans="1:9" x14ac:dyDescent="0.3">
      <c r="A1234" s="26">
        <v>45329</v>
      </c>
      <c r="B1234" t="s">
        <v>884</v>
      </c>
      <c r="C1234" t="s">
        <v>753</v>
      </c>
      <c r="D1234">
        <v>1.45</v>
      </c>
      <c r="E1234" t="s">
        <v>375</v>
      </c>
      <c r="F1234" t="s">
        <v>754</v>
      </c>
      <c r="G1234" t="s">
        <v>1805</v>
      </c>
      <c r="H1234" t="s">
        <v>30</v>
      </c>
      <c r="I1234" s="28" t="s">
        <v>26</v>
      </c>
    </row>
    <row r="1235" spans="1:9" x14ac:dyDescent="0.3">
      <c r="A1235" s="26">
        <v>45329</v>
      </c>
      <c r="B1235" t="s">
        <v>884</v>
      </c>
      <c r="C1235" t="s">
        <v>874</v>
      </c>
      <c r="D1235">
        <v>0.38</v>
      </c>
      <c r="E1235" t="s">
        <v>7</v>
      </c>
      <c r="F1235" t="s">
        <v>772</v>
      </c>
      <c r="G1235" t="s">
        <v>1806</v>
      </c>
      <c r="H1235" t="s">
        <v>30</v>
      </c>
      <c r="I1235" s="28" t="s">
        <v>26</v>
      </c>
    </row>
    <row r="1236" spans="1:9" x14ac:dyDescent="0.3">
      <c r="A1236" s="26">
        <v>45329</v>
      </c>
      <c r="B1236" t="s">
        <v>884</v>
      </c>
      <c r="C1236" t="s">
        <v>874</v>
      </c>
      <c r="D1236">
        <v>0.43</v>
      </c>
      <c r="E1236" t="s">
        <v>7</v>
      </c>
      <c r="F1236" t="s">
        <v>772</v>
      </c>
      <c r="G1236" t="s">
        <v>1807</v>
      </c>
      <c r="H1236" t="s">
        <v>30</v>
      </c>
      <c r="I1236" s="28" t="s">
        <v>26</v>
      </c>
    </row>
    <row r="1237" spans="1:9" x14ac:dyDescent="0.3">
      <c r="A1237" s="26">
        <v>45329</v>
      </c>
      <c r="B1237" t="s">
        <v>884</v>
      </c>
      <c r="C1237" t="s">
        <v>874</v>
      </c>
      <c r="D1237">
        <v>0.83</v>
      </c>
      <c r="E1237" t="s">
        <v>7</v>
      </c>
      <c r="F1237" t="s">
        <v>772</v>
      </c>
      <c r="G1237" t="s">
        <v>1808</v>
      </c>
      <c r="H1237" t="s">
        <v>30</v>
      </c>
      <c r="I1237" s="28" t="s">
        <v>26</v>
      </c>
    </row>
    <row r="1238" spans="1:9" x14ac:dyDescent="0.3">
      <c r="A1238" s="26">
        <v>45329</v>
      </c>
      <c r="B1238" t="s">
        <v>884</v>
      </c>
      <c r="C1238" t="s">
        <v>776</v>
      </c>
      <c r="D1238">
        <v>0.15</v>
      </c>
      <c r="E1238" t="s">
        <v>562</v>
      </c>
      <c r="F1238" t="s">
        <v>754</v>
      </c>
      <c r="H1238" t="s">
        <v>30</v>
      </c>
      <c r="I1238" s="28" t="s">
        <v>26</v>
      </c>
    </row>
    <row r="1239" spans="1:9" x14ac:dyDescent="0.3">
      <c r="A1239" s="26">
        <v>45329</v>
      </c>
      <c r="B1239" t="s">
        <v>891</v>
      </c>
      <c r="C1239" t="s">
        <v>802</v>
      </c>
      <c r="D1239">
        <v>8</v>
      </c>
      <c r="E1239" t="s">
        <v>7</v>
      </c>
      <c r="F1239" t="s">
        <v>772</v>
      </c>
      <c r="G1239" t="s">
        <v>892</v>
      </c>
      <c r="H1239" t="s">
        <v>30</v>
      </c>
      <c r="I1239" s="28" t="s">
        <v>26</v>
      </c>
    </row>
    <row r="1240" spans="1:9" x14ac:dyDescent="0.3">
      <c r="A1240" s="26">
        <v>45329</v>
      </c>
      <c r="B1240" t="s">
        <v>34</v>
      </c>
      <c r="C1240" t="s">
        <v>802</v>
      </c>
      <c r="D1240">
        <v>8</v>
      </c>
      <c r="E1240" t="s">
        <v>7</v>
      </c>
      <c r="F1240" t="s">
        <v>772</v>
      </c>
      <c r="H1240" t="s">
        <v>30</v>
      </c>
      <c r="I1240" s="28" t="s">
        <v>26</v>
      </c>
    </row>
    <row r="1241" spans="1:9" x14ac:dyDescent="0.3">
      <c r="A1241" s="26">
        <v>45329</v>
      </c>
      <c r="B1241" t="s">
        <v>893</v>
      </c>
      <c r="C1241" t="s">
        <v>802</v>
      </c>
      <c r="D1241">
        <v>8</v>
      </c>
      <c r="E1241" t="s">
        <v>7</v>
      </c>
      <c r="F1241" t="s">
        <v>772</v>
      </c>
      <c r="G1241" t="s">
        <v>1809</v>
      </c>
      <c r="H1241" t="s">
        <v>30</v>
      </c>
      <c r="I1241" s="28" t="s">
        <v>26</v>
      </c>
    </row>
    <row r="1242" spans="1:9" x14ac:dyDescent="0.3">
      <c r="A1242" s="26">
        <v>45329</v>
      </c>
      <c r="B1242" t="s">
        <v>895</v>
      </c>
      <c r="C1242" t="s">
        <v>753</v>
      </c>
      <c r="D1242">
        <v>0.27</v>
      </c>
      <c r="E1242" t="s">
        <v>898</v>
      </c>
      <c r="F1242" t="s">
        <v>754</v>
      </c>
      <c r="G1242" t="s">
        <v>1810</v>
      </c>
      <c r="H1242" t="s">
        <v>30</v>
      </c>
      <c r="I1242" s="28" t="s">
        <v>26</v>
      </c>
    </row>
    <row r="1243" spans="1:9" x14ac:dyDescent="0.3">
      <c r="A1243" s="26">
        <v>45329</v>
      </c>
      <c r="B1243" t="s">
        <v>895</v>
      </c>
      <c r="C1243" t="s">
        <v>753</v>
      </c>
      <c r="D1243">
        <v>0.33</v>
      </c>
      <c r="E1243" t="s">
        <v>1172</v>
      </c>
      <c r="F1243" t="s">
        <v>754</v>
      </c>
      <c r="G1243" t="s">
        <v>1811</v>
      </c>
      <c r="H1243" t="s">
        <v>30</v>
      </c>
      <c r="I1243" s="28" t="s">
        <v>26</v>
      </c>
    </row>
    <row r="1244" spans="1:9" x14ac:dyDescent="0.3">
      <c r="A1244" s="26">
        <v>45329</v>
      </c>
      <c r="B1244" t="s">
        <v>895</v>
      </c>
      <c r="C1244" t="s">
        <v>753</v>
      </c>
      <c r="D1244">
        <v>0.42</v>
      </c>
      <c r="E1244" t="s">
        <v>815</v>
      </c>
      <c r="F1244" t="s">
        <v>754</v>
      </c>
      <c r="G1244" t="s">
        <v>1812</v>
      </c>
      <c r="H1244" t="s">
        <v>30</v>
      </c>
      <c r="I1244" s="28" t="s">
        <v>26</v>
      </c>
    </row>
    <row r="1245" spans="1:9" x14ac:dyDescent="0.3">
      <c r="A1245" s="26">
        <v>45329</v>
      </c>
      <c r="B1245" t="s">
        <v>895</v>
      </c>
      <c r="C1245" t="s">
        <v>753</v>
      </c>
      <c r="D1245">
        <v>0.5</v>
      </c>
      <c r="E1245" t="s">
        <v>1172</v>
      </c>
      <c r="F1245" t="s">
        <v>754</v>
      </c>
      <c r="G1245" t="s">
        <v>1813</v>
      </c>
      <c r="H1245" t="s">
        <v>30</v>
      </c>
      <c r="I1245" s="28" t="s">
        <v>26</v>
      </c>
    </row>
    <row r="1246" spans="1:9" x14ac:dyDescent="0.3">
      <c r="A1246" s="26">
        <v>45329</v>
      </c>
      <c r="B1246" t="s">
        <v>895</v>
      </c>
      <c r="C1246" t="s">
        <v>753</v>
      </c>
      <c r="D1246">
        <v>0.72</v>
      </c>
      <c r="E1246" t="s">
        <v>903</v>
      </c>
      <c r="F1246" t="s">
        <v>754</v>
      </c>
      <c r="G1246" t="s">
        <v>1814</v>
      </c>
      <c r="H1246" t="s">
        <v>30</v>
      </c>
      <c r="I1246" s="28" t="s">
        <v>26</v>
      </c>
    </row>
    <row r="1247" spans="1:9" x14ac:dyDescent="0.3">
      <c r="A1247" s="26">
        <v>45329</v>
      </c>
      <c r="B1247" t="s">
        <v>895</v>
      </c>
      <c r="C1247" t="s">
        <v>786</v>
      </c>
      <c r="D1247">
        <v>0.25</v>
      </c>
      <c r="E1247" t="s">
        <v>7</v>
      </c>
      <c r="F1247" t="s">
        <v>754</v>
      </c>
      <c r="G1247" t="s">
        <v>1815</v>
      </c>
      <c r="H1247" t="s">
        <v>30</v>
      </c>
      <c r="I1247" s="28" t="s">
        <v>26</v>
      </c>
    </row>
    <row r="1248" spans="1:9" x14ac:dyDescent="0.3">
      <c r="A1248" s="26">
        <v>45329</v>
      </c>
      <c r="B1248" t="s">
        <v>895</v>
      </c>
      <c r="C1248" t="s">
        <v>909</v>
      </c>
      <c r="D1248">
        <v>0.38</v>
      </c>
      <c r="E1248" t="s">
        <v>910</v>
      </c>
      <c r="F1248" t="s">
        <v>754</v>
      </c>
      <c r="G1248" t="s">
        <v>1816</v>
      </c>
      <c r="H1248" t="s">
        <v>30</v>
      </c>
      <c r="I1248" s="28" t="s">
        <v>26</v>
      </c>
    </row>
    <row r="1249" spans="1:9" x14ac:dyDescent="0.3">
      <c r="A1249" s="26">
        <v>45329</v>
      </c>
      <c r="B1249" t="s">
        <v>895</v>
      </c>
      <c r="C1249" t="s">
        <v>919</v>
      </c>
      <c r="D1249">
        <v>0.42</v>
      </c>
      <c r="E1249" t="s">
        <v>898</v>
      </c>
      <c r="F1249" t="s">
        <v>754</v>
      </c>
      <c r="G1249" t="s">
        <v>1817</v>
      </c>
      <c r="H1249" t="s">
        <v>30</v>
      </c>
      <c r="I1249" s="28" t="s">
        <v>26</v>
      </c>
    </row>
    <row r="1250" spans="1:9" x14ac:dyDescent="0.3">
      <c r="A1250" s="26">
        <v>45329</v>
      </c>
      <c r="B1250" t="s">
        <v>895</v>
      </c>
      <c r="C1250" t="s">
        <v>776</v>
      </c>
      <c r="D1250">
        <v>0.15</v>
      </c>
      <c r="E1250" t="s">
        <v>1069</v>
      </c>
      <c r="F1250" t="s">
        <v>754</v>
      </c>
      <c r="G1250" t="s">
        <v>1818</v>
      </c>
      <c r="H1250" t="s">
        <v>30</v>
      </c>
      <c r="I1250" s="28" t="s">
        <v>26</v>
      </c>
    </row>
    <row r="1251" spans="1:9" x14ac:dyDescent="0.3">
      <c r="A1251" s="26">
        <v>45329</v>
      </c>
      <c r="B1251" t="s">
        <v>895</v>
      </c>
      <c r="C1251" t="s">
        <v>776</v>
      </c>
      <c r="D1251">
        <v>0.27</v>
      </c>
      <c r="E1251" t="s">
        <v>922</v>
      </c>
      <c r="F1251" t="s">
        <v>754</v>
      </c>
      <c r="G1251" t="s">
        <v>1819</v>
      </c>
      <c r="H1251" t="s">
        <v>30</v>
      </c>
      <c r="I1251" s="28" t="s">
        <v>26</v>
      </c>
    </row>
    <row r="1252" spans="1:9" x14ac:dyDescent="0.3">
      <c r="A1252" s="26">
        <v>45329</v>
      </c>
      <c r="B1252" t="s">
        <v>895</v>
      </c>
      <c r="C1252" t="s">
        <v>776</v>
      </c>
      <c r="D1252">
        <v>0.43</v>
      </c>
      <c r="E1252" t="s">
        <v>898</v>
      </c>
      <c r="F1252" t="s">
        <v>754</v>
      </c>
      <c r="G1252" t="s">
        <v>1820</v>
      </c>
      <c r="H1252" t="s">
        <v>30</v>
      </c>
      <c r="I1252" s="28" t="s">
        <v>26</v>
      </c>
    </row>
    <row r="1253" spans="1:9" x14ac:dyDescent="0.3">
      <c r="A1253" s="26">
        <v>45329</v>
      </c>
      <c r="B1253" t="s">
        <v>895</v>
      </c>
      <c r="C1253" t="s">
        <v>776</v>
      </c>
      <c r="D1253">
        <v>0.45</v>
      </c>
      <c r="E1253" t="s">
        <v>813</v>
      </c>
      <c r="F1253" t="s">
        <v>754</v>
      </c>
      <c r="G1253" t="s">
        <v>1821</v>
      </c>
      <c r="H1253" t="s">
        <v>30</v>
      </c>
      <c r="I1253" s="28" t="s">
        <v>26</v>
      </c>
    </row>
    <row r="1254" spans="1:9" x14ac:dyDescent="0.3">
      <c r="A1254" s="26">
        <v>45329</v>
      </c>
      <c r="B1254" t="s">
        <v>895</v>
      </c>
      <c r="C1254" t="s">
        <v>776</v>
      </c>
      <c r="D1254">
        <v>0.47</v>
      </c>
      <c r="E1254" t="s">
        <v>813</v>
      </c>
      <c r="F1254" t="s">
        <v>754</v>
      </c>
      <c r="G1254" t="s">
        <v>1822</v>
      </c>
      <c r="H1254" t="s">
        <v>30</v>
      </c>
      <c r="I1254" s="28" t="s">
        <v>26</v>
      </c>
    </row>
    <row r="1255" spans="1:9" x14ac:dyDescent="0.3">
      <c r="A1255" s="26">
        <v>45329</v>
      </c>
      <c r="B1255" t="s">
        <v>895</v>
      </c>
      <c r="C1255" t="s">
        <v>776</v>
      </c>
      <c r="D1255">
        <v>0.52</v>
      </c>
      <c r="E1255" t="s">
        <v>879</v>
      </c>
      <c r="F1255" t="s">
        <v>754</v>
      </c>
      <c r="G1255" t="s">
        <v>1823</v>
      </c>
      <c r="H1255" t="s">
        <v>30</v>
      </c>
      <c r="I1255" s="28" t="s">
        <v>26</v>
      </c>
    </row>
    <row r="1256" spans="1:9" x14ac:dyDescent="0.3">
      <c r="A1256" s="26">
        <v>45329</v>
      </c>
      <c r="B1256" t="s">
        <v>895</v>
      </c>
      <c r="C1256" t="s">
        <v>776</v>
      </c>
      <c r="D1256">
        <v>2</v>
      </c>
      <c r="E1256" t="s">
        <v>813</v>
      </c>
      <c r="F1256" t="s">
        <v>754</v>
      </c>
      <c r="G1256" t="s">
        <v>1824</v>
      </c>
      <c r="H1256" t="s">
        <v>30</v>
      </c>
      <c r="I1256" s="28" t="s">
        <v>26</v>
      </c>
    </row>
    <row r="1257" spans="1:9" x14ac:dyDescent="0.3">
      <c r="A1257" s="26">
        <v>45329</v>
      </c>
      <c r="B1257" t="s">
        <v>895</v>
      </c>
      <c r="C1257" t="s">
        <v>776</v>
      </c>
      <c r="D1257">
        <v>3</v>
      </c>
      <c r="E1257" t="s">
        <v>879</v>
      </c>
      <c r="F1257" t="s">
        <v>754</v>
      </c>
      <c r="G1257" t="s">
        <v>1825</v>
      </c>
      <c r="H1257" t="s">
        <v>30</v>
      </c>
      <c r="I1257" s="28" t="s">
        <v>26</v>
      </c>
    </row>
    <row r="1258" spans="1:9" x14ac:dyDescent="0.3">
      <c r="A1258" s="26">
        <v>45329</v>
      </c>
      <c r="B1258" t="s">
        <v>1391</v>
      </c>
      <c r="C1258" t="s">
        <v>1522</v>
      </c>
      <c r="D1258">
        <v>0.17</v>
      </c>
      <c r="E1258" t="s">
        <v>455</v>
      </c>
      <c r="F1258" t="s">
        <v>754</v>
      </c>
      <c r="G1258" t="s">
        <v>1826</v>
      </c>
      <c r="H1258" t="s">
        <v>30</v>
      </c>
      <c r="I1258" s="28" t="s">
        <v>26</v>
      </c>
    </row>
    <row r="1259" spans="1:9" x14ac:dyDescent="0.3">
      <c r="A1259" s="26">
        <v>45329</v>
      </c>
      <c r="B1259" t="s">
        <v>1391</v>
      </c>
      <c r="C1259" t="s">
        <v>1094</v>
      </c>
      <c r="D1259">
        <v>0.17</v>
      </c>
      <c r="E1259" t="s">
        <v>455</v>
      </c>
      <c r="F1259" t="s">
        <v>754</v>
      </c>
      <c r="G1259" t="s">
        <v>1827</v>
      </c>
      <c r="H1259" t="s">
        <v>30</v>
      </c>
      <c r="I1259" s="28" t="s">
        <v>26</v>
      </c>
    </row>
    <row r="1260" spans="1:9" x14ac:dyDescent="0.3">
      <c r="A1260" s="26">
        <v>45329</v>
      </c>
      <c r="B1260" t="s">
        <v>1391</v>
      </c>
      <c r="C1260" t="s">
        <v>1094</v>
      </c>
      <c r="D1260">
        <v>0.17</v>
      </c>
      <c r="E1260" t="s">
        <v>455</v>
      </c>
      <c r="F1260" t="s">
        <v>754</v>
      </c>
      <c r="G1260" t="s">
        <v>1828</v>
      </c>
      <c r="H1260" t="s">
        <v>30</v>
      </c>
      <c r="I1260" s="28" t="s">
        <v>26</v>
      </c>
    </row>
    <row r="1261" spans="1:9" x14ac:dyDescent="0.3">
      <c r="A1261" s="26">
        <v>45329</v>
      </c>
      <c r="B1261" t="s">
        <v>1391</v>
      </c>
      <c r="C1261" t="s">
        <v>1094</v>
      </c>
      <c r="D1261">
        <v>0.25</v>
      </c>
      <c r="E1261" t="s">
        <v>455</v>
      </c>
      <c r="F1261" t="s">
        <v>754</v>
      </c>
      <c r="G1261" t="s">
        <v>1829</v>
      </c>
      <c r="H1261" t="s">
        <v>30</v>
      </c>
      <c r="I1261" s="28" t="s">
        <v>26</v>
      </c>
    </row>
    <row r="1262" spans="1:9" x14ac:dyDescent="0.3">
      <c r="A1262" s="26">
        <v>45329</v>
      </c>
      <c r="B1262" t="s">
        <v>1391</v>
      </c>
      <c r="C1262" t="s">
        <v>1094</v>
      </c>
      <c r="D1262">
        <v>0.33</v>
      </c>
      <c r="E1262" t="s">
        <v>455</v>
      </c>
      <c r="F1262" t="s">
        <v>754</v>
      </c>
      <c r="G1262" t="s">
        <v>1830</v>
      </c>
      <c r="H1262" t="s">
        <v>30</v>
      </c>
      <c r="I1262" s="28" t="s">
        <v>26</v>
      </c>
    </row>
    <row r="1263" spans="1:9" x14ac:dyDescent="0.3">
      <c r="A1263" s="26">
        <v>45329</v>
      </c>
      <c r="B1263" t="s">
        <v>1391</v>
      </c>
      <c r="C1263" t="s">
        <v>1094</v>
      </c>
      <c r="D1263">
        <v>0.5</v>
      </c>
      <c r="E1263" t="s">
        <v>455</v>
      </c>
      <c r="F1263" t="s">
        <v>754</v>
      </c>
      <c r="G1263" t="s">
        <v>1831</v>
      </c>
      <c r="H1263" t="s">
        <v>30</v>
      </c>
      <c r="I1263" s="28" t="s">
        <v>26</v>
      </c>
    </row>
    <row r="1264" spans="1:9" x14ac:dyDescent="0.3">
      <c r="A1264" s="26">
        <v>45329</v>
      </c>
      <c r="B1264" t="s">
        <v>929</v>
      </c>
      <c r="C1264" t="s">
        <v>789</v>
      </c>
      <c r="D1264">
        <v>0.05</v>
      </c>
      <c r="E1264" t="s">
        <v>815</v>
      </c>
      <c r="F1264" t="s">
        <v>754</v>
      </c>
      <c r="G1264" t="s">
        <v>1832</v>
      </c>
      <c r="H1264" t="s">
        <v>30</v>
      </c>
      <c r="I1264" s="28" t="s">
        <v>26</v>
      </c>
    </row>
    <row r="1265" spans="1:9" x14ac:dyDescent="0.3">
      <c r="A1265" s="26">
        <v>45329</v>
      </c>
      <c r="B1265" t="s">
        <v>929</v>
      </c>
      <c r="C1265" t="s">
        <v>789</v>
      </c>
      <c r="D1265">
        <v>0.08</v>
      </c>
      <c r="E1265" t="s">
        <v>173</v>
      </c>
      <c r="F1265" t="s">
        <v>772</v>
      </c>
      <c r="G1265" t="s">
        <v>1833</v>
      </c>
      <c r="H1265" t="s">
        <v>30</v>
      </c>
      <c r="I1265" s="28" t="s">
        <v>26</v>
      </c>
    </row>
    <row r="1266" spans="1:9" x14ac:dyDescent="0.3">
      <c r="A1266" s="26">
        <v>45329</v>
      </c>
      <c r="B1266" t="s">
        <v>929</v>
      </c>
      <c r="C1266" t="s">
        <v>789</v>
      </c>
      <c r="D1266">
        <v>0.08</v>
      </c>
      <c r="E1266" t="s">
        <v>583</v>
      </c>
      <c r="F1266" t="s">
        <v>754</v>
      </c>
      <c r="G1266" t="s">
        <v>1834</v>
      </c>
      <c r="H1266" t="s">
        <v>30</v>
      </c>
      <c r="I1266" s="28" t="s">
        <v>26</v>
      </c>
    </row>
    <row r="1267" spans="1:9" x14ac:dyDescent="0.3">
      <c r="A1267" s="26">
        <v>45329</v>
      </c>
      <c r="B1267" t="s">
        <v>929</v>
      </c>
      <c r="C1267" t="s">
        <v>789</v>
      </c>
      <c r="D1267">
        <v>0.08</v>
      </c>
      <c r="E1267" t="s">
        <v>589</v>
      </c>
      <c r="F1267" t="s">
        <v>754</v>
      </c>
      <c r="G1267" t="s">
        <v>1835</v>
      </c>
      <c r="H1267" t="s">
        <v>30</v>
      </c>
      <c r="I1267" s="28" t="s">
        <v>26</v>
      </c>
    </row>
    <row r="1268" spans="1:9" x14ac:dyDescent="0.3">
      <c r="A1268" s="26">
        <v>45329</v>
      </c>
      <c r="B1268" t="s">
        <v>929</v>
      </c>
      <c r="C1268" t="s">
        <v>771</v>
      </c>
      <c r="D1268">
        <v>0.2</v>
      </c>
      <c r="E1268" t="s">
        <v>7</v>
      </c>
      <c r="F1268" t="s">
        <v>772</v>
      </c>
      <c r="G1268" t="s">
        <v>1836</v>
      </c>
      <c r="H1268" t="s">
        <v>30</v>
      </c>
      <c r="I1268" s="28" t="s">
        <v>26</v>
      </c>
    </row>
    <row r="1269" spans="1:9" x14ac:dyDescent="0.3">
      <c r="A1269" s="26">
        <v>45329</v>
      </c>
      <c r="B1269" t="s">
        <v>929</v>
      </c>
      <c r="C1269" t="s">
        <v>771</v>
      </c>
      <c r="D1269">
        <v>0.25</v>
      </c>
      <c r="E1269" t="s">
        <v>7</v>
      </c>
      <c r="F1269" t="s">
        <v>772</v>
      </c>
      <c r="G1269" t="s">
        <v>940</v>
      </c>
      <c r="H1269" t="s">
        <v>30</v>
      </c>
      <c r="I1269" s="28" t="s">
        <v>26</v>
      </c>
    </row>
    <row r="1270" spans="1:9" x14ac:dyDescent="0.3">
      <c r="A1270" s="26">
        <v>45329</v>
      </c>
      <c r="B1270" t="s">
        <v>929</v>
      </c>
      <c r="C1270" t="s">
        <v>771</v>
      </c>
      <c r="D1270">
        <v>0.25</v>
      </c>
      <c r="E1270" t="s">
        <v>7</v>
      </c>
      <c r="F1270" t="s">
        <v>772</v>
      </c>
      <c r="G1270" t="s">
        <v>941</v>
      </c>
      <c r="H1270" t="s">
        <v>30</v>
      </c>
      <c r="I1270" s="28" t="s">
        <v>26</v>
      </c>
    </row>
    <row r="1271" spans="1:9" x14ac:dyDescent="0.3">
      <c r="A1271" s="26">
        <v>45329</v>
      </c>
      <c r="B1271" t="s">
        <v>929</v>
      </c>
      <c r="C1271" t="s">
        <v>771</v>
      </c>
      <c r="D1271">
        <v>0.35</v>
      </c>
      <c r="E1271" t="s">
        <v>7</v>
      </c>
      <c r="F1271" t="s">
        <v>772</v>
      </c>
      <c r="G1271" t="s">
        <v>1837</v>
      </c>
      <c r="H1271" t="s">
        <v>30</v>
      </c>
      <c r="I1271" s="28" t="s">
        <v>26</v>
      </c>
    </row>
    <row r="1272" spans="1:9" x14ac:dyDescent="0.3">
      <c r="A1272" s="26">
        <v>45329</v>
      </c>
      <c r="B1272" t="s">
        <v>929</v>
      </c>
      <c r="C1272" t="s">
        <v>942</v>
      </c>
      <c r="D1272">
        <v>0.08</v>
      </c>
      <c r="E1272" t="s">
        <v>7</v>
      </c>
      <c r="F1272" t="s">
        <v>772</v>
      </c>
      <c r="G1272" t="s">
        <v>1838</v>
      </c>
      <c r="H1272" t="s">
        <v>30</v>
      </c>
      <c r="I1272" s="28" t="s">
        <v>26</v>
      </c>
    </row>
    <row r="1273" spans="1:9" x14ac:dyDescent="0.3">
      <c r="A1273" s="26">
        <v>45329</v>
      </c>
      <c r="B1273" t="s">
        <v>929</v>
      </c>
      <c r="C1273" t="s">
        <v>942</v>
      </c>
      <c r="D1273">
        <v>0.08</v>
      </c>
      <c r="E1273" t="s">
        <v>7</v>
      </c>
      <c r="F1273" t="s">
        <v>772</v>
      </c>
      <c r="G1273" t="s">
        <v>1839</v>
      </c>
      <c r="H1273" t="s">
        <v>30</v>
      </c>
      <c r="I1273" s="28" t="s">
        <v>26</v>
      </c>
    </row>
    <row r="1274" spans="1:9" x14ac:dyDescent="0.3">
      <c r="A1274" s="26">
        <v>45329</v>
      </c>
      <c r="B1274" t="s">
        <v>929</v>
      </c>
      <c r="C1274" t="s">
        <v>1441</v>
      </c>
      <c r="D1274">
        <v>0.05</v>
      </c>
      <c r="E1274" t="s">
        <v>173</v>
      </c>
      <c r="F1274" t="s">
        <v>754</v>
      </c>
      <c r="H1274" t="s">
        <v>30</v>
      </c>
      <c r="I1274" s="28" t="s">
        <v>26</v>
      </c>
    </row>
    <row r="1275" spans="1:9" x14ac:dyDescent="0.3">
      <c r="A1275" s="26">
        <v>45329</v>
      </c>
      <c r="B1275" t="s">
        <v>929</v>
      </c>
      <c r="C1275" t="s">
        <v>1441</v>
      </c>
      <c r="D1275">
        <v>0.05</v>
      </c>
      <c r="E1275" t="s">
        <v>173</v>
      </c>
      <c r="F1275" t="s">
        <v>754</v>
      </c>
      <c r="G1275" t="s">
        <v>1624</v>
      </c>
      <c r="H1275" t="s">
        <v>30</v>
      </c>
      <c r="I1275" s="28" t="s">
        <v>26</v>
      </c>
    </row>
    <row r="1276" spans="1:9" x14ac:dyDescent="0.3">
      <c r="A1276" s="26">
        <v>45329</v>
      </c>
      <c r="B1276" t="s">
        <v>929</v>
      </c>
      <c r="C1276" t="s">
        <v>1441</v>
      </c>
      <c r="D1276">
        <v>0.05</v>
      </c>
      <c r="E1276" t="s">
        <v>237</v>
      </c>
      <c r="F1276" t="s">
        <v>754</v>
      </c>
      <c r="H1276" t="s">
        <v>30</v>
      </c>
      <c r="I1276" s="28" t="s">
        <v>26</v>
      </c>
    </row>
    <row r="1277" spans="1:9" x14ac:dyDescent="0.3">
      <c r="A1277" s="26">
        <v>45329</v>
      </c>
      <c r="B1277" t="s">
        <v>929</v>
      </c>
      <c r="C1277" t="s">
        <v>1441</v>
      </c>
      <c r="D1277">
        <v>0.05</v>
      </c>
      <c r="E1277" t="s">
        <v>316</v>
      </c>
      <c r="F1277" t="s">
        <v>754</v>
      </c>
      <c r="H1277" t="s">
        <v>30</v>
      </c>
      <c r="I1277" s="28" t="s">
        <v>26</v>
      </c>
    </row>
    <row r="1278" spans="1:9" x14ac:dyDescent="0.3">
      <c r="A1278" s="26">
        <v>45329</v>
      </c>
      <c r="B1278" t="s">
        <v>929</v>
      </c>
      <c r="C1278" t="s">
        <v>1441</v>
      </c>
      <c r="D1278">
        <v>0.05</v>
      </c>
      <c r="E1278" t="s">
        <v>814</v>
      </c>
      <c r="F1278" t="s">
        <v>754</v>
      </c>
      <c r="H1278" t="s">
        <v>30</v>
      </c>
      <c r="I1278" s="28" t="s">
        <v>26</v>
      </c>
    </row>
    <row r="1279" spans="1:9" x14ac:dyDescent="0.3">
      <c r="A1279" s="26">
        <v>45329</v>
      </c>
      <c r="B1279" t="s">
        <v>929</v>
      </c>
      <c r="C1279" t="s">
        <v>1441</v>
      </c>
      <c r="D1279">
        <v>0.05</v>
      </c>
      <c r="E1279" t="s">
        <v>815</v>
      </c>
      <c r="F1279" t="s">
        <v>772</v>
      </c>
      <c r="H1279" t="s">
        <v>30</v>
      </c>
      <c r="I1279" s="28" t="s">
        <v>26</v>
      </c>
    </row>
    <row r="1280" spans="1:9" x14ac:dyDescent="0.3">
      <c r="A1280" s="26">
        <v>45329</v>
      </c>
      <c r="B1280" t="s">
        <v>929</v>
      </c>
      <c r="C1280" t="s">
        <v>1441</v>
      </c>
      <c r="D1280">
        <v>0.05</v>
      </c>
      <c r="E1280" t="s">
        <v>985</v>
      </c>
      <c r="F1280" t="s">
        <v>754</v>
      </c>
      <c r="H1280" t="s">
        <v>30</v>
      </c>
      <c r="I1280" s="28" t="s">
        <v>26</v>
      </c>
    </row>
    <row r="1281" spans="1:9" x14ac:dyDescent="0.3">
      <c r="A1281" s="26">
        <v>45329</v>
      </c>
      <c r="B1281" t="s">
        <v>929</v>
      </c>
      <c r="C1281" t="s">
        <v>1441</v>
      </c>
      <c r="D1281">
        <v>0.05</v>
      </c>
      <c r="E1281" t="s">
        <v>985</v>
      </c>
      <c r="F1281" t="s">
        <v>754</v>
      </c>
      <c r="G1281" t="s">
        <v>1621</v>
      </c>
      <c r="H1281" t="s">
        <v>30</v>
      </c>
      <c r="I1281" s="28" t="s">
        <v>26</v>
      </c>
    </row>
    <row r="1282" spans="1:9" x14ac:dyDescent="0.3">
      <c r="A1282" s="26">
        <v>45329</v>
      </c>
      <c r="B1282" t="s">
        <v>929</v>
      </c>
      <c r="C1282" t="s">
        <v>1441</v>
      </c>
      <c r="D1282">
        <v>0.05</v>
      </c>
      <c r="E1282" t="s">
        <v>885</v>
      </c>
      <c r="F1282" t="s">
        <v>754</v>
      </c>
      <c r="H1282" t="s">
        <v>30</v>
      </c>
      <c r="I1282" s="28" t="s">
        <v>26</v>
      </c>
    </row>
    <row r="1283" spans="1:9" x14ac:dyDescent="0.3">
      <c r="A1283" s="26">
        <v>45329</v>
      </c>
      <c r="B1283" t="s">
        <v>929</v>
      </c>
      <c r="C1283" t="s">
        <v>1441</v>
      </c>
      <c r="D1283">
        <v>7.0000000000000007E-2</v>
      </c>
      <c r="E1283" t="s">
        <v>815</v>
      </c>
      <c r="F1283" t="s">
        <v>772</v>
      </c>
      <c r="G1283" t="s">
        <v>1840</v>
      </c>
      <c r="H1283" t="s">
        <v>30</v>
      </c>
      <c r="I1283" s="28" t="s">
        <v>26</v>
      </c>
    </row>
    <row r="1284" spans="1:9" x14ac:dyDescent="0.3">
      <c r="A1284" s="26">
        <v>45329</v>
      </c>
      <c r="B1284" t="s">
        <v>929</v>
      </c>
      <c r="C1284" t="s">
        <v>1441</v>
      </c>
      <c r="D1284">
        <v>0.08</v>
      </c>
      <c r="E1284" t="s">
        <v>237</v>
      </c>
      <c r="F1284" t="s">
        <v>754</v>
      </c>
      <c r="G1284" t="s">
        <v>1624</v>
      </c>
      <c r="H1284" t="s">
        <v>30</v>
      </c>
      <c r="I1284" s="28" t="s">
        <v>26</v>
      </c>
    </row>
    <row r="1285" spans="1:9" x14ac:dyDescent="0.3">
      <c r="A1285" s="26">
        <v>45329</v>
      </c>
      <c r="B1285" t="s">
        <v>929</v>
      </c>
      <c r="C1285" t="s">
        <v>1441</v>
      </c>
      <c r="D1285">
        <v>0.08</v>
      </c>
      <c r="E1285" t="s">
        <v>288</v>
      </c>
      <c r="F1285" t="s">
        <v>772</v>
      </c>
      <c r="G1285" t="s">
        <v>1841</v>
      </c>
      <c r="H1285" t="s">
        <v>30</v>
      </c>
      <c r="I1285" s="28" t="s">
        <v>26</v>
      </c>
    </row>
    <row r="1286" spans="1:9" x14ac:dyDescent="0.3">
      <c r="A1286" s="26">
        <v>45329</v>
      </c>
      <c r="B1286" t="s">
        <v>929</v>
      </c>
      <c r="C1286" t="s">
        <v>1441</v>
      </c>
      <c r="D1286">
        <v>0.08</v>
      </c>
      <c r="E1286" t="s">
        <v>316</v>
      </c>
      <c r="F1286" t="s">
        <v>754</v>
      </c>
      <c r="G1286" t="s">
        <v>1842</v>
      </c>
      <c r="H1286" t="s">
        <v>30</v>
      </c>
      <c r="I1286" s="28" t="s">
        <v>26</v>
      </c>
    </row>
    <row r="1287" spans="1:9" x14ac:dyDescent="0.3">
      <c r="A1287" s="26">
        <v>45329</v>
      </c>
      <c r="B1287" t="s">
        <v>929</v>
      </c>
      <c r="C1287" t="s">
        <v>1441</v>
      </c>
      <c r="D1287">
        <v>0.08</v>
      </c>
      <c r="E1287" t="s">
        <v>813</v>
      </c>
      <c r="F1287" t="s">
        <v>772</v>
      </c>
      <c r="G1287" t="s">
        <v>1843</v>
      </c>
      <c r="H1287" t="s">
        <v>30</v>
      </c>
      <c r="I1287" s="28" t="s">
        <v>26</v>
      </c>
    </row>
    <row r="1288" spans="1:9" x14ac:dyDescent="0.3">
      <c r="A1288" s="26">
        <v>45329</v>
      </c>
      <c r="B1288" t="s">
        <v>929</v>
      </c>
      <c r="C1288" t="s">
        <v>1441</v>
      </c>
      <c r="D1288">
        <v>0.08</v>
      </c>
      <c r="E1288" t="s">
        <v>885</v>
      </c>
      <c r="F1288" t="s">
        <v>754</v>
      </c>
      <c r="G1288" t="s">
        <v>1624</v>
      </c>
      <c r="H1288" t="s">
        <v>30</v>
      </c>
      <c r="I1288" s="28" t="s">
        <v>26</v>
      </c>
    </row>
    <row r="1289" spans="1:9" x14ac:dyDescent="0.3">
      <c r="A1289" s="26">
        <v>45329</v>
      </c>
      <c r="B1289" t="s">
        <v>929</v>
      </c>
      <c r="C1289" t="s">
        <v>1441</v>
      </c>
      <c r="D1289">
        <v>0.12</v>
      </c>
      <c r="E1289" t="s">
        <v>1273</v>
      </c>
      <c r="F1289" t="s">
        <v>754</v>
      </c>
      <c r="G1289" t="s">
        <v>1844</v>
      </c>
      <c r="H1289" t="s">
        <v>30</v>
      </c>
      <c r="I1289" s="28" t="s">
        <v>26</v>
      </c>
    </row>
    <row r="1290" spans="1:9" x14ac:dyDescent="0.3">
      <c r="A1290" s="26">
        <v>45329</v>
      </c>
      <c r="B1290" t="s">
        <v>929</v>
      </c>
      <c r="C1290" t="s">
        <v>1441</v>
      </c>
      <c r="D1290">
        <v>0.13</v>
      </c>
      <c r="E1290" t="s">
        <v>964</v>
      </c>
      <c r="F1290" t="s">
        <v>754</v>
      </c>
      <c r="G1290" t="s">
        <v>1624</v>
      </c>
      <c r="H1290" t="s">
        <v>30</v>
      </c>
      <c r="I1290" s="28" t="s">
        <v>26</v>
      </c>
    </row>
    <row r="1291" spans="1:9" x14ac:dyDescent="0.3">
      <c r="A1291" s="26">
        <v>45329</v>
      </c>
      <c r="B1291" t="s">
        <v>929</v>
      </c>
      <c r="C1291" t="s">
        <v>1441</v>
      </c>
      <c r="D1291">
        <v>0.15</v>
      </c>
      <c r="E1291" t="s">
        <v>715</v>
      </c>
      <c r="F1291" t="s">
        <v>754</v>
      </c>
      <c r="G1291" t="s">
        <v>1624</v>
      </c>
      <c r="H1291" t="s">
        <v>30</v>
      </c>
      <c r="I1291" s="28" t="s">
        <v>26</v>
      </c>
    </row>
    <row r="1292" spans="1:9" x14ac:dyDescent="0.3">
      <c r="A1292" s="26">
        <v>45329</v>
      </c>
      <c r="B1292" t="s">
        <v>929</v>
      </c>
      <c r="C1292" t="s">
        <v>1441</v>
      </c>
      <c r="D1292">
        <v>0.15</v>
      </c>
      <c r="E1292" t="s">
        <v>713</v>
      </c>
      <c r="F1292" t="s">
        <v>754</v>
      </c>
      <c r="G1292" t="s">
        <v>1624</v>
      </c>
      <c r="H1292" t="s">
        <v>30</v>
      </c>
      <c r="I1292" s="28" t="s">
        <v>26</v>
      </c>
    </row>
    <row r="1293" spans="1:9" x14ac:dyDescent="0.3">
      <c r="A1293" s="26">
        <v>45329</v>
      </c>
      <c r="B1293" t="s">
        <v>929</v>
      </c>
      <c r="C1293" t="s">
        <v>1441</v>
      </c>
      <c r="D1293">
        <v>0.15</v>
      </c>
      <c r="E1293" t="s">
        <v>1709</v>
      </c>
      <c r="F1293" t="s">
        <v>754</v>
      </c>
      <c r="G1293" t="s">
        <v>1624</v>
      </c>
      <c r="H1293" t="s">
        <v>30</v>
      </c>
      <c r="I1293" s="28" t="s">
        <v>26</v>
      </c>
    </row>
    <row r="1294" spans="1:9" x14ac:dyDescent="0.3">
      <c r="A1294" s="26">
        <v>45329</v>
      </c>
      <c r="B1294" t="s">
        <v>929</v>
      </c>
      <c r="C1294" t="s">
        <v>1441</v>
      </c>
      <c r="D1294">
        <v>0.15</v>
      </c>
      <c r="E1294" t="s">
        <v>479</v>
      </c>
      <c r="F1294" t="s">
        <v>754</v>
      </c>
      <c r="G1294" t="s">
        <v>1845</v>
      </c>
      <c r="H1294" t="s">
        <v>30</v>
      </c>
      <c r="I1294" s="28" t="s">
        <v>26</v>
      </c>
    </row>
    <row r="1295" spans="1:9" x14ac:dyDescent="0.3">
      <c r="A1295" s="26">
        <v>45329</v>
      </c>
      <c r="B1295" t="s">
        <v>929</v>
      </c>
      <c r="C1295" t="s">
        <v>1441</v>
      </c>
      <c r="D1295">
        <v>0.15</v>
      </c>
      <c r="E1295" t="s">
        <v>815</v>
      </c>
      <c r="F1295" t="s">
        <v>754</v>
      </c>
      <c r="G1295" t="s">
        <v>1846</v>
      </c>
      <c r="H1295" t="s">
        <v>30</v>
      </c>
      <c r="I1295" s="28" t="s">
        <v>26</v>
      </c>
    </row>
    <row r="1296" spans="1:9" x14ac:dyDescent="0.3">
      <c r="A1296" s="26">
        <v>45329</v>
      </c>
      <c r="B1296" t="s">
        <v>929</v>
      </c>
      <c r="C1296" t="s">
        <v>1441</v>
      </c>
      <c r="D1296">
        <v>0.15</v>
      </c>
      <c r="E1296" t="s">
        <v>813</v>
      </c>
      <c r="F1296" t="s">
        <v>772</v>
      </c>
      <c r="G1296" t="s">
        <v>1847</v>
      </c>
      <c r="H1296" t="s">
        <v>30</v>
      </c>
      <c r="I1296" s="28" t="s">
        <v>26</v>
      </c>
    </row>
    <row r="1297" spans="1:9" x14ac:dyDescent="0.3">
      <c r="A1297" s="26">
        <v>45329</v>
      </c>
      <c r="B1297" t="s">
        <v>929</v>
      </c>
      <c r="C1297" t="s">
        <v>1441</v>
      </c>
      <c r="D1297">
        <v>0.15</v>
      </c>
      <c r="E1297" t="s">
        <v>602</v>
      </c>
      <c r="F1297" t="s">
        <v>754</v>
      </c>
      <c r="G1297" t="s">
        <v>1624</v>
      </c>
      <c r="H1297" t="s">
        <v>30</v>
      </c>
      <c r="I1297" s="28" t="s">
        <v>26</v>
      </c>
    </row>
    <row r="1298" spans="1:9" x14ac:dyDescent="0.3">
      <c r="A1298" s="26">
        <v>45329</v>
      </c>
      <c r="B1298" t="s">
        <v>929</v>
      </c>
      <c r="C1298" t="s">
        <v>1441</v>
      </c>
      <c r="D1298">
        <v>0.15</v>
      </c>
      <c r="E1298" t="s">
        <v>626</v>
      </c>
      <c r="F1298" t="s">
        <v>754</v>
      </c>
      <c r="G1298" t="s">
        <v>1624</v>
      </c>
      <c r="H1298" t="s">
        <v>30</v>
      </c>
      <c r="I1298" s="28" t="s">
        <v>26</v>
      </c>
    </row>
    <row r="1299" spans="1:9" x14ac:dyDescent="0.3">
      <c r="A1299" s="26">
        <v>45329</v>
      </c>
      <c r="B1299" t="s">
        <v>929</v>
      </c>
      <c r="C1299" t="s">
        <v>1441</v>
      </c>
      <c r="D1299">
        <v>0.15</v>
      </c>
      <c r="E1299" t="s">
        <v>657</v>
      </c>
      <c r="F1299" t="s">
        <v>754</v>
      </c>
      <c r="G1299" t="s">
        <v>1624</v>
      </c>
      <c r="H1299" t="s">
        <v>30</v>
      </c>
      <c r="I1299" s="28" t="s">
        <v>26</v>
      </c>
    </row>
    <row r="1300" spans="1:9" x14ac:dyDescent="0.3">
      <c r="A1300" s="26">
        <v>45329</v>
      </c>
      <c r="B1300" t="s">
        <v>929</v>
      </c>
      <c r="C1300" t="s">
        <v>1441</v>
      </c>
      <c r="D1300">
        <v>0.17</v>
      </c>
      <c r="E1300" t="s">
        <v>234</v>
      </c>
      <c r="F1300" t="s">
        <v>754</v>
      </c>
      <c r="H1300" t="s">
        <v>30</v>
      </c>
      <c r="I1300" s="28" t="s">
        <v>26</v>
      </c>
    </row>
    <row r="1301" spans="1:9" x14ac:dyDescent="0.3">
      <c r="A1301" s="26">
        <v>45329</v>
      </c>
      <c r="B1301" t="s">
        <v>929</v>
      </c>
      <c r="C1301" t="s">
        <v>1441</v>
      </c>
      <c r="D1301">
        <v>0.17</v>
      </c>
      <c r="E1301" t="s">
        <v>814</v>
      </c>
      <c r="F1301" t="s">
        <v>754</v>
      </c>
      <c r="G1301" t="s">
        <v>1624</v>
      </c>
      <c r="H1301" t="s">
        <v>30</v>
      </c>
      <c r="I1301" s="28" t="s">
        <v>26</v>
      </c>
    </row>
    <row r="1302" spans="1:9" x14ac:dyDescent="0.3">
      <c r="A1302" s="26">
        <v>45329</v>
      </c>
      <c r="B1302" t="s">
        <v>929</v>
      </c>
      <c r="C1302" t="s">
        <v>1441</v>
      </c>
      <c r="D1302">
        <v>0.2</v>
      </c>
      <c r="E1302" t="s">
        <v>811</v>
      </c>
      <c r="F1302" t="s">
        <v>754</v>
      </c>
      <c r="G1302" t="s">
        <v>1848</v>
      </c>
      <c r="H1302" t="s">
        <v>30</v>
      </c>
      <c r="I1302" s="28" t="s">
        <v>26</v>
      </c>
    </row>
    <row r="1303" spans="1:9" x14ac:dyDescent="0.3">
      <c r="A1303" s="26">
        <v>45329</v>
      </c>
      <c r="B1303" t="s">
        <v>929</v>
      </c>
      <c r="C1303" t="s">
        <v>1441</v>
      </c>
      <c r="D1303">
        <v>0.22</v>
      </c>
      <c r="E1303" t="s">
        <v>288</v>
      </c>
      <c r="F1303" t="s">
        <v>772</v>
      </c>
      <c r="G1303" t="s">
        <v>1849</v>
      </c>
      <c r="H1303" t="s">
        <v>30</v>
      </c>
      <c r="I1303" s="28" t="s">
        <v>26</v>
      </c>
    </row>
    <row r="1304" spans="1:9" x14ac:dyDescent="0.3">
      <c r="A1304" s="26">
        <v>45329</v>
      </c>
      <c r="B1304" t="s">
        <v>929</v>
      </c>
      <c r="C1304" t="s">
        <v>1441</v>
      </c>
      <c r="D1304">
        <v>0.25</v>
      </c>
      <c r="E1304" t="s">
        <v>1172</v>
      </c>
      <c r="F1304" t="s">
        <v>754</v>
      </c>
      <c r="G1304" t="s">
        <v>1850</v>
      </c>
      <c r="H1304" t="s">
        <v>30</v>
      </c>
      <c r="I1304" s="28" t="s">
        <v>26</v>
      </c>
    </row>
    <row r="1305" spans="1:9" x14ac:dyDescent="0.3">
      <c r="A1305" s="26">
        <v>45329</v>
      </c>
      <c r="B1305" t="s">
        <v>929</v>
      </c>
      <c r="C1305" t="s">
        <v>916</v>
      </c>
      <c r="D1305">
        <v>0.05</v>
      </c>
      <c r="E1305" t="s">
        <v>623</v>
      </c>
      <c r="F1305" t="s">
        <v>772</v>
      </c>
      <c r="G1305" t="s">
        <v>1851</v>
      </c>
      <c r="H1305" t="s">
        <v>30</v>
      </c>
      <c r="I1305" s="28" t="s">
        <v>26</v>
      </c>
    </row>
    <row r="1306" spans="1:9" x14ac:dyDescent="0.3">
      <c r="A1306" s="26">
        <v>45329</v>
      </c>
      <c r="B1306" t="s">
        <v>929</v>
      </c>
      <c r="C1306" t="s">
        <v>916</v>
      </c>
      <c r="D1306">
        <v>7.0000000000000007E-2</v>
      </c>
      <c r="E1306" t="s">
        <v>173</v>
      </c>
      <c r="F1306" t="s">
        <v>754</v>
      </c>
      <c r="G1306" t="s">
        <v>1641</v>
      </c>
      <c r="H1306" t="s">
        <v>30</v>
      </c>
      <c r="I1306" s="28" t="s">
        <v>26</v>
      </c>
    </row>
    <row r="1307" spans="1:9" x14ac:dyDescent="0.3">
      <c r="A1307" s="26">
        <v>45329</v>
      </c>
      <c r="B1307" t="s">
        <v>929</v>
      </c>
      <c r="C1307" t="s">
        <v>916</v>
      </c>
      <c r="D1307">
        <v>0.1</v>
      </c>
      <c r="E1307" t="s">
        <v>714</v>
      </c>
      <c r="F1307" t="s">
        <v>772</v>
      </c>
      <c r="G1307" t="s">
        <v>1843</v>
      </c>
      <c r="H1307" t="s">
        <v>30</v>
      </c>
      <c r="I1307" s="28" t="s">
        <v>26</v>
      </c>
    </row>
    <row r="1308" spans="1:9" x14ac:dyDescent="0.3">
      <c r="A1308" s="26">
        <v>45329</v>
      </c>
      <c r="B1308" t="s">
        <v>929</v>
      </c>
      <c r="C1308" t="s">
        <v>916</v>
      </c>
      <c r="D1308">
        <v>0.5</v>
      </c>
      <c r="E1308" t="s">
        <v>659</v>
      </c>
      <c r="F1308" t="s">
        <v>754</v>
      </c>
      <c r="H1308" t="s">
        <v>30</v>
      </c>
      <c r="I1308" s="28" t="s">
        <v>26</v>
      </c>
    </row>
    <row r="1309" spans="1:9" x14ac:dyDescent="0.3">
      <c r="A1309" s="26">
        <v>45329</v>
      </c>
      <c r="B1309" t="s">
        <v>929</v>
      </c>
      <c r="C1309" t="s">
        <v>916</v>
      </c>
      <c r="D1309">
        <v>0.68</v>
      </c>
      <c r="E1309" t="s">
        <v>1852</v>
      </c>
      <c r="F1309" t="s">
        <v>754</v>
      </c>
      <c r="H1309" t="s">
        <v>30</v>
      </c>
      <c r="I1309" s="28" t="s">
        <v>26</v>
      </c>
    </row>
    <row r="1310" spans="1:9" x14ac:dyDescent="0.3">
      <c r="A1310" s="26">
        <v>45329</v>
      </c>
      <c r="B1310" t="s">
        <v>929</v>
      </c>
      <c r="C1310" t="s">
        <v>916</v>
      </c>
      <c r="D1310">
        <v>1.1299999999999999</v>
      </c>
      <c r="E1310" t="s">
        <v>226</v>
      </c>
      <c r="F1310" t="s">
        <v>754</v>
      </c>
      <c r="G1310" t="s">
        <v>1853</v>
      </c>
      <c r="H1310" t="s">
        <v>30</v>
      </c>
      <c r="I1310" s="28" t="s">
        <v>26</v>
      </c>
    </row>
    <row r="1311" spans="1:9" x14ac:dyDescent="0.3">
      <c r="A1311" s="26">
        <v>45329</v>
      </c>
      <c r="B1311" t="s">
        <v>929</v>
      </c>
      <c r="C1311" t="s">
        <v>954</v>
      </c>
      <c r="D1311">
        <v>0.15</v>
      </c>
      <c r="E1311" t="s">
        <v>7</v>
      </c>
      <c r="F1311" t="s">
        <v>772</v>
      </c>
      <c r="G1311" t="s">
        <v>1854</v>
      </c>
      <c r="H1311" t="s">
        <v>30</v>
      </c>
      <c r="I1311" s="28" t="s">
        <v>26</v>
      </c>
    </row>
    <row r="1312" spans="1:9" x14ac:dyDescent="0.3">
      <c r="A1312" s="26">
        <v>45329</v>
      </c>
      <c r="B1312" t="s">
        <v>929</v>
      </c>
      <c r="C1312" t="s">
        <v>954</v>
      </c>
      <c r="D1312">
        <v>0.27</v>
      </c>
      <c r="E1312" t="s">
        <v>7</v>
      </c>
      <c r="F1312" t="s">
        <v>772</v>
      </c>
      <c r="G1312" t="s">
        <v>1855</v>
      </c>
      <c r="H1312" t="s">
        <v>30</v>
      </c>
      <c r="I1312" s="28" t="s">
        <v>26</v>
      </c>
    </row>
    <row r="1313" spans="1:9" x14ac:dyDescent="0.3">
      <c r="A1313" s="26">
        <v>45329</v>
      </c>
      <c r="B1313" t="s">
        <v>959</v>
      </c>
      <c r="C1313" t="s">
        <v>878</v>
      </c>
      <c r="D1313">
        <v>8</v>
      </c>
      <c r="E1313" t="s">
        <v>430</v>
      </c>
      <c r="F1313" t="s">
        <v>754</v>
      </c>
      <c r="G1313" t="s">
        <v>1856</v>
      </c>
      <c r="H1313" t="s">
        <v>30</v>
      </c>
      <c r="I1313" s="28" t="s">
        <v>26</v>
      </c>
    </row>
    <row r="1314" spans="1:9" x14ac:dyDescent="0.3">
      <c r="A1314" s="26">
        <v>45329</v>
      </c>
      <c r="B1314" t="s">
        <v>961</v>
      </c>
      <c r="C1314" t="s">
        <v>784</v>
      </c>
      <c r="D1314">
        <v>8</v>
      </c>
      <c r="E1314" t="s">
        <v>7</v>
      </c>
      <c r="F1314" t="s">
        <v>772</v>
      </c>
      <c r="H1314" t="s">
        <v>30</v>
      </c>
      <c r="I1314" s="28" t="s">
        <v>26</v>
      </c>
    </row>
    <row r="1315" spans="1:9" x14ac:dyDescent="0.3">
      <c r="A1315" s="26">
        <v>45329</v>
      </c>
      <c r="B1315" t="s">
        <v>962</v>
      </c>
      <c r="C1315" t="s">
        <v>1414</v>
      </c>
      <c r="D1315">
        <v>0.75</v>
      </c>
      <c r="E1315" t="s">
        <v>717</v>
      </c>
      <c r="F1315" t="s">
        <v>754</v>
      </c>
      <c r="G1315" t="s">
        <v>1857</v>
      </c>
      <c r="H1315" t="s">
        <v>30</v>
      </c>
      <c r="I1315" s="28" t="s">
        <v>26</v>
      </c>
    </row>
    <row r="1316" spans="1:9" x14ac:dyDescent="0.3">
      <c r="A1316" s="26">
        <v>45329</v>
      </c>
      <c r="B1316" t="s">
        <v>966</v>
      </c>
      <c r="C1316" t="s">
        <v>967</v>
      </c>
      <c r="D1316">
        <v>1.5</v>
      </c>
      <c r="E1316" t="s">
        <v>11</v>
      </c>
      <c r="F1316" t="s">
        <v>754</v>
      </c>
      <c r="H1316" t="s">
        <v>30</v>
      </c>
      <c r="I1316" s="28" t="s">
        <v>26</v>
      </c>
    </row>
    <row r="1317" spans="1:9" x14ac:dyDescent="0.3">
      <c r="A1317" s="26">
        <v>45329</v>
      </c>
      <c r="B1317" t="s">
        <v>966</v>
      </c>
      <c r="C1317" t="s">
        <v>967</v>
      </c>
      <c r="D1317">
        <v>2.5</v>
      </c>
      <c r="E1317" t="s">
        <v>790</v>
      </c>
      <c r="F1317" t="s">
        <v>754</v>
      </c>
      <c r="H1317" t="s">
        <v>30</v>
      </c>
      <c r="I1317" s="28" t="s">
        <v>26</v>
      </c>
    </row>
    <row r="1318" spans="1:9" x14ac:dyDescent="0.3">
      <c r="A1318" s="26">
        <v>45329</v>
      </c>
      <c r="B1318" t="s">
        <v>966</v>
      </c>
      <c r="C1318" t="s">
        <v>967</v>
      </c>
      <c r="D1318">
        <v>4</v>
      </c>
      <c r="E1318" t="s">
        <v>7</v>
      </c>
      <c r="F1318" t="s">
        <v>754</v>
      </c>
      <c r="H1318" t="s">
        <v>30</v>
      </c>
      <c r="I1318" s="28" t="s">
        <v>26</v>
      </c>
    </row>
    <row r="1319" spans="1:9" x14ac:dyDescent="0.3">
      <c r="A1319" s="26">
        <v>45329</v>
      </c>
      <c r="B1319" t="s">
        <v>969</v>
      </c>
      <c r="C1319" t="s">
        <v>753</v>
      </c>
      <c r="D1319">
        <v>0.23</v>
      </c>
      <c r="E1319" t="s">
        <v>790</v>
      </c>
      <c r="F1319" t="s">
        <v>754</v>
      </c>
      <c r="G1319" t="s">
        <v>1858</v>
      </c>
      <c r="H1319" t="s">
        <v>30</v>
      </c>
      <c r="I1319" s="28" t="s">
        <v>26</v>
      </c>
    </row>
    <row r="1320" spans="1:9" x14ac:dyDescent="0.3">
      <c r="A1320" s="26">
        <v>45329</v>
      </c>
      <c r="B1320" t="s">
        <v>969</v>
      </c>
      <c r="C1320" t="s">
        <v>753</v>
      </c>
      <c r="D1320">
        <v>0.87</v>
      </c>
      <c r="E1320" t="s">
        <v>7</v>
      </c>
      <c r="F1320" t="s">
        <v>772</v>
      </c>
      <c r="G1320" t="s">
        <v>1859</v>
      </c>
      <c r="H1320" t="s">
        <v>30</v>
      </c>
      <c r="I1320" s="28" t="s">
        <v>26</v>
      </c>
    </row>
    <row r="1321" spans="1:9" x14ac:dyDescent="0.3">
      <c r="A1321" s="26">
        <v>45329</v>
      </c>
      <c r="B1321" t="s">
        <v>969</v>
      </c>
      <c r="C1321" t="s">
        <v>789</v>
      </c>
      <c r="D1321">
        <v>0.72</v>
      </c>
      <c r="E1321" t="s">
        <v>7</v>
      </c>
      <c r="F1321" t="s">
        <v>772</v>
      </c>
      <c r="G1321" t="s">
        <v>1860</v>
      </c>
      <c r="H1321" t="s">
        <v>30</v>
      </c>
      <c r="I1321" s="28" t="s">
        <v>26</v>
      </c>
    </row>
    <row r="1322" spans="1:9" x14ac:dyDescent="0.3">
      <c r="A1322" s="26">
        <v>45329</v>
      </c>
      <c r="B1322" t="s">
        <v>969</v>
      </c>
      <c r="C1322" t="s">
        <v>835</v>
      </c>
      <c r="D1322">
        <v>0.97</v>
      </c>
      <c r="E1322" t="s">
        <v>790</v>
      </c>
      <c r="F1322" t="s">
        <v>754</v>
      </c>
      <c r="G1322" t="s">
        <v>976</v>
      </c>
      <c r="H1322" t="s">
        <v>30</v>
      </c>
      <c r="I1322" s="28" t="s">
        <v>26</v>
      </c>
    </row>
    <row r="1323" spans="1:9" x14ac:dyDescent="0.3">
      <c r="A1323" s="26">
        <v>45329</v>
      </c>
      <c r="B1323" t="s">
        <v>969</v>
      </c>
      <c r="C1323" t="s">
        <v>835</v>
      </c>
      <c r="D1323">
        <v>1.92</v>
      </c>
      <c r="E1323" t="s">
        <v>7</v>
      </c>
      <c r="F1323" t="s">
        <v>772</v>
      </c>
      <c r="G1323" t="s">
        <v>1861</v>
      </c>
      <c r="H1323" t="s">
        <v>30</v>
      </c>
      <c r="I1323" s="28" t="s">
        <v>26</v>
      </c>
    </row>
    <row r="1324" spans="1:9" x14ac:dyDescent="0.3">
      <c r="A1324" s="26">
        <v>45329</v>
      </c>
      <c r="B1324" t="s">
        <v>969</v>
      </c>
      <c r="C1324" t="s">
        <v>835</v>
      </c>
      <c r="D1324">
        <v>3.38</v>
      </c>
      <c r="E1324" t="s">
        <v>7</v>
      </c>
      <c r="F1324" t="s">
        <v>772</v>
      </c>
      <c r="G1324" t="s">
        <v>976</v>
      </c>
      <c r="H1324" t="s">
        <v>30</v>
      </c>
      <c r="I1324" s="28" t="s">
        <v>26</v>
      </c>
    </row>
    <row r="1325" spans="1:9" x14ac:dyDescent="0.3">
      <c r="A1325" s="26">
        <v>45329</v>
      </c>
      <c r="B1325" t="s">
        <v>977</v>
      </c>
      <c r="C1325" t="s">
        <v>753</v>
      </c>
      <c r="D1325">
        <v>2.0699999999999998</v>
      </c>
      <c r="E1325" t="s">
        <v>978</v>
      </c>
      <c r="F1325" t="s">
        <v>754</v>
      </c>
      <c r="G1325" t="s">
        <v>1862</v>
      </c>
      <c r="H1325" t="s">
        <v>30</v>
      </c>
      <c r="I1325" s="28" t="s">
        <v>26</v>
      </c>
    </row>
    <row r="1326" spans="1:9" x14ac:dyDescent="0.3">
      <c r="A1326" s="26">
        <v>45329</v>
      </c>
      <c r="B1326" t="s">
        <v>977</v>
      </c>
      <c r="C1326" t="s">
        <v>753</v>
      </c>
      <c r="D1326">
        <v>5.43</v>
      </c>
      <c r="E1326" t="s">
        <v>978</v>
      </c>
      <c r="F1326" t="s">
        <v>754</v>
      </c>
      <c r="G1326" t="s">
        <v>1863</v>
      </c>
      <c r="H1326" t="s">
        <v>30</v>
      </c>
      <c r="I1326" s="28" t="s">
        <v>26</v>
      </c>
    </row>
    <row r="1327" spans="1:9" x14ac:dyDescent="0.3">
      <c r="A1327" s="26">
        <v>45329</v>
      </c>
      <c r="B1327" t="s">
        <v>977</v>
      </c>
      <c r="C1327" t="s">
        <v>771</v>
      </c>
      <c r="D1327">
        <v>0.5</v>
      </c>
      <c r="E1327" t="s">
        <v>7</v>
      </c>
      <c r="F1327" t="s">
        <v>772</v>
      </c>
      <c r="G1327" t="s">
        <v>820</v>
      </c>
      <c r="H1327" t="s">
        <v>30</v>
      </c>
      <c r="I1327" s="28" t="s">
        <v>26</v>
      </c>
    </row>
    <row r="1328" spans="1:9" x14ac:dyDescent="0.3">
      <c r="A1328" s="26">
        <v>45329</v>
      </c>
      <c r="B1328" t="s">
        <v>981</v>
      </c>
      <c r="C1328" t="s">
        <v>982</v>
      </c>
      <c r="D1328">
        <v>9</v>
      </c>
      <c r="E1328" t="s">
        <v>7</v>
      </c>
      <c r="F1328" t="s">
        <v>772</v>
      </c>
      <c r="G1328" t="s">
        <v>983</v>
      </c>
      <c r="H1328" t="s">
        <v>30</v>
      </c>
      <c r="I1328" s="28" t="s">
        <v>26</v>
      </c>
    </row>
    <row r="1329" spans="1:9" x14ac:dyDescent="0.3">
      <c r="A1329" s="26">
        <v>45329</v>
      </c>
      <c r="B1329" t="s">
        <v>984</v>
      </c>
      <c r="C1329" t="s">
        <v>753</v>
      </c>
      <c r="D1329">
        <v>0.5</v>
      </c>
      <c r="E1329" t="s">
        <v>13</v>
      </c>
      <c r="F1329" t="s">
        <v>754</v>
      </c>
      <c r="H1329" t="s">
        <v>30</v>
      </c>
      <c r="I1329" s="28" t="s">
        <v>26</v>
      </c>
    </row>
    <row r="1330" spans="1:9" x14ac:dyDescent="0.3">
      <c r="A1330" s="26">
        <v>45329</v>
      </c>
      <c r="B1330" t="s">
        <v>984</v>
      </c>
      <c r="C1330" t="s">
        <v>753</v>
      </c>
      <c r="D1330">
        <v>0.87</v>
      </c>
      <c r="E1330" t="s">
        <v>630</v>
      </c>
      <c r="F1330" t="s">
        <v>754</v>
      </c>
      <c r="G1330" t="s">
        <v>1864</v>
      </c>
      <c r="H1330" t="s">
        <v>30</v>
      </c>
      <c r="I1330" s="28" t="s">
        <v>26</v>
      </c>
    </row>
    <row r="1331" spans="1:9" x14ac:dyDescent="0.3">
      <c r="A1331" s="26">
        <v>45329</v>
      </c>
      <c r="B1331" t="s">
        <v>984</v>
      </c>
      <c r="C1331" t="s">
        <v>753</v>
      </c>
      <c r="D1331">
        <v>1.9</v>
      </c>
      <c r="E1331" t="s">
        <v>985</v>
      </c>
      <c r="F1331" t="s">
        <v>754</v>
      </c>
      <c r="G1331" t="s">
        <v>1865</v>
      </c>
      <c r="H1331" t="s">
        <v>30</v>
      </c>
      <c r="I1331" s="28" t="s">
        <v>26</v>
      </c>
    </row>
    <row r="1332" spans="1:9" x14ac:dyDescent="0.3">
      <c r="A1332" s="26">
        <v>45329</v>
      </c>
      <c r="B1332" t="s">
        <v>984</v>
      </c>
      <c r="C1332" t="s">
        <v>753</v>
      </c>
      <c r="D1332">
        <v>3.22</v>
      </c>
      <c r="E1332" t="s">
        <v>13</v>
      </c>
      <c r="F1332" t="s">
        <v>754</v>
      </c>
      <c r="G1332" t="s">
        <v>1866</v>
      </c>
      <c r="H1332" t="s">
        <v>30</v>
      </c>
      <c r="I1332" s="28" t="s">
        <v>26</v>
      </c>
    </row>
    <row r="1333" spans="1:9" x14ac:dyDescent="0.3">
      <c r="A1333" s="26">
        <v>45329</v>
      </c>
      <c r="B1333" t="s">
        <v>984</v>
      </c>
      <c r="C1333" t="s">
        <v>771</v>
      </c>
      <c r="D1333">
        <v>1.57</v>
      </c>
      <c r="E1333" t="s">
        <v>7</v>
      </c>
      <c r="F1333" t="s">
        <v>772</v>
      </c>
      <c r="G1333" t="s">
        <v>1867</v>
      </c>
      <c r="H1333" t="s">
        <v>30</v>
      </c>
      <c r="I1333" s="28" t="s">
        <v>26</v>
      </c>
    </row>
    <row r="1334" spans="1:9" x14ac:dyDescent="0.3">
      <c r="A1334" s="26">
        <v>45329</v>
      </c>
      <c r="B1334" t="s">
        <v>991</v>
      </c>
      <c r="C1334" t="s">
        <v>992</v>
      </c>
      <c r="D1334">
        <v>0.23</v>
      </c>
      <c r="E1334" t="s">
        <v>7</v>
      </c>
      <c r="F1334" t="s">
        <v>772</v>
      </c>
      <c r="G1334" t="s">
        <v>1868</v>
      </c>
      <c r="H1334" t="s">
        <v>30</v>
      </c>
      <c r="I1334" s="28" t="s">
        <v>26</v>
      </c>
    </row>
    <row r="1335" spans="1:9" x14ac:dyDescent="0.3">
      <c r="A1335" s="26">
        <v>45329</v>
      </c>
      <c r="B1335" t="s">
        <v>991</v>
      </c>
      <c r="C1335" t="s">
        <v>992</v>
      </c>
      <c r="D1335">
        <v>5.25</v>
      </c>
      <c r="E1335" t="s">
        <v>7</v>
      </c>
      <c r="F1335" t="s">
        <v>772</v>
      </c>
      <c r="G1335" t="s">
        <v>1869</v>
      </c>
      <c r="H1335" t="s">
        <v>30</v>
      </c>
      <c r="I1335" s="28" t="s">
        <v>26</v>
      </c>
    </row>
    <row r="1336" spans="1:9" x14ac:dyDescent="0.3">
      <c r="A1336" s="26">
        <v>45329</v>
      </c>
      <c r="B1336" t="s">
        <v>991</v>
      </c>
      <c r="C1336" t="s">
        <v>753</v>
      </c>
      <c r="D1336">
        <v>0.65</v>
      </c>
      <c r="E1336" t="s">
        <v>7</v>
      </c>
      <c r="F1336" t="s">
        <v>772</v>
      </c>
      <c r="G1336" t="s">
        <v>1662</v>
      </c>
      <c r="H1336" t="s">
        <v>30</v>
      </c>
      <c r="I1336" s="28" t="s">
        <v>26</v>
      </c>
    </row>
    <row r="1337" spans="1:9" x14ac:dyDescent="0.3">
      <c r="A1337" s="26">
        <v>45329</v>
      </c>
      <c r="B1337" t="s">
        <v>991</v>
      </c>
      <c r="C1337" t="s">
        <v>1870</v>
      </c>
      <c r="D1337">
        <v>3.28</v>
      </c>
      <c r="E1337" t="s">
        <v>999</v>
      </c>
      <c r="F1337" t="s">
        <v>772</v>
      </c>
      <c r="G1337" t="s">
        <v>1871</v>
      </c>
      <c r="H1337" t="s">
        <v>30</v>
      </c>
      <c r="I1337" s="28" t="s">
        <v>26</v>
      </c>
    </row>
    <row r="1338" spans="1:9" x14ac:dyDescent="0.3">
      <c r="A1338" s="26">
        <v>45329</v>
      </c>
      <c r="B1338" t="s">
        <v>991</v>
      </c>
      <c r="C1338" t="s">
        <v>776</v>
      </c>
      <c r="D1338">
        <v>0.15</v>
      </c>
      <c r="E1338" t="s">
        <v>999</v>
      </c>
      <c r="F1338" t="s">
        <v>772</v>
      </c>
      <c r="G1338" t="s">
        <v>1872</v>
      </c>
      <c r="H1338" t="s">
        <v>30</v>
      </c>
      <c r="I1338" s="28" t="s">
        <v>26</v>
      </c>
    </row>
    <row r="1339" spans="1:9" x14ac:dyDescent="0.3">
      <c r="A1339" s="26">
        <v>45329</v>
      </c>
      <c r="B1339" t="s">
        <v>1002</v>
      </c>
      <c r="C1339" t="s">
        <v>1003</v>
      </c>
      <c r="D1339">
        <v>10</v>
      </c>
      <c r="E1339" t="s">
        <v>7</v>
      </c>
      <c r="F1339" t="s">
        <v>772</v>
      </c>
      <c r="G1339" t="s">
        <v>1873</v>
      </c>
      <c r="H1339" t="s">
        <v>30</v>
      </c>
      <c r="I1339" s="28" t="s">
        <v>26</v>
      </c>
    </row>
    <row r="1340" spans="1:9" x14ac:dyDescent="0.3">
      <c r="A1340" s="26">
        <v>45329</v>
      </c>
      <c r="B1340" t="s">
        <v>1005</v>
      </c>
      <c r="C1340" t="s">
        <v>753</v>
      </c>
      <c r="D1340">
        <v>0.5</v>
      </c>
      <c r="E1340" t="s">
        <v>161</v>
      </c>
      <c r="F1340" t="s">
        <v>754</v>
      </c>
      <c r="H1340" t="s">
        <v>30</v>
      </c>
      <c r="I1340" s="28" t="s">
        <v>26</v>
      </c>
    </row>
    <row r="1341" spans="1:9" x14ac:dyDescent="0.3">
      <c r="A1341" s="26">
        <v>45329</v>
      </c>
      <c r="B1341" t="s">
        <v>1005</v>
      </c>
      <c r="C1341" t="s">
        <v>753</v>
      </c>
      <c r="D1341">
        <v>0.5</v>
      </c>
      <c r="E1341" t="s">
        <v>471</v>
      </c>
      <c r="F1341" t="s">
        <v>754</v>
      </c>
      <c r="H1341" t="s">
        <v>30</v>
      </c>
      <c r="I1341" s="28" t="s">
        <v>26</v>
      </c>
    </row>
    <row r="1342" spans="1:9" x14ac:dyDescent="0.3">
      <c r="A1342" s="26">
        <v>45329</v>
      </c>
      <c r="B1342" t="s">
        <v>1005</v>
      </c>
      <c r="C1342" t="s">
        <v>753</v>
      </c>
      <c r="D1342">
        <v>1</v>
      </c>
      <c r="E1342" t="s">
        <v>1438</v>
      </c>
      <c r="F1342" t="s">
        <v>754</v>
      </c>
      <c r="H1342" t="s">
        <v>30</v>
      </c>
      <c r="I1342" s="28" t="s">
        <v>26</v>
      </c>
    </row>
    <row r="1343" spans="1:9" x14ac:dyDescent="0.3">
      <c r="A1343" s="26">
        <v>45329</v>
      </c>
      <c r="B1343" t="s">
        <v>1005</v>
      </c>
      <c r="C1343" t="s">
        <v>753</v>
      </c>
      <c r="D1343">
        <v>1</v>
      </c>
      <c r="E1343" t="s">
        <v>201</v>
      </c>
      <c r="F1343" t="s">
        <v>754</v>
      </c>
      <c r="G1343" t="s">
        <v>1874</v>
      </c>
      <c r="H1343" t="s">
        <v>30</v>
      </c>
      <c r="I1343" s="28" t="s">
        <v>26</v>
      </c>
    </row>
    <row r="1344" spans="1:9" x14ac:dyDescent="0.3">
      <c r="A1344" s="26">
        <v>45329</v>
      </c>
      <c r="B1344" t="s">
        <v>1005</v>
      </c>
      <c r="C1344" t="s">
        <v>753</v>
      </c>
      <c r="D1344">
        <v>1</v>
      </c>
      <c r="E1344" t="s">
        <v>430</v>
      </c>
      <c r="F1344" t="s">
        <v>772</v>
      </c>
      <c r="G1344" t="s">
        <v>1875</v>
      </c>
      <c r="H1344" t="s">
        <v>30</v>
      </c>
      <c r="I1344" s="28" t="s">
        <v>26</v>
      </c>
    </row>
    <row r="1345" spans="1:9" x14ac:dyDescent="0.3">
      <c r="A1345" s="26">
        <v>45329</v>
      </c>
      <c r="B1345" t="s">
        <v>1005</v>
      </c>
      <c r="C1345" t="s">
        <v>753</v>
      </c>
      <c r="D1345">
        <v>1</v>
      </c>
      <c r="E1345" t="s">
        <v>1876</v>
      </c>
      <c r="F1345" t="s">
        <v>754</v>
      </c>
      <c r="H1345" t="s">
        <v>30</v>
      </c>
      <c r="I1345" s="28" t="s">
        <v>26</v>
      </c>
    </row>
    <row r="1346" spans="1:9" x14ac:dyDescent="0.3">
      <c r="A1346" s="26">
        <v>45329</v>
      </c>
      <c r="B1346" t="s">
        <v>1006</v>
      </c>
      <c r="C1346" t="s">
        <v>909</v>
      </c>
      <c r="D1346">
        <v>0.23</v>
      </c>
      <c r="E1346" t="s">
        <v>757</v>
      </c>
      <c r="F1346" t="s">
        <v>772</v>
      </c>
      <c r="G1346" t="s">
        <v>1877</v>
      </c>
      <c r="H1346" t="s">
        <v>30</v>
      </c>
      <c r="I1346" s="28" t="s">
        <v>26</v>
      </c>
    </row>
    <row r="1347" spans="1:9" x14ac:dyDescent="0.3">
      <c r="A1347" s="26">
        <v>45329</v>
      </c>
      <c r="B1347" t="s">
        <v>1006</v>
      </c>
      <c r="C1347" t="s">
        <v>909</v>
      </c>
      <c r="D1347">
        <v>1.27</v>
      </c>
      <c r="E1347" t="s">
        <v>757</v>
      </c>
      <c r="F1347" t="s">
        <v>754</v>
      </c>
      <c r="G1347" t="s">
        <v>1878</v>
      </c>
      <c r="H1347" t="s">
        <v>30</v>
      </c>
      <c r="I1347" s="28" t="s">
        <v>26</v>
      </c>
    </row>
    <row r="1348" spans="1:9" x14ac:dyDescent="0.3">
      <c r="A1348" s="26">
        <v>45329</v>
      </c>
      <c r="B1348" t="s">
        <v>1006</v>
      </c>
      <c r="C1348" t="s">
        <v>771</v>
      </c>
      <c r="D1348">
        <v>4.5</v>
      </c>
      <c r="E1348" t="s">
        <v>7</v>
      </c>
      <c r="F1348" t="s">
        <v>772</v>
      </c>
      <c r="G1348" t="s">
        <v>1010</v>
      </c>
      <c r="H1348" t="s">
        <v>30</v>
      </c>
      <c r="I1348" s="28" t="s">
        <v>26</v>
      </c>
    </row>
    <row r="1349" spans="1:9" x14ac:dyDescent="0.3">
      <c r="A1349" s="26">
        <v>45329</v>
      </c>
      <c r="B1349" t="s">
        <v>1011</v>
      </c>
      <c r="C1349" t="s">
        <v>753</v>
      </c>
      <c r="D1349">
        <v>0.48</v>
      </c>
      <c r="E1349" t="s">
        <v>589</v>
      </c>
      <c r="F1349" t="s">
        <v>754</v>
      </c>
      <c r="G1349" t="s">
        <v>1879</v>
      </c>
      <c r="H1349" t="s">
        <v>30</v>
      </c>
      <c r="I1349" s="28" t="s">
        <v>26</v>
      </c>
    </row>
    <row r="1350" spans="1:9" x14ac:dyDescent="0.3">
      <c r="A1350" s="26">
        <v>45329</v>
      </c>
      <c r="B1350" t="s">
        <v>1011</v>
      </c>
      <c r="C1350" t="s">
        <v>753</v>
      </c>
      <c r="D1350">
        <v>0.72</v>
      </c>
      <c r="E1350" t="s">
        <v>589</v>
      </c>
      <c r="F1350" t="s">
        <v>772</v>
      </c>
      <c r="G1350" t="s">
        <v>1880</v>
      </c>
      <c r="H1350" t="s">
        <v>30</v>
      </c>
      <c r="I1350" s="28" t="s">
        <v>26</v>
      </c>
    </row>
    <row r="1351" spans="1:9" x14ac:dyDescent="0.3">
      <c r="A1351" s="26">
        <v>45329</v>
      </c>
      <c r="B1351" t="s">
        <v>1011</v>
      </c>
      <c r="C1351" t="s">
        <v>753</v>
      </c>
      <c r="D1351">
        <v>0.85</v>
      </c>
      <c r="E1351" t="s">
        <v>1013</v>
      </c>
      <c r="F1351" t="s">
        <v>754</v>
      </c>
      <c r="G1351" t="s">
        <v>1881</v>
      </c>
      <c r="H1351" t="s">
        <v>30</v>
      </c>
      <c r="I1351" s="28" t="s">
        <v>26</v>
      </c>
    </row>
    <row r="1352" spans="1:9" x14ac:dyDescent="0.3">
      <c r="A1352" s="26">
        <v>45329</v>
      </c>
      <c r="B1352" t="s">
        <v>1011</v>
      </c>
      <c r="C1352" t="s">
        <v>753</v>
      </c>
      <c r="D1352">
        <v>1.1000000000000001</v>
      </c>
      <c r="E1352" t="s">
        <v>1013</v>
      </c>
      <c r="F1352" t="s">
        <v>754</v>
      </c>
      <c r="G1352" t="s">
        <v>1882</v>
      </c>
      <c r="H1352" t="s">
        <v>30</v>
      </c>
      <c r="I1352" s="28" t="s">
        <v>26</v>
      </c>
    </row>
    <row r="1353" spans="1:9" x14ac:dyDescent="0.3">
      <c r="A1353" s="26">
        <v>45329</v>
      </c>
      <c r="B1353" t="s">
        <v>1011</v>
      </c>
      <c r="C1353" t="s">
        <v>753</v>
      </c>
      <c r="D1353">
        <v>1.2</v>
      </c>
      <c r="E1353" t="s">
        <v>589</v>
      </c>
      <c r="F1353" t="s">
        <v>754</v>
      </c>
      <c r="G1353" t="s">
        <v>1883</v>
      </c>
      <c r="H1353" t="s">
        <v>30</v>
      </c>
      <c r="I1353" s="28" t="s">
        <v>26</v>
      </c>
    </row>
    <row r="1354" spans="1:9" x14ac:dyDescent="0.3">
      <c r="A1354" s="26">
        <v>45329</v>
      </c>
      <c r="B1354" t="s">
        <v>1011</v>
      </c>
      <c r="C1354" t="s">
        <v>753</v>
      </c>
      <c r="D1354">
        <v>1.58</v>
      </c>
      <c r="E1354" t="s">
        <v>1013</v>
      </c>
      <c r="F1354" t="s">
        <v>754</v>
      </c>
      <c r="G1354" t="s">
        <v>1017</v>
      </c>
      <c r="H1354" t="s">
        <v>30</v>
      </c>
      <c r="I1354" s="28" t="s">
        <v>26</v>
      </c>
    </row>
    <row r="1355" spans="1:9" x14ac:dyDescent="0.3">
      <c r="A1355" s="26">
        <v>45329</v>
      </c>
      <c r="B1355" t="s">
        <v>1011</v>
      </c>
      <c r="C1355" t="s">
        <v>753</v>
      </c>
      <c r="D1355">
        <v>1.98</v>
      </c>
      <c r="E1355" t="s">
        <v>589</v>
      </c>
      <c r="F1355" t="s">
        <v>754</v>
      </c>
      <c r="H1355" t="s">
        <v>30</v>
      </c>
      <c r="I1355" s="28" t="s">
        <v>26</v>
      </c>
    </row>
    <row r="1356" spans="1:9" x14ac:dyDescent="0.3">
      <c r="A1356" s="26">
        <v>45329</v>
      </c>
      <c r="B1356" t="s">
        <v>1011</v>
      </c>
      <c r="C1356" t="s">
        <v>771</v>
      </c>
      <c r="D1356">
        <v>0.1</v>
      </c>
      <c r="E1356" t="s">
        <v>7</v>
      </c>
      <c r="F1356" t="s">
        <v>772</v>
      </c>
      <c r="H1356" t="s">
        <v>30</v>
      </c>
      <c r="I1356" s="28" t="s">
        <v>26</v>
      </c>
    </row>
    <row r="1357" spans="1:9" x14ac:dyDescent="0.3">
      <c r="A1357" s="26">
        <v>45329</v>
      </c>
      <c r="B1357" t="s">
        <v>1011</v>
      </c>
      <c r="C1357" t="s">
        <v>771</v>
      </c>
      <c r="D1357">
        <v>0.18</v>
      </c>
      <c r="E1357" t="s">
        <v>7</v>
      </c>
      <c r="F1357" t="s">
        <v>772</v>
      </c>
      <c r="G1357" t="s">
        <v>1884</v>
      </c>
      <c r="H1357" t="s">
        <v>30</v>
      </c>
      <c r="I1357" s="28" t="s">
        <v>26</v>
      </c>
    </row>
    <row r="1358" spans="1:9" x14ac:dyDescent="0.3">
      <c r="A1358" s="26">
        <v>45329</v>
      </c>
      <c r="B1358" t="s">
        <v>1020</v>
      </c>
      <c r="C1358" t="s">
        <v>771</v>
      </c>
      <c r="D1358">
        <v>0.13</v>
      </c>
      <c r="E1358" t="s">
        <v>7</v>
      </c>
      <c r="F1358" t="s">
        <v>772</v>
      </c>
      <c r="G1358" t="s">
        <v>1024</v>
      </c>
      <c r="H1358" t="s">
        <v>30</v>
      </c>
      <c r="I1358" s="28" t="s">
        <v>26</v>
      </c>
    </row>
    <row r="1359" spans="1:9" x14ac:dyDescent="0.3">
      <c r="A1359" s="26">
        <v>45329</v>
      </c>
      <c r="B1359" t="s">
        <v>1020</v>
      </c>
      <c r="C1359" t="s">
        <v>835</v>
      </c>
      <c r="D1359">
        <v>2.4300000000000002</v>
      </c>
      <c r="E1359" t="s">
        <v>11</v>
      </c>
      <c r="F1359" t="s">
        <v>754</v>
      </c>
      <c r="H1359" t="s">
        <v>30</v>
      </c>
      <c r="I1359" s="28" t="s">
        <v>26</v>
      </c>
    </row>
    <row r="1360" spans="1:9" x14ac:dyDescent="0.3">
      <c r="A1360" s="26">
        <v>45329</v>
      </c>
      <c r="B1360" t="s">
        <v>1020</v>
      </c>
      <c r="C1360" t="s">
        <v>776</v>
      </c>
      <c r="D1360">
        <v>0.35</v>
      </c>
      <c r="E1360" t="s">
        <v>664</v>
      </c>
      <c r="F1360" t="s">
        <v>754</v>
      </c>
      <c r="G1360" t="s">
        <v>1466</v>
      </c>
      <c r="H1360" t="s">
        <v>30</v>
      </c>
      <c r="I1360" s="28" t="s">
        <v>26</v>
      </c>
    </row>
    <row r="1361" spans="1:9" x14ac:dyDescent="0.3">
      <c r="A1361" s="26">
        <v>45329</v>
      </c>
      <c r="B1361" t="s">
        <v>1020</v>
      </c>
      <c r="C1361" t="s">
        <v>776</v>
      </c>
      <c r="D1361">
        <v>5.78</v>
      </c>
      <c r="E1361" t="s">
        <v>11</v>
      </c>
      <c r="F1361" t="s">
        <v>754</v>
      </c>
      <c r="G1361" t="s">
        <v>1885</v>
      </c>
      <c r="H1361" t="s">
        <v>30</v>
      </c>
      <c r="I1361" s="28" t="s">
        <v>26</v>
      </c>
    </row>
    <row r="1362" spans="1:9" x14ac:dyDescent="0.3">
      <c r="A1362" s="26">
        <v>45329</v>
      </c>
      <c r="B1362" t="s">
        <v>1026</v>
      </c>
      <c r="C1362" t="s">
        <v>771</v>
      </c>
      <c r="D1362">
        <v>0.27</v>
      </c>
      <c r="E1362" t="s">
        <v>7</v>
      </c>
      <c r="F1362" t="s">
        <v>772</v>
      </c>
      <c r="G1362" t="s">
        <v>1886</v>
      </c>
      <c r="H1362" t="s">
        <v>30</v>
      </c>
      <c r="I1362" s="28" t="s">
        <v>26</v>
      </c>
    </row>
    <row r="1363" spans="1:9" x14ac:dyDescent="0.3">
      <c r="A1363" s="26">
        <v>45329</v>
      </c>
      <c r="B1363" t="s">
        <v>1026</v>
      </c>
      <c r="C1363" t="s">
        <v>771</v>
      </c>
      <c r="D1363">
        <v>0.52</v>
      </c>
      <c r="E1363" t="s">
        <v>7</v>
      </c>
      <c r="F1363" t="s">
        <v>772</v>
      </c>
      <c r="G1363" t="s">
        <v>1887</v>
      </c>
      <c r="H1363" t="s">
        <v>30</v>
      </c>
      <c r="I1363" s="28" t="s">
        <v>26</v>
      </c>
    </row>
    <row r="1364" spans="1:9" x14ac:dyDescent="0.3">
      <c r="A1364" s="26">
        <v>45329</v>
      </c>
      <c r="B1364" t="s">
        <v>1026</v>
      </c>
      <c r="C1364" t="s">
        <v>771</v>
      </c>
      <c r="D1364">
        <v>0.73</v>
      </c>
      <c r="E1364" t="s">
        <v>7</v>
      </c>
      <c r="F1364" t="s">
        <v>772</v>
      </c>
      <c r="G1364" t="s">
        <v>1888</v>
      </c>
      <c r="H1364" t="s">
        <v>30</v>
      </c>
      <c r="I1364" s="28" t="s">
        <v>26</v>
      </c>
    </row>
    <row r="1365" spans="1:9" x14ac:dyDescent="0.3">
      <c r="A1365" s="26">
        <v>45329</v>
      </c>
      <c r="B1365" t="s">
        <v>1026</v>
      </c>
      <c r="C1365" t="s">
        <v>771</v>
      </c>
      <c r="D1365">
        <v>1.05</v>
      </c>
      <c r="E1365" t="s">
        <v>7</v>
      </c>
      <c r="F1365" t="s">
        <v>772</v>
      </c>
      <c r="G1365" t="s">
        <v>1889</v>
      </c>
      <c r="H1365" t="s">
        <v>30</v>
      </c>
      <c r="I1365" s="28" t="s">
        <v>26</v>
      </c>
    </row>
    <row r="1366" spans="1:9" x14ac:dyDescent="0.3">
      <c r="A1366" s="26">
        <v>45329</v>
      </c>
      <c r="B1366" t="s">
        <v>1026</v>
      </c>
      <c r="C1366" t="s">
        <v>771</v>
      </c>
      <c r="D1366">
        <v>1.1200000000000001</v>
      </c>
      <c r="E1366" t="s">
        <v>7</v>
      </c>
      <c r="F1366" t="s">
        <v>772</v>
      </c>
      <c r="G1366" t="s">
        <v>1890</v>
      </c>
      <c r="H1366" t="s">
        <v>30</v>
      </c>
      <c r="I1366" s="28" t="s">
        <v>26</v>
      </c>
    </row>
    <row r="1367" spans="1:9" x14ac:dyDescent="0.3">
      <c r="A1367" s="26">
        <v>45329</v>
      </c>
      <c r="B1367" t="s">
        <v>1026</v>
      </c>
      <c r="C1367" t="s">
        <v>771</v>
      </c>
      <c r="D1367">
        <v>1.65</v>
      </c>
      <c r="E1367" t="s">
        <v>7</v>
      </c>
      <c r="F1367" t="s">
        <v>772</v>
      </c>
      <c r="G1367" t="s">
        <v>1891</v>
      </c>
      <c r="H1367" t="s">
        <v>30</v>
      </c>
      <c r="I1367" s="28" t="s">
        <v>26</v>
      </c>
    </row>
    <row r="1368" spans="1:9" x14ac:dyDescent="0.3">
      <c r="A1368" s="26">
        <v>45329</v>
      </c>
      <c r="B1368" t="s">
        <v>1026</v>
      </c>
      <c r="C1368" t="s">
        <v>771</v>
      </c>
      <c r="D1368">
        <v>1.68</v>
      </c>
      <c r="E1368" t="s">
        <v>7</v>
      </c>
      <c r="F1368" t="s">
        <v>772</v>
      </c>
      <c r="G1368" t="s">
        <v>1892</v>
      </c>
      <c r="H1368" t="s">
        <v>30</v>
      </c>
      <c r="I1368" s="28" t="s">
        <v>26</v>
      </c>
    </row>
    <row r="1369" spans="1:9" x14ac:dyDescent="0.3">
      <c r="A1369" s="26">
        <v>45329</v>
      </c>
      <c r="B1369" t="s">
        <v>1026</v>
      </c>
      <c r="C1369" t="s">
        <v>874</v>
      </c>
      <c r="D1369">
        <v>0.35</v>
      </c>
      <c r="E1369" t="s">
        <v>7</v>
      </c>
      <c r="F1369" t="s">
        <v>772</v>
      </c>
      <c r="G1369" t="s">
        <v>1893</v>
      </c>
      <c r="H1369" t="s">
        <v>30</v>
      </c>
      <c r="I1369" s="28" t="s">
        <v>26</v>
      </c>
    </row>
    <row r="1370" spans="1:9" x14ac:dyDescent="0.3">
      <c r="A1370" s="26">
        <v>45329</v>
      </c>
      <c r="B1370" t="s">
        <v>1026</v>
      </c>
      <c r="C1370" t="s">
        <v>874</v>
      </c>
      <c r="D1370">
        <v>0.43</v>
      </c>
      <c r="E1370" t="s">
        <v>7</v>
      </c>
      <c r="F1370" t="s">
        <v>772</v>
      </c>
      <c r="G1370" t="s">
        <v>1894</v>
      </c>
      <c r="H1370" t="s">
        <v>30</v>
      </c>
      <c r="I1370" s="28" t="s">
        <v>26</v>
      </c>
    </row>
    <row r="1371" spans="1:9" x14ac:dyDescent="0.3">
      <c r="A1371" s="26">
        <v>45329</v>
      </c>
      <c r="B1371" t="s">
        <v>1026</v>
      </c>
      <c r="C1371" t="s">
        <v>874</v>
      </c>
      <c r="D1371">
        <v>0.47</v>
      </c>
      <c r="E1371" t="s">
        <v>7</v>
      </c>
      <c r="F1371" t="s">
        <v>772</v>
      </c>
      <c r="G1371" t="s">
        <v>1895</v>
      </c>
      <c r="H1371" t="s">
        <v>30</v>
      </c>
      <c r="I1371" s="28" t="s">
        <v>26</v>
      </c>
    </row>
    <row r="1372" spans="1:9" x14ac:dyDescent="0.3">
      <c r="A1372" s="26">
        <v>45329</v>
      </c>
      <c r="B1372" t="s">
        <v>1026</v>
      </c>
      <c r="C1372" t="s">
        <v>874</v>
      </c>
      <c r="D1372">
        <v>0.47</v>
      </c>
      <c r="E1372" t="s">
        <v>7</v>
      </c>
      <c r="F1372" t="s">
        <v>772</v>
      </c>
      <c r="G1372" t="s">
        <v>1896</v>
      </c>
      <c r="H1372" t="s">
        <v>30</v>
      </c>
      <c r="I1372" s="28" t="s">
        <v>26</v>
      </c>
    </row>
    <row r="1373" spans="1:9" x14ac:dyDescent="0.3">
      <c r="A1373" s="26">
        <v>45329</v>
      </c>
      <c r="B1373" t="s">
        <v>1032</v>
      </c>
      <c r="C1373" t="s">
        <v>753</v>
      </c>
      <c r="D1373">
        <v>2.08</v>
      </c>
      <c r="E1373" t="s">
        <v>790</v>
      </c>
      <c r="F1373" t="s">
        <v>754</v>
      </c>
      <c r="G1373" t="s">
        <v>1897</v>
      </c>
      <c r="H1373" t="s">
        <v>30</v>
      </c>
      <c r="I1373" s="28" t="s">
        <v>26</v>
      </c>
    </row>
    <row r="1374" spans="1:9" x14ac:dyDescent="0.3">
      <c r="A1374" s="26">
        <v>45329</v>
      </c>
      <c r="B1374" t="s">
        <v>1032</v>
      </c>
      <c r="C1374" t="s">
        <v>753</v>
      </c>
      <c r="D1374">
        <v>6.62</v>
      </c>
      <c r="E1374" t="s">
        <v>790</v>
      </c>
      <c r="F1374" t="s">
        <v>754</v>
      </c>
      <c r="H1374" t="s">
        <v>30</v>
      </c>
      <c r="I1374" s="28" t="s">
        <v>26</v>
      </c>
    </row>
    <row r="1375" spans="1:9" x14ac:dyDescent="0.3">
      <c r="A1375" s="26">
        <v>45329</v>
      </c>
      <c r="B1375" t="s">
        <v>1032</v>
      </c>
      <c r="C1375" t="s">
        <v>789</v>
      </c>
      <c r="D1375">
        <v>0.5</v>
      </c>
      <c r="E1375" t="s">
        <v>790</v>
      </c>
      <c r="F1375" t="s">
        <v>754</v>
      </c>
      <c r="G1375" t="s">
        <v>1898</v>
      </c>
      <c r="H1375" t="s">
        <v>30</v>
      </c>
      <c r="I1375" s="28" t="s">
        <v>26</v>
      </c>
    </row>
    <row r="1376" spans="1:9" x14ac:dyDescent="0.3">
      <c r="A1376" s="26">
        <v>45329</v>
      </c>
      <c r="B1376" t="s">
        <v>1034</v>
      </c>
      <c r="C1376" t="s">
        <v>1163</v>
      </c>
      <c r="D1376">
        <v>4</v>
      </c>
      <c r="E1376" t="s">
        <v>7</v>
      </c>
      <c r="F1376" t="s">
        <v>772</v>
      </c>
      <c r="H1376" t="s">
        <v>30</v>
      </c>
      <c r="I1376" s="28" t="s">
        <v>26</v>
      </c>
    </row>
    <row r="1377" spans="1:9" x14ac:dyDescent="0.3">
      <c r="A1377" s="26">
        <v>45329</v>
      </c>
      <c r="B1377" t="s">
        <v>1034</v>
      </c>
      <c r="C1377" t="s">
        <v>753</v>
      </c>
      <c r="D1377">
        <v>0.72</v>
      </c>
      <c r="E1377" t="s">
        <v>978</v>
      </c>
      <c r="F1377" t="s">
        <v>754</v>
      </c>
      <c r="G1377" t="s">
        <v>1899</v>
      </c>
      <c r="H1377" t="s">
        <v>30</v>
      </c>
      <c r="I1377" s="28" t="s">
        <v>26</v>
      </c>
    </row>
    <row r="1378" spans="1:9" x14ac:dyDescent="0.3">
      <c r="A1378" s="26">
        <v>45329</v>
      </c>
      <c r="B1378" t="s">
        <v>1034</v>
      </c>
      <c r="C1378" t="s">
        <v>771</v>
      </c>
      <c r="D1378">
        <v>0.37</v>
      </c>
      <c r="E1378" t="s">
        <v>7</v>
      </c>
      <c r="F1378" t="s">
        <v>772</v>
      </c>
      <c r="G1378" t="s">
        <v>1900</v>
      </c>
      <c r="H1378" t="s">
        <v>30</v>
      </c>
      <c r="I1378" s="28" t="s">
        <v>26</v>
      </c>
    </row>
    <row r="1379" spans="1:9" x14ac:dyDescent="0.3">
      <c r="A1379" s="26">
        <v>45329</v>
      </c>
      <c r="B1379" t="s">
        <v>1034</v>
      </c>
      <c r="C1379" t="s">
        <v>776</v>
      </c>
      <c r="D1379">
        <v>1.33</v>
      </c>
      <c r="E1379" t="s">
        <v>879</v>
      </c>
      <c r="F1379" t="s">
        <v>754</v>
      </c>
      <c r="G1379" t="s">
        <v>1901</v>
      </c>
      <c r="H1379" t="s">
        <v>30</v>
      </c>
      <c r="I1379" s="28" t="s">
        <v>26</v>
      </c>
    </row>
    <row r="1380" spans="1:9" x14ac:dyDescent="0.3">
      <c r="A1380" s="26">
        <v>45329</v>
      </c>
      <c r="B1380" t="s">
        <v>1034</v>
      </c>
      <c r="C1380" t="s">
        <v>776</v>
      </c>
      <c r="D1380">
        <v>1.67</v>
      </c>
      <c r="E1380" t="s">
        <v>790</v>
      </c>
      <c r="F1380" t="s">
        <v>754</v>
      </c>
      <c r="G1380" t="s">
        <v>1902</v>
      </c>
      <c r="H1380" t="s">
        <v>30</v>
      </c>
      <c r="I1380" s="28" t="s">
        <v>26</v>
      </c>
    </row>
    <row r="1381" spans="1:9" x14ac:dyDescent="0.3">
      <c r="A1381" s="26">
        <v>45329</v>
      </c>
      <c r="B1381" t="s">
        <v>1043</v>
      </c>
      <c r="C1381" t="s">
        <v>1269</v>
      </c>
      <c r="D1381">
        <v>0.25</v>
      </c>
      <c r="E1381" t="s">
        <v>964</v>
      </c>
      <c r="F1381" t="s">
        <v>754</v>
      </c>
      <c r="G1381" t="s">
        <v>1903</v>
      </c>
      <c r="H1381" t="s">
        <v>30</v>
      </c>
      <c r="I1381" s="28" t="s">
        <v>26</v>
      </c>
    </row>
    <row r="1382" spans="1:9" x14ac:dyDescent="0.3">
      <c r="A1382" s="26">
        <v>45329</v>
      </c>
      <c r="B1382" t="s">
        <v>1043</v>
      </c>
      <c r="C1382" t="s">
        <v>919</v>
      </c>
      <c r="D1382">
        <v>0.6</v>
      </c>
      <c r="E1382" t="s">
        <v>1709</v>
      </c>
      <c r="F1382" t="s">
        <v>754</v>
      </c>
      <c r="G1382" t="s">
        <v>1904</v>
      </c>
      <c r="H1382" t="s">
        <v>30</v>
      </c>
      <c r="I1382" s="28" t="s">
        <v>26</v>
      </c>
    </row>
    <row r="1383" spans="1:9" x14ac:dyDescent="0.3">
      <c r="A1383" s="26">
        <v>45329</v>
      </c>
      <c r="B1383" t="s">
        <v>1043</v>
      </c>
      <c r="C1383" t="s">
        <v>954</v>
      </c>
      <c r="D1383">
        <v>0.17</v>
      </c>
      <c r="E1383" t="s">
        <v>7</v>
      </c>
      <c r="F1383" t="s">
        <v>772</v>
      </c>
      <c r="G1383" t="s">
        <v>1905</v>
      </c>
      <c r="H1383" t="s">
        <v>30</v>
      </c>
      <c r="I1383" s="28" t="s">
        <v>26</v>
      </c>
    </row>
    <row r="1384" spans="1:9" x14ac:dyDescent="0.3">
      <c r="A1384" s="26">
        <v>45329</v>
      </c>
      <c r="B1384" t="s">
        <v>1049</v>
      </c>
      <c r="C1384" t="s">
        <v>753</v>
      </c>
      <c r="D1384">
        <v>0.18</v>
      </c>
      <c r="E1384" t="s">
        <v>562</v>
      </c>
      <c r="F1384" t="s">
        <v>754</v>
      </c>
      <c r="G1384" t="s">
        <v>1906</v>
      </c>
      <c r="H1384" t="s">
        <v>30</v>
      </c>
      <c r="I1384" s="28" t="s">
        <v>26</v>
      </c>
    </row>
    <row r="1385" spans="1:9" x14ac:dyDescent="0.3">
      <c r="A1385" s="26">
        <v>45329</v>
      </c>
      <c r="B1385" t="s">
        <v>1049</v>
      </c>
      <c r="C1385" t="s">
        <v>753</v>
      </c>
      <c r="D1385">
        <v>0.28000000000000003</v>
      </c>
      <c r="E1385" t="s">
        <v>814</v>
      </c>
      <c r="F1385" t="s">
        <v>754</v>
      </c>
      <c r="G1385" t="s">
        <v>1907</v>
      </c>
      <c r="H1385" t="s">
        <v>30</v>
      </c>
      <c r="I1385" s="28" t="s">
        <v>26</v>
      </c>
    </row>
    <row r="1386" spans="1:9" x14ac:dyDescent="0.3">
      <c r="A1386" s="26">
        <v>45329</v>
      </c>
      <c r="B1386" t="s">
        <v>1049</v>
      </c>
      <c r="C1386" t="s">
        <v>753</v>
      </c>
      <c r="D1386">
        <v>0.95</v>
      </c>
      <c r="E1386" t="s">
        <v>10</v>
      </c>
      <c r="F1386" t="s">
        <v>754</v>
      </c>
      <c r="G1386" t="s">
        <v>1908</v>
      </c>
      <c r="H1386" t="s">
        <v>30</v>
      </c>
      <c r="I1386" s="28" t="s">
        <v>26</v>
      </c>
    </row>
    <row r="1387" spans="1:9" x14ac:dyDescent="0.3">
      <c r="A1387" s="26">
        <v>45329</v>
      </c>
      <c r="B1387" t="s">
        <v>1049</v>
      </c>
      <c r="C1387" t="s">
        <v>753</v>
      </c>
      <c r="D1387">
        <v>1.17</v>
      </c>
      <c r="E1387" t="s">
        <v>316</v>
      </c>
      <c r="F1387" t="s">
        <v>754</v>
      </c>
      <c r="G1387" t="s">
        <v>1909</v>
      </c>
      <c r="H1387" t="s">
        <v>30</v>
      </c>
      <c r="I1387" s="28" t="s">
        <v>26</v>
      </c>
    </row>
    <row r="1388" spans="1:9" x14ac:dyDescent="0.3">
      <c r="A1388" s="26">
        <v>45329</v>
      </c>
      <c r="B1388" t="s">
        <v>1049</v>
      </c>
      <c r="C1388" t="s">
        <v>753</v>
      </c>
      <c r="D1388">
        <v>1.93</v>
      </c>
      <c r="E1388" t="s">
        <v>964</v>
      </c>
      <c r="F1388" t="s">
        <v>754</v>
      </c>
      <c r="G1388" t="s">
        <v>1910</v>
      </c>
      <c r="H1388" t="s">
        <v>30</v>
      </c>
      <c r="I1388" s="28" t="s">
        <v>26</v>
      </c>
    </row>
    <row r="1389" spans="1:9" x14ac:dyDescent="0.3">
      <c r="A1389" s="26">
        <v>45329</v>
      </c>
      <c r="B1389" t="s">
        <v>1049</v>
      </c>
      <c r="C1389" t="s">
        <v>771</v>
      </c>
      <c r="D1389">
        <v>0.5</v>
      </c>
      <c r="E1389" t="s">
        <v>7</v>
      </c>
      <c r="F1389" t="s">
        <v>772</v>
      </c>
      <c r="G1389" t="s">
        <v>1058</v>
      </c>
      <c r="H1389" t="s">
        <v>30</v>
      </c>
      <c r="I1389" s="28" t="s">
        <v>26</v>
      </c>
    </row>
    <row r="1390" spans="1:9" x14ac:dyDescent="0.3">
      <c r="A1390" s="26">
        <v>45329</v>
      </c>
      <c r="B1390" t="s">
        <v>1049</v>
      </c>
      <c r="C1390" t="s">
        <v>1441</v>
      </c>
      <c r="D1390">
        <v>0.05</v>
      </c>
      <c r="E1390" t="s">
        <v>815</v>
      </c>
      <c r="F1390" t="s">
        <v>754</v>
      </c>
      <c r="G1390" t="s">
        <v>1911</v>
      </c>
      <c r="H1390" t="s">
        <v>30</v>
      </c>
      <c r="I1390" s="28" t="s">
        <v>26</v>
      </c>
    </row>
    <row r="1391" spans="1:9" x14ac:dyDescent="0.3">
      <c r="A1391" s="26">
        <v>45329</v>
      </c>
      <c r="B1391" t="s">
        <v>1049</v>
      </c>
      <c r="C1391" t="s">
        <v>1441</v>
      </c>
      <c r="D1391">
        <v>0.08</v>
      </c>
      <c r="E1391" t="s">
        <v>814</v>
      </c>
      <c r="F1391" t="s">
        <v>754</v>
      </c>
      <c r="G1391" t="s">
        <v>1912</v>
      </c>
      <c r="H1391" t="s">
        <v>30</v>
      </c>
      <c r="I1391" s="28" t="s">
        <v>26</v>
      </c>
    </row>
    <row r="1392" spans="1:9" x14ac:dyDescent="0.3">
      <c r="A1392" s="26">
        <v>45329</v>
      </c>
      <c r="B1392" t="s">
        <v>1049</v>
      </c>
      <c r="C1392" t="s">
        <v>1441</v>
      </c>
      <c r="D1392">
        <v>0.18</v>
      </c>
      <c r="E1392" t="s">
        <v>811</v>
      </c>
      <c r="F1392" t="s">
        <v>754</v>
      </c>
      <c r="G1392" t="s">
        <v>1911</v>
      </c>
      <c r="H1392" t="s">
        <v>30</v>
      </c>
      <c r="I1392" s="28" t="s">
        <v>26</v>
      </c>
    </row>
    <row r="1393" spans="1:9" x14ac:dyDescent="0.3">
      <c r="A1393" s="26">
        <v>45329</v>
      </c>
      <c r="B1393" t="s">
        <v>1049</v>
      </c>
      <c r="C1393" t="s">
        <v>1441</v>
      </c>
      <c r="D1393">
        <v>0.18</v>
      </c>
      <c r="E1393" t="s">
        <v>813</v>
      </c>
      <c r="F1393" t="s">
        <v>754</v>
      </c>
      <c r="G1393" t="s">
        <v>1911</v>
      </c>
      <c r="H1393" t="s">
        <v>30</v>
      </c>
      <c r="I1393" s="28" t="s">
        <v>26</v>
      </c>
    </row>
    <row r="1394" spans="1:9" x14ac:dyDescent="0.3">
      <c r="A1394" s="26">
        <v>45329</v>
      </c>
      <c r="B1394" t="s">
        <v>1049</v>
      </c>
      <c r="C1394" t="s">
        <v>874</v>
      </c>
      <c r="D1394">
        <v>0.35</v>
      </c>
      <c r="E1394" t="s">
        <v>7</v>
      </c>
      <c r="F1394" t="s">
        <v>772</v>
      </c>
      <c r="G1394" t="s">
        <v>1913</v>
      </c>
      <c r="H1394" t="s">
        <v>30</v>
      </c>
      <c r="I1394" s="28" t="s">
        <v>26</v>
      </c>
    </row>
    <row r="1395" spans="1:9" x14ac:dyDescent="0.3">
      <c r="A1395" s="26">
        <v>45329</v>
      </c>
      <c r="B1395" t="s">
        <v>1049</v>
      </c>
      <c r="C1395" t="s">
        <v>776</v>
      </c>
      <c r="D1395">
        <v>0.08</v>
      </c>
      <c r="E1395" t="s">
        <v>813</v>
      </c>
      <c r="F1395" t="s">
        <v>754</v>
      </c>
      <c r="G1395" t="s">
        <v>1914</v>
      </c>
      <c r="H1395" t="s">
        <v>30</v>
      </c>
      <c r="I1395" s="28" t="s">
        <v>26</v>
      </c>
    </row>
    <row r="1396" spans="1:9" x14ac:dyDescent="0.3">
      <c r="A1396" s="26">
        <v>45329</v>
      </c>
      <c r="B1396" t="s">
        <v>1049</v>
      </c>
      <c r="C1396" t="s">
        <v>776</v>
      </c>
      <c r="D1396">
        <v>0.1</v>
      </c>
      <c r="E1396" t="s">
        <v>811</v>
      </c>
      <c r="F1396" t="s">
        <v>754</v>
      </c>
      <c r="G1396" t="s">
        <v>1915</v>
      </c>
      <c r="H1396" t="s">
        <v>30</v>
      </c>
      <c r="I1396" s="28" t="s">
        <v>26</v>
      </c>
    </row>
    <row r="1397" spans="1:9" x14ac:dyDescent="0.3">
      <c r="A1397" s="26">
        <v>45329</v>
      </c>
      <c r="B1397" t="s">
        <v>1049</v>
      </c>
      <c r="C1397" t="s">
        <v>776</v>
      </c>
      <c r="D1397">
        <v>0.12</v>
      </c>
      <c r="E1397" t="s">
        <v>811</v>
      </c>
      <c r="F1397" t="s">
        <v>754</v>
      </c>
      <c r="G1397" t="s">
        <v>1916</v>
      </c>
      <c r="H1397" t="s">
        <v>30</v>
      </c>
      <c r="I1397" s="28" t="s">
        <v>26</v>
      </c>
    </row>
    <row r="1398" spans="1:9" x14ac:dyDescent="0.3">
      <c r="A1398" s="26">
        <v>45329</v>
      </c>
      <c r="B1398" t="s">
        <v>1049</v>
      </c>
      <c r="C1398" t="s">
        <v>776</v>
      </c>
      <c r="D1398">
        <v>0.18</v>
      </c>
      <c r="E1398" t="s">
        <v>1069</v>
      </c>
      <c r="F1398" t="s">
        <v>754</v>
      </c>
      <c r="G1398" t="s">
        <v>1916</v>
      </c>
      <c r="H1398" t="s">
        <v>30</v>
      </c>
      <c r="I1398" s="28" t="s">
        <v>26</v>
      </c>
    </row>
    <row r="1399" spans="1:9" x14ac:dyDescent="0.3">
      <c r="A1399" s="26">
        <v>45329</v>
      </c>
      <c r="B1399" t="s">
        <v>1049</v>
      </c>
      <c r="C1399" t="s">
        <v>776</v>
      </c>
      <c r="D1399">
        <v>0.33</v>
      </c>
      <c r="E1399" t="s">
        <v>811</v>
      </c>
      <c r="F1399" t="s">
        <v>754</v>
      </c>
      <c r="G1399" t="s">
        <v>1050</v>
      </c>
      <c r="H1399" t="s">
        <v>30</v>
      </c>
      <c r="I1399" s="28" t="s">
        <v>26</v>
      </c>
    </row>
    <row r="1400" spans="1:9" x14ac:dyDescent="0.3">
      <c r="A1400" s="26">
        <v>45329</v>
      </c>
      <c r="B1400" t="s">
        <v>1049</v>
      </c>
      <c r="C1400" t="s">
        <v>776</v>
      </c>
      <c r="D1400">
        <v>0.45</v>
      </c>
      <c r="E1400" t="s">
        <v>813</v>
      </c>
      <c r="F1400" t="s">
        <v>754</v>
      </c>
      <c r="G1400" t="s">
        <v>1916</v>
      </c>
      <c r="H1400" t="s">
        <v>30</v>
      </c>
      <c r="I1400" s="28" t="s">
        <v>26</v>
      </c>
    </row>
    <row r="1401" spans="1:9" x14ac:dyDescent="0.3">
      <c r="A1401" s="26">
        <v>45329</v>
      </c>
      <c r="B1401" t="s">
        <v>1049</v>
      </c>
      <c r="C1401" t="s">
        <v>776</v>
      </c>
      <c r="D1401">
        <v>0.45</v>
      </c>
      <c r="E1401" t="s">
        <v>813</v>
      </c>
      <c r="F1401" t="s">
        <v>754</v>
      </c>
      <c r="G1401" t="s">
        <v>1917</v>
      </c>
      <c r="H1401" t="s">
        <v>30</v>
      </c>
      <c r="I1401" s="28" t="s">
        <v>26</v>
      </c>
    </row>
    <row r="1402" spans="1:9" x14ac:dyDescent="0.3">
      <c r="A1402" s="26">
        <v>45329</v>
      </c>
      <c r="B1402" t="s">
        <v>1049</v>
      </c>
      <c r="C1402" t="s">
        <v>776</v>
      </c>
      <c r="D1402">
        <v>0.6</v>
      </c>
      <c r="E1402" t="s">
        <v>815</v>
      </c>
      <c r="F1402" t="s">
        <v>754</v>
      </c>
      <c r="G1402" t="s">
        <v>1918</v>
      </c>
      <c r="H1402" t="s">
        <v>30</v>
      </c>
      <c r="I1402" s="28" t="s">
        <v>26</v>
      </c>
    </row>
    <row r="1403" spans="1:9" x14ac:dyDescent="0.3">
      <c r="A1403" s="26">
        <v>45329</v>
      </c>
      <c r="B1403" t="s">
        <v>1049</v>
      </c>
      <c r="C1403" t="s">
        <v>1278</v>
      </c>
      <c r="D1403">
        <v>0.05</v>
      </c>
      <c r="E1403" t="s">
        <v>562</v>
      </c>
      <c r="F1403" t="s">
        <v>754</v>
      </c>
      <c r="G1403" t="s">
        <v>1466</v>
      </c>
      <c r="H1403" t="s">
        <v>30</v>
      </c>
      <c r="I1403" s="28" t="s">
        <v>26</v>
      </c>
    </row>
    <row r="1404" spans="1:9" x14ac:dyDescent="0.3">
      <c r="A1404" s="26">
        <v>45329</v>
      </c>
      <c r="B1404" t="s">
        <v>1060</v>
      </c>
      <c r="C1404" t="s">
        <v>909</v>
      </c>
      <c r="D1404">
        <v>0.25</v>
      </c>
      <c r="E1404" t="s">
        <v>623</v>
      </c>
      <c r="F1404" t="s">
        <v>754</v>
      </c>
      <c r="G1404" t="s">
        <v>1919</v>
      </c>
      <c r="H1404" t="s">
        <v>30</v>
      </c>
      <c r="I1404" s="28" t="s">
        <v>26</v>
      </c>
    </row>
    <row r="1405" spans="1:9" x14ac:dyDescent="0.3">
      <c r="A1405" s="26">
        <v>45329</v>
      </c>
      <c r="B1405" t="s">
        <v>1060</v>
      </c>
      <c r="C1405" t="s">
        <v>909</v>
      </c>
      <c r="D1405">
        <v>0.5</v>
      </c>
      <c r="E1405" t="s">
        <v>1273</v>
      </c>
      <c r="F1405" t="s">
        <v>754</v>
      </c>
      <c r="G1405" t="s">
        <v>1920</v>
      </c>
      <c r="H1405" t="s">
        <v>30</v>
      </c>
      <c r="I1405" s="28" t="s">
        <v>26</v>
      </c>
    </row>
    <row r="1406" spans="1:9" x14ac:dyDescent="0.3">
      <c r="A1406" s="26">
        <v>45329</v>
      </c>
      <c r="B1406" t="s">
        <v>1060</v>
      </c>
      <c r="C1406" t="s">
        <v>909</v>
      </c>
      <c r="D1406">
        <v>0.5</v>
      </c>
      <c r="E1406" t="s">
        <v>1876</v>
      </c>
      <c r="F1406" t="s">
        <v>754</v>
      </c>
      <c r="G1406" t="s">
        <v>1921</v>
      </c>
      <c r="H1406" t="s">
        <v>30</v>
      </c>
      <c r="I1406" s="28" t="s">
        <v>26</v>
      </c>
    </row>
    <row r="1407" spans="1:9" x14ac:dyDescent="0.3">
      <c r="A1407" s="26">
        <v>45329</v>
      </c>
      <c r="B1407" t="s">
        <v>1060</v>
      </c>
      <c r="C1407" t="s">
        <v>909</v>
      </c>
      <c r="D1407">
        <v>0.75</v>
      </c>
      <c r="E1407" t="s">
        <v>589</v>
      </c>
      <c r="F1407" t="s">
        <v>754</v>
      </c>
      <c r="G1407" t="s">
        <v>1922</v>
      </c>
      <c r="H1407" t="s">
        <v>30</v>
      </c>
      <c r="I1407" s="28" t="s">
        <v>26</v>
      </c>
    </row>
    <row r="1408" spans="1:9" x14ac:dyDescent="0.3">
      <c r="A1408" s="26">
        <v>45329</v>
      </c>
      <c r="B1408" t="s">
        <v>1060</v>
      </c>
      <c r="C1408" t="s">
        <v>909</v>
      </c>
      <c r="D1408">
        <v>1</v>
      </c>
      <c r="E1408" t="s">
        <v>1273</v>
      </c>
      <c r="F1408" t="s">
        <v>754</v>
      </c>
      <c r="G1408" t="s">
        <v>1923</v>
      </c>
      <c r="H1408" t="s">
        <v>30</v>
      </c>
      <c r="I1408" s="28" t="s">
        <v>26</v>
      </c>
    </row>
    <row r="1409" spans="1:9" x14ac:dyDescent="0.3">
      <c r="A1409" s="26">
        <v>45329</v>
      </c>
      <c r="B1409" t="s">
        <v>1060</v>
      </c>
      <c r="C1409" t="s">
        <v>771</v>
      </c>
      <c r="D1409">
        <v>0.5</v>
      </c>
      <c r="E1409" t="s">
        <v>7</v>
      </c>
      <c r="F1409" t="s">
        <v>772</v>
      </c>
      <c r="G1409" t="s">
        <v>1924</v>
      </c>
      <c r="H1409" t="s">
        <v>30</v>
      </c>
      <c r="I1409" s="28" t="s">
        <v>26</v>
      </c>
    </row>
    <row r="1410" spans="1:9" x14ac:dyDescent="0.3">
      <c r="A1410" s="26">
        <v>45329</v>
      </c>
      <c r="B1410" t="s">
        <v>1060</v>
      </c>
      <c r="C1410" t="s">
        <v>771</v>
      </c>
      <c r="D1410">
        <v>1</v>
      </c>
      <c r="E1410" t="s">
        <v>7</v>
      </c>
      <c r="F1410" t="s">
        <v>772</v>
      </c>
      <c r="G1410" t="s">
        <v>1925</v>
      </c>
      <c r="H1410" t="s">
        <v>30</v>
      </c>
      <c r="I1410" s="28" t="s">
        <v>26</v>
      </c>
    </row>
    <row r="1411" spans="1:9" x14ac:dyDescent="0.3">
      <c r="A1411" s="26">
        <v>45329</v>
      </c>
      <c r="B1411" t="s">
        <v>1060</v>
      </c>
      <c r="C1411" t="s">
        <v>771</v>
      </c>
      <c r="D1411">
        <v>2.5</v>
      </c>
      <c r="E1411" t="s">
        <v>7</v>
      </c>
      <c r="F1411" t="s">
        <v>772</v>
      </c>
      <c r="G1411" t="s">
        <v>1926</v>
      </c>
      <c r="H1411" t="s">
        <v>30</v>
      </c>
      <c r="I1411" s="28" t="s">
        <v>26</v>
      </c>
    </row>
    <row r="1412" spans="1:9" x14ac:dyDescent="0.3">
      <c r="A1412" s="26">
        <v>45329</v>
      </c>
      <c r="B1412" t="s">
        <v>1060</v>
      </c>
      <c r="C1412" t="s">
        <v>1441</v>
      </c>
      <c r="D1412">
        <v>0.17</v>
      </c>
      <c r="E1412" t="s">
        <v>79</v>
      </c>
      <c r="F1412" t="s">
        <v>754</v>
      </c>
      <c r="G1412" t="s">
        <v>1927</v>
      </c>
      <c r="H1412" t="s">
        <v>30</v>
      </c>
      <c r="I1412" s="28" t="s">
        <v>26</v>
      </c>
    </row>
    <row r="1413" spans="1:9" x14ac:dyDescent="0.3">
      <c r="A1413" s="26">
        <v>45329</v>
      </c>
      <c r="B1413" t="s">
        <v>1060</v>
      </c>
      <c r="C1413" t="s">
        <v>1441</v>
      </c>
      <c r="D1413">
        <v>0.17</v>
      </c>
      <c r="E1413" t="s">
        <v>201</v>
      </c>
      <c r="F1413" t="s">
        <v>754</v>
      </c>
      <c r="G1413" t="s">
        <v>1927</v>
      </c>
      <c r="H1413" t="s">
        <v>30</v>
      </c>
      <c r="I1413" s="28" t="s">
        <v>26</v>
      </c>
    </row>
    <row r="1414" spans="1:9" x14ac:dyDescent="0.3">
      <c r="A1414" s="26">
        <v>45329</v>
      </c>
      <c r="B1414" t="s">
        <v>1060</v>
      </c>
      <c r="C1414" t="s">
        <v>1441</v>
      </c>
      <c r="D1414">
        <v>0.17</v>
      </c>
      <c r="E1414" t="s">
        <v>226</v>
      </c>
      <c r="F1414" t="s">
        <v>754</v>
      </c>
      <c r="G1414" t="s">
        <v>1927</v>
      </c>
      <c r="H1414" t="s">
        <v>30</v>
      </c>
      <c r="I1414" s="28" t="s">
        <v>26</v>
      </c>
    </row>
    <row r="1415" spans="1:9" x14ac:dyDescent="0.3">
      <c r="A1415" s="26">
        <v>45329</v>
      </c>
      <c r="B1415" t="s">
        <v>1060</v>
      </c>
      <c r="C1415" t="s">
        <v>1441</v>
      </c>
      <c r="D1415">
        <v>0.17</v>
      </c>
      <c r="E1415" t="s">
        <v>516</v>
      </c>
      <c r="F1415" t="s">
        <v>754</v>
      </c>
      <c r="G1415" t="s">
        <v>1927</v>
      </c>
      <c r="H1415" t="s">
        <v>30</v>
      </c>
      <c r="I1415" s="28" t="s">
        <v>26</v>
      </c>
    </row>
    <row r="1416" spans="1:9" x14ac:dyDescent="0.3">
      <c r="A1416" s="26">
        <v>45329</v>
      </c>
      <c r="B1416" t="s">
        <v>1060</v>
      </c>
      <c r="C1416" t="s">
        <v>1441</v>
      </c>
      <c r="D1416">
        <v>0.17</v>
      </c>
      <c r="E1416" t="s">
        <v>623</v>
      </c>
      <c r="F1416" t="s">
        <v>754</v>
      </c>
      <c r="G1416" t="s">
        <v>1927</v>
      </c>
      <c r="H1416" t="s">
        <v>30</v>
      </c>
      <c r="I1416" s="28" t="s">
        <v>26</v>
      </c>
    </row>
    <row r="1417" spans="1:9" x14ac:dyDescent="0.3">
      <c r="A1417" s="26">
        <v>45329</v>
      </c>
      <c r="B1417" t="s">
        <v>1060</v>
      </c>
      <c r="C1417" t="s">
        <v>1441</v>
      </c>
      <c r="D1417">
        <v>0.17</v>
      </c>
      <c r="E1417" t="s">
        <v>655</v>
      </c>
      <c r="F1417" t="s">
        <v>754</v>
      </c>
      <c r="G1417" t="s">
        <v>1927</v>
      </c>
      <c r="H1417" t="s">
        <v>30</v>
      </c>
      <c r="I1417" s="28" t="s">
        <v>26</v>
      </c>
    </row>
    <row r="1418" spans="1:9" x14ac:dyDescent="0.3">
      <c r="A1418" s="26">
        <v>45329</v>
      </c>
      <c r="B1418" t="s">
        <v>1074</v>
      </c>
      <c r="C1418" t="s">
        <v>753</v>
      </c>
      <c r="D1418">
        <v>0.2</v>
      </c>
      <c r="E1418" t="s">
        <v>1096</v>
      </c>
      <c r="F1418" t="s">
        <v>754</v>
      </c>
      <c r="G1418" t="s">
        <v>1928</v>
      </c>
      <c r="H1418" t="s">
        <v>30</v>
      </c>
      <c r="I1418" s="28" t="s">
        <v>26</v>
      </c>
    </row>
    <row r="1419" spans="1:9" x14ac:dyDescent="0.3">
      <c r="A1419" s="26">
        <v>45329</v>
      </c>
      <c r="B1419" t="s">
        <v>1074</v>
      </c>
      <c r="C1419" t="s">
        <v>753</v>
      </c>
      <c r="D1419">
        <v>0.6</v>
      </c>
      <c r="E1419" t="s">
        <v>964</v>
      </c>
      <c r="F1419" t="s">
        <v>754</v>
      </c>
      <c r="G1419" t="s">
        <v>1929</v>
      </c>
      <c r="H1419" t="s">
        <v>30</v>
      </c>
      <c r="I1419" s="28" t="s">
        <v>26</v>
      </c>
    </row>
    <row r="1420" spans="1:9" x14ac:dyDescent="0.3">
      <c r="A1420" s="26">
        <v>45329</v>
      </c>
      <c r="B1420" t="s">
        <v>1074</v>
      </c>
      <c r="C1420" t="s">
        <v>753</v>
      </c>
      <c r="D1420">
        <v>1</v>
      </c>
      <c r="E1420" t="s">
        <v>964</v>
      </c>
      <c r="F1420" t="s">
        <v>754</v>
      </c>
      <c r="G1420" t="s">
        <v>1930</v>
      </c>
      <c r="H1420" t="s">
        <v>30</v>
      </c>
      <c r="I1420" s="28" t="s">
        <v>26</v>
      </c>
    </row>
    <row r="1421" spans="1:9" x14ac:dyDescent="0.3">
      <c r="A1421" s="26">
        <v>45329</v>
      </c>
      <c r="B1421" t="s">
        <v>1074</v>
      </c>
      <c r="C1421" t="s">
        <v>753</v>
      </c>
      <c r="D1421">
        <v>1.5</v>
      </c>
      <c r="E1421" t="s">
        <v>964</v>
      </c>
      <c r="F1421" t="s">
        <v>754</v>
      </c>
      <c r="G1421" t="s">
        <v>1931</v>
      </c>
      <c r="H1421" t="s">
        <v>30</v>
      </c>
      <c r="I1421" s="28" t="s">
        <v>26</v>
      </c>
    </row>
    <row r="1422" spans="1:9" x14ac:dyDescent="0.3">
      <c r="A1422" s="26">
        <v>45329</v>
      </c>
      <c r="B1422" t="s">
        <v>1074</v>
      </c>
      <c r="C1422" t="s">
        <v>906</v>
      </c>
      <c r="D1422">
        <v>0.2</v>
      </c>
      <c r="E1422" t="s">
        <v>7</v>
      </c>
      <c r="F1422" t="s">
        <v>772</v>
      </c>
      <c r="G1422" t="s">
        <v>1932</v>
      </c>
      <c r="H1422" t="s">
        <v>30</v>
      </c>
      <c r="I1422" s="28" t="s">
        <v>26</v>
      </c>
    </row>
    <row r="1423" spans="1:9" x14ac:dyDescent="0.3">
      <c r="A1423" s="26">
        <v>45329</v>
      </c>
      <c r="B1423" t="s">
        <v>1074</v>
      </c>
      <c r="C1423" t="s">
        <v>909</v>
      </c>
      <c r="D1423">
        <v>0.4</v>
      </c>
      <c r="E1423" t="s">
        <v>964</v>
      </c>
      <c r="F1423" t="s">
        <v>754</v>
      </c>
      <c r="G1423" t="s">
        <v>1933</v>
      </c>
      <c r="H1423" t="s">
        <v>30</v>
      </c>
      <c r="I1423" s="28" t="s">
        <v>26</v>
      </c>
    </row>
    <row r="1424" spans="1:9" x14ac:dyDescent="0.3">
      <c r="A1424" s="26">
        <v>45329</v>
      </c>
      <c r="B1424" t="s">
        <v>1074</v>
      </c>
      <c r="C1424" t="s">
        <v>789</v>
      </c>
      <c r="D1424">
        <v>0.8</v>
      </c>
      <c r="E1424" t="s">
        <v>1096</v>
      </c>
      <c r="F1424" t="s">
        <v>754</v>
      </c>
      <c r="G1424" t="s">
        <v>1934</v>
      </c>
      <c r="H1424" t="s">
        <v>30</v>
      </c>
      <c r="I1424" s="28" t="s">
        <v>26</v>
      </c>
    </row>
    <row r="1425" spans="1:9" x14ac:dyDescent="0.3">
      <c r="A1425" s="26">
        <v>45329</v>
      </c>
      <c r="B1425" t="s">
        <v>1074</v>
      </c>
      <c r="C1425" t="s">
        <v>771</v>
      </c>
      <c r="D1425">
        <v>0.3</v>
      </c>
      <c r="E1425" t="s">
        <v>7</v>
      </c>
      <c r="F1425" t="s">
        <v>772</v>
      </c>
      <c r="G1425" t="s">
        <v>1935</v>
      </c>
      <c r="H1425" t="s">
        <v>30</v>
      </c>
      <c r="I1425" s="28" t="s">
        <v>26</v>
      </c>
    </row>
    <row r="1426" spans="1:9" x14ac:dyDescent="0.3">
      <c r="A1426" s="26">
        <v>45329</v>
      </c>
      <c r="B1426" t="s">
        <v>1074</v>
      </c>
      <c r="C1426" t="s">
        <v>916</v>
      </c>
      <c r="D1426">
        <v>1</v>
      </c>
      <c r="E1426" t="s">
        <v>964</v>
      </c>
      <c r="F1426" t="s">
        <v>754</v>
      </c>
      <c r="G1426" t="s">
        <v>1936</v>
      </c>
      <c r="H1426" t="s">
        <v>30</v>
      </c>
      <c r="I1426" s="28" t="s">
        <v>26</v>
      </c>
    </row>
    <row r="1427" spans="1:9" x14ac:dyDescent="0.3">
      <c r="A1427" s="26">
        <v>45329</v>
      </c>
      <c r="B1427" t="s">
        <v>1074</v>
      </c>
      <c r="C1427" t="s">
        <v>874</v>
      </c>
      <c r="D1427">
        <v>0.9</v>
      </c>
      <c r="E1427" t="s">
        <v>7</v>
      </c>
      <c r="F1427" t="s">
        <v>772</v>
      </c>
      <c r="G1427" t="s">
        <v>1937</v>
      </c>
      <c r="H1427" t="s">
        <v>30</v>
      </c>
      <c r="I1427" s="28" t="s">
        <v>26</v>
      </c>
    </row>
    <row r="1428" spans="1:9" x14ac:dyDescent="0.3">
      <c r="A1428" s="26">
        <v>45329</v>
      </c>
      <c r="B1428" t="s">
        <v>1081</v>
      </c>
      <c r="C1428" t="s">
        <v>771</v>
      </c>
      <c r="D1428">
        <v>8</v>
      </c>
      <c r="E1428" t="s">
        <v>7</v>
      </c>
      <c r="F1428" t="s">
        <v>772</v>
      </c>
      <c r="G1428" t="s">
        <v>1938</v>
      </c>
      <c r="H1428" t="s">
        <v>30</v>
      </c>
      <c r="I1428" s="28" t="s">
        <v>26</v>
      </c>
    </row>
    <row r="1429" spans="1:9" x14ac:dyDescent="0.3">
      <c r="A1429" s="26">
        <v>45330</v>
      </c>
      <c r="B1429" t="s">
        <v>752</v>
      </c>
      <c r="C1429" t="s">
        <v>753</v>
      </c>
      <c r="D1429">
        <v>0.03</v>
      </c>
      <c r="E1429" t="s">
        <v>561</v>
      </c>
      <c r="F1429" t="s">
        <v>754</v>
      </c>
      <c r="G1429" t="s">
        <v>755</v>
      </c>
      <c r="H1429" t="s">
        <v>30</v>
      </c>
      <c r="I1429" s="28" t="s">
        <v>27</v>
      </c>
    </row>
    <row r="1430" spans="1:9" x14ac:dyDescent="0.3">
      <c r="A1430" s="26">
        <v>45330</v>
      </c>
      <c r="B1430" t="s">
        <v>752</v>
      </c>
      <c r="C1430" t="s">
        <v>753</v>
      </c>
      <c r="D1430">
        <v>0.08</v>
      </c>
      <c r="E1430" t="s">
        <v>767</v>
      </c>
      <c r="F1430" t="s">
        <v>754</v>
      </c>
      <c r="G1430" t="s">
        <v>765</v>
      </c>
      <c r="H1430" t="s">
        <v>30</v>
      </c>
      <c r="I1430" s="28" t="s">
        <v>27</v>
      </c>
    </row>
    <row r="1431" spans="1:9" x14ac:dyDescent="0.3">
      <c r="A1431" s="26">
        <v>45330</v>
      </c>
      <c r="B1431" t="s">
        <v>752</v>
      </c>
      <c r="C1431" t="s">
        <v>753</v>
      </c>
      <c r="D1431">
        <v>0.08</v>
      </c>
      <c r="E1431" t="s">
        <v>458</v>
      </c>
      <c r="F1431" t="s">
        <v>754</v>
      </c>
      <c r="G1431" t="s">
        <v>755</v>
      </c>
      <c r="H1431" t="s">
        <v>30</v>
      </c>
      <c r="I1431" s="28" t="s">
        <v>27</v>
      </c>
    </row>
    <row r="1432" spans="1:9" x14ac:dyDescent="0.3">
      <c r="A1432" s="26">
        <v>45330</v>
      </c>
      <c r="B1432" t="s">
        <v>752</v>
      </c>
      <c r="C1432" t="s">
        <v>753</v>
      </c>
      <c r="D1432">
        <v>0.08</v>
      </c>
      <c r="E1432" t="s">
        <v>757</v>
      </c>
      <c r="F1432" t="s">
        <v>754</v>
      </c>
      <c r="G1432" t="s">
        <v>760</v>
      </c>
      <c r="H1432" t="s">
        <v>30</v>
      </c>
      <c r="I1432" s="28" t="s">
        <v>27</v>
      </c>
    </row>
    <row r="1433" spans="1:9" x14ac:dyDescent="0.3">
      <c r="A1433" s="26">
        <v>45330</v>
      </c>
      <c r="B1433" t="s">
        <v>752</v>
      </c>
      <c r="C1433" t="s">
        <v>753</v>
      </c>
      <c r="D1433">
        <v>0.1</v>
      </c>
      <c r="E1433" t="s">
        <v>561</v>
      </c>
      <c r="F1433" t="s">
        <v>754</v>
      </c>
      <c r="G1433" t="s">
        <v>765</v>
      </c>
      <c r="H1433" t="s">
        <v>30</v>
      </c>
      <c r="I1433" s="28" t="s">
        <v>27</v>
      </c>
    </row>
    <row r="1434" spans="1:9" x14ac:dyDescent="0.3">
      <c r="A1434" s="26">
        <v>45330</v>
      </c>
      <c r="B1434" t="s">
        <v>752</v>
      </c>
      <c r="C1434" t="s">
        <v>753</v>
      </c>
      <c r="D1434">
        <v>0.1</v>
      </c>
      <c r="E1434" t="s">
        <v>561</v>
      </c>
      <c r="F1434" t="s">
        <v>754</v>
      </c>
      <c r="G1434" t="s">
        <v>758</v>
      </c>
      <c r="H1434" t="s">
        <v>30</v>
      </c>
      <c r="I1434" s="28" t="s">
        <v>27</v>
      </c>
    </row>
    <row r="1435" spans="1:9" x14ac:dyDescent="0.3">
      <c r="A1435" s="26">
        <v>45330</v>
      </c>
      <c r="B1435" t="s">
        <v>752</v>
      </c>
      <c r="C1435" t="s">
        <v>753</v>
      </c>
      <c r="D1435">
        <v>0.2</v>
      </c>
      <c r="E1435" t="s">
        <v>602</v>
      </c>
      <c r="F1435" t="s">
        <v>754</v>
      </c>
      <c r="G1435" t="s">
        <v>755</v>
      </c>
      <c r="H1435" t="s">
        <v>30</v>
      </c>
      <c r="I1435" s="28" t="s">
        <v>27</v>
      </c>
    </row>
    <row r="1436" spans="1:9" x14ac:dyDescent="0.3">
      <c r="A1436" s="26">
        <v>45330</v>
      </c>
      <c r="B1436" t="s">
        <v>752</v>
      </c>
      <c r="C1436" t="s">
        <v>753</v>
      </c>
      <c r="D1436">
        <v>0.2</v>
      </c>
      <c r="E1436" t="s">
        <v>664</v>
      </c>
      <c r="F1436" t="s">
        <v>754</v>
      </c>
      <c r="G1436" t="s">
        <v>1939</v>
      </c>
      <c r="H1436" t="s">
        <v>30</v>
      </c>
      <c r="I1436" s="28" t="s">
        <v>27</v>
      </c>
    </row>
    <row r="1437" spans="1:9" x14ac:dyDescent="0.3">
      <c r="A1437" s="26">
        <v>45330</v>
      </c>
      <c r="B1437" t="s">
        <v>752</v>
      </c>
      <c r="C1437" t="s">
        <v>753</v>
      </c>
      <c r="D1437">
        <v>0.22</v>
      </c>
      <c r="E1437" t="s">
        <v>561</v>
      </c>
      <c r="F1437" t="s">
        <v>754</v>
      </c>
      <c r="G1437" t="s">
        <v>1086</v>
      </c>
      <c r="H1437" t="s">
        <v>30</v>
      </c>
      <c r="I1437" s="28" t="s">
        <v>27</v>
      </c>
    </row>
    <row r="1438" spans="1:9" x14ac:dyDescent="0.3">
      <c r="A1438" s="26">
        <v>45330</v>
      </c>
      <c r="B1438" t="s">
        <v>752</v>
      </c>
      <c r="C1438" t="s">
        <v>753</v>
      </c>
      <c r="D1438">
        <v>0.22</v>
      </c>
      <c r="E1438" t="s">
        <v>664</v>
      </c>
      <c r="F1438" t="s">
        <v>754</v>
      </c>
      <c r="G1438" t="s">
        <v>1519</v>
      </c>
      <c r="H1438" t="s">
        <v>30</v>
      </c>
      <c r="I1438" s="28" t="s">
        <v>27</v>
      </c>
    </row>
    <row r="1439" spans="1:9" x14ac:dyDescent="0.3">
      <c r="A1439" s="26">
        <v>45330</v>
      </c>
      <c r="B1439" t="s">
        <v>752</v>
      </c>
      <c r="C1439" t="s">
        <v>753</v>
      </c>
      <c r="D1439">
        <v>0.23</v>
      </c>
      <c r="E1439" t="s">
        <v>659</v>
      </c>
      <c r="F1439" t="s">
        <v>754</v>
      </c>
      <c r="G1439" t="s">
        <v>765</v>
      </c>
      <c r="H1439" t="s">
        <v>30</v>
      </c>
      <c r="I1439" s="28" t="s">
        <v>27</v>
      </c>
    </row>
    <row r="1440" spans="1:9" x14ac:dyDescent="0.3">
      <c r="A1440" s="26">
        <v>45330</v>
      </c>
      <c r="B1440" t="s">
        <v>752</v>
      </c>
      <c r="C1440" t="s">
        <v>753</v>
      </c>
      <c r="D1440">
        <v>0.27</v>
      </c>
      <c r="E1440" t="s">
        <v>757</v>
      </c>
      <c r="F1440" t="s">
        <v>754</v>
      </c>
      <c r="G1440" t="s">
        <v>1940</v>
      </c>
      <c r="H1440" t="s">
        <v>30</v>
      </c>
      <c r="I1440" s="28" t="s">
        <v>27</v>
      </c>
    </row>
    <row r="1441" spans="1:9" x14ac:dyDescent="0.3">
      <c r="A1441" s="26">
        <v>45330</v>
      </c>
      <c r="B1441" t="s">
        <v>752</v>
      </c>
      <c r="C1441" t="s">
        <v>753</v>
      </c>
      <c r="D1441">
        <v>0.28000000000000003</v>
      </c>
      <c r="E1441" t="s">
        <v>561</v>
      </c>
      <c r="F1441" t="s">
        <v>754</v>
      </c>
      <c r="G1441" t="s">
        <v>769</v>
      </c>
      <c r="H1441" t="s">
        <v>30</v>
      </c>
      <c r="I1441" s="28" t="s">
        <v>27</v>
      </c>
    </row>
    <row r="1442" spans="1:9" x14ac:dyDescent="0.3">
      <c r="A1442" s="26">
        <v>45330</v>
      </c>
      <c r="B1442" t="s">
        <v>752</v>
      </c>
      <c r="C1442" t="s">
        <v>753</v>
      </c>
      <c r="D1442">
        <v>0.32</v>
      </c>
      <c r="E1442" t="s">
        <v>602</v>
      </c>
      <c r="F1442" t="s">
        <v>754</v>
      </c>
      <c r="G1442" t="s">
        <v>766</v>
      </c>
      <c r="H1442" t="s">
        <v>30</v>
      </c>
      <c r="I1442" s="28" t="s">
        <v>27</v>
      </c>
    </row>
    <row r="1443" spans="1:9" x14ac:dyDescent="0.3">
      <c r="A1443" s="26">
        <v>45330</v>
      </c>
      <c r="B1443" t="s">
        <v>752</v>
      </c>
      <c r="C1443" t="s">
        <v>753</v>
      </c>
      <c r="D1443">
        <v>0.45</v>
      </c>
      <c r="E1443" t="s">
        <v>770</v>
      </c>
      <c r="F1443" t="s">
        <v>754</v>
      </c>
      <c r="G1443" t="s">
        <v>765</v>
      </c>
      <c r="H1443" t="s">
        <v>30</v>
      </c>
      <c r="I1443" s="28" t="s">
        <v>27</v>
      </c>
    </row>
    <row r="1444" spans="1:9" x14ac:dyDescent="0.3">
      <c r="A1444" s="26">
        <v>45330</v>
      </c>
      <c r="B1444" t="s">
        <v>752</v>
      </c>
      <c r="C1444" t="s">
        <v>753</v>
      </c>
      <c r="D1444">
        <v>0.65</v>
      </c>
      <c r="E1444" t="s">
        <v>757</v>
      </c>
      <c r="F1444" t="s">
        <v>754</v>
      </c>
      <c r="G1444" t="s">
        <v>1941</v>
      </c>
      <c r="H1444" t="s">
        <v>30</v>
      </c>
      <c r="I1444" s="28" t="s">
        <v>27</v>
      </c>
    </row>
    <row r="1445" spans="1:9" x14ac:dyDescent="0.3">
      <c r="A1445" s="26">
        <v>45330</v>
      </c>
      <c r="B1445" t="s">
        <v>752</v>
      </c>
      <c r="C1445" t="s">
        <v>753</v>
      </c>
      <c r="D1445">
        <v>1</v>
      </c>
      <c r="E1445" t="s">
        <v>1084</v>
      </c>
      <c r="F1445" t="s">
        <v>754</v>
      </c>
      <c r="G1445" t="s">
        <v>1942</v>
      </c>
      <c r="H1445" t="s">
        <v>30</v>
      </c>
      <c r="I1445" s="28" t="s">
        <v>27</v>
      </c>
    </row>
    <row r="1446" spans="1:9" x14ac:dyDescent="0.3">
      <c r="A1446" s="26">
        <v>45330</v>
      </c>
      <c r="B1446" t="s">
        <v>752</v>
      </c>
      <c r="C1446" t="s">
        <v>789</v>
      </c>
      <c r="D1446">
        <v>0.87</v>
      </c>
      <c r="E1446" t="s">
        <v>757</v>
      </c>
      <c r="F1446" t="s">
        <v>772</v>
      </c>
      <c r="G1446" t="s">
        <v>1943</v>
      </c>
      <c r="H1446" t="s">
        <v>30</v>
      </c>
      <c r="I1446" s="28" t="s">
        <v>27</v>
      </c>
    </row>
    <row r="1447" spans="1:9" x14ac:dyDescent="0.3">
      <c r="A1447" s="26">
        <v>45330</v>
      </c>
      <c r="B1447" t="s">
        <v>752</v>
      </c>
      <c r="C1447" t="s">
        <v>771</v>
      </c>
      <c r="D1447">
        <v>0.08</v>
      </c>
      <c r="E1447" t="s">
        <v>7</v>
      </c>
      <c r="F1447" t="s">
        <v>772</v>
      </c>
      <c r="G1447" t="s">
        <v>1944</v>
      </c>
      <c r="H1447" t="s">
        <v>30</v>
      </c>
      <c r="I1447" s="28" t="s">
        <v>27</v>
      </c>
    </row>
    <row r="1448" spans="1:9" x14ac:dyDescent="0.3">
      <c r="A1448" s="26">
        <v>45330</v>
      </c>
      <c r="B1448" t="s">
        <v>752</v>
      </c>
      <c r="C1448" t="s">
        <v>771</v>
      </c>
      <c r="D1448">
        <v>0.25</v>
      </c>
      <c r="E1448" t="s">
        <v>7</v>
      </c>
      <c r="F1448" t="s">
        <v>772</v>
      </c>
      <c r="G1448" t="s">
        <v>774</v>
      </c>
      <c r="H1448" t="s">
        <v>30</v>
      </c>
      <c r="I1448" s="28" t="s">
        <v>27</v>
      </c>
    </row>
    <row r="1449" spans="1:9" x14ac:dyDescent="0.3">
      <c r="A1449" s="26">
        <v>45330</v>
      </c>
      <c r="B1449" t="s">
        <v>752</v>
      </c>
      <c r="C1449" t="s">
        <v>771</v>
      </c>
      <c r="D1449">
        <v>0.25</v>
      </c>
      <c r="E1449" t="s">
        <v>7</v>
      </c>
      <c r="F1449" t="s">
        <v>772</v>
      </c>
      <c r="G1449" t="s">
        <v>775</v>
      </c>
      <c r="H1449" t="s">
        <v>30</v>
      </c>
      <c r="I1449" s="28" t="s">
        <v>27</v>
      </c>
    </row>
    <row r="1450" spans="1:9" x14ac:dyDescent="0.3">
      <c r="A1450" s="26">
        <v>45330</v>
      </c>
      <c r="B1450" t="s">
        <v>752</v>
      </c>
      <c r="C1450" t="s">
        <v>771</v>
      </c>
      <c r="D1450">
        <v>0.5</v>
      </c>
      <c r="E1450" t="s">
        <v>7</v>
      </c>
      <c r="F1450" t="s">
        <v>772</v>
      </c>
      <c r="G1450" t="s">
        <v>1945</v>
      </c>
      <c r="H1450" t="s">
        <v>30</v>
      </c>
      <c r="I1450" s="28" t="s">
        <v>27</v>
      </c>
    </row>
    <row r="1451" spans="1:9" x14ac:dyDescent="0.3">
      <c r="A1451" s="26">
        <v>45330</v>
      </c>
      <c r="B1451" t="s">
        <v>752</v>
      </c>
      <c r="C1451" t="s">
        <v>874</v>
      </c>
      <c r="D1451">
        <v>1.23</v>
      </c>
      <c r="E1451" t="s">
        <v>7</v>
      </c>
      <c r="F1451" t="s">
        <v>772</v>
      </c>
      <c r="G1451" t="s">
        <v>1090</v>
      </c>
      <c r="H1451" t="s">
        <v>30</v>
      </c>
      <c r="I1451" s="28" t="s">
        <v>27</v>
      </c>
    </row>
    <row r="1452" spans="1:9" x14ac:dyDescent="0.3">
      <c r="A1452" s="26">
        <v>45330</v>
      </c>
      <c r="B1452" t="s">
        <v>752</v>
      </c>
      <c r="C1452" t="s">
        <v>776</v>
      </c>
      <c r="D1452">
        <v>0.3</v>
      </c>
      <c r="E1452" t="s">
        <v>553</v>
      </c>
      <c r="F1452" t="s">
        <v>754</v>
      </c>
      <c r="H1452" t="s">
        <v>30</v>
      </c>
      <c r="I1452" s="28" t="s">
        <v>27</v>
      </c>
    </row>
    <row r="1453" spans="1:9" x14ac:dyDescent="0.3">
      <c r="A1453" s="26">
        <v>45330</v>
      </c>
      <c r="B1453" t="s">
        <v>1093</v>
      </c>
      <c r="C1453" t="s">
        <v>1522</v>
      </c>
      <c r="D1453">
        <v>1</v>
      </c>
      <c r="E1453" t="s">
        <v>455</v>
      </c>
      <c r="F1453" t="s">
        <v>754</v>
      </c>
      <c r="G1453" t="s">
        <v>1946</v>
      </c>
      <c r="H1453" t="s">
        <v>30</v>
      </c>
      <c r="I1453" s="28" t="s">
        <v>27</v>
      </c>
    </row>
    <row r="1454" spans="1:9" x14ac:dyDescent="0.3">
      <c r="A1454" s="26">
        <v>45330</v>
      </c>
      <c r="B1454" t="s">
        <v>1093</v>
      </c>
      <c r="C1454" t="s">
        <v>1094</v>
      </c>
      <c r="D1454">
        <v>1</v>
      </c>
      <c r="E1454" t="s">
        <v>455</v>
      </c>
      <c r="F1454" t="s">
        <v>754</v>
      </c>
      <c r="G1454" t="s">
        <v>1947</v>
      </c>
      <c r="H1454" t="s">
        <v>30</v>
      </c>
      <c r="I1454" s="28" t="s">
        <v>27</v>
      </c>
    </row>
    <row r="1455" spans="1:9" x14ac:dyDescent="0.3">
      <c r="A1455" s="26">
        <v>45330</v>
      </c>
      <c r="B1455" t="s">
        <v>21</v>
      </c>
      <c r="C1455" t="s">
        <v>753</v>
      </c>
      <c r="D1455">
        <v>0.22</v>
      </c>
      <c r="E1455" t="s">
        <v>1096</v>
      </c>
      <c r="F1455" t="s">
        <v>754</v>
      </c>
      <c r="G1455" t="s">
        <v>1948</v>
      </c>
      <c r="H1455" t="s">
        <v>30</v>
      </c>
      <c r="I1455" s="28" t="s">
        <v>27</v>
      </c>
    </row>
    <row r="1456" spans="1:9" x14ac:dyDescent="0.3">
      <c r="A1456" s="26">
        <v>45330</v>
      </c>
      <c r="B1456" t="s">
        <v>21</v>
      </c>
      <c r="C1456" t="s">
        <v>753</v>
      </c>
      <c r="D1456">
        <v>0.4</v>
      </c>
      <c r="E1456" t="s">
        <v>1096</v>
      </c>
      <c r="F1456" t="s">
        <v>754</v>
      </c>
      <c r="G1456" t="s">
        <v>1949</v>
      </c>
      <c r="H1456" t="s">
        <v>30</v>
      </c>
      <c r="I1456" s="28" t="s">
        <v>27</v>
      </c>
    </row>
    <row r="1457" spans="1:9" x14ac:dyDescent="0.3">
      <c r="A1457" s="26">
        <v>45330</v>
      </c>
      <c r="B1457" t="s">
        <v>21</v>
      </c>
      <c r="C1457" t="s">
        <v>753</v>
      </c>
      <c r="D1457">
        <v>0.6</v>
      </c>
      <c r="E1457" t="s">
        <v>1096</v>
      </c>
      <c r="F1457" t="s">
        <v>754</v>
      </c>
      <c r="G1457" t="s">
        <v>1950</v>
      </c>
      <c r="H1457" t="s">
        <v>30</v>
      </c>
      <c r="I1457" s="28" t="s">
        <v>27</v>
      </c>
    </row>
    <row r="1458" spans="1:9" x14ac:dyDescent="0.3">
      <c r="A1458" s="26">
        <v>45330</v>
      </c>
      <c r="B1458" t="s">
        <v>21</v>
      </c>
      <c r="C1458" t="s">
        <v>753</v>
      </c>
      <c r="D1458">
        <v>1.35</v>
      </c>
      <c r="E1458" t="s">
        <v>1096</v>
      </c>
      <c r="F1458" t="s">
        <v>754</v>
      </c>
      <c r="G1458" t="s">
        <v>1951</v>
      </c>
      <c r="H1458" t="s">
        <v>30</v>
      </c>
      <c r="I1458" s="28" t="s">
        <v>27</v>
      </c>
    </row>
    <row r="1459" spans="1:9" x14ac:dyDescent="0.3">
      <c r="A1459" s="26">
        <v>45330</v>
      </c>
      <c r="B1459" t="s">
        <v>21</v>
      </c>
      <c r="C1459" t="s">
        <v>753</v>
      </c>
      <c r="D1459">
        <v>1.45</v>
      </c>
      <c r="E1459" t="s">
        <v>1096</v>
      </c>
      <c r="F1459" t="s">
        <v>754</v>
      </c>
      <c r="G1459" t="s">
        <v>1952</v>
      </c>
      <c r="H1459" t="s">
        <v>30</v>
      </c>
      <c r="I1459" s="28" t="s">
        <v>27</v>
      </c>
    </row>
    <row r="1460" spans="1:9" x14ac:dyDescent="0.3">
      <c r="A1460" s="26">
        <v>45330</v>
      </c>
      <c r="B1460" t="s">
        <v>21</v>
      </c>
      <c r="C1460" t="s">
        <v>771</v>
      </c>
      <c r="D1460">
        <v>0.32</v>
      </c>
      <c r="E1460" t="s">
        <v>7</v>
      </c>
      <c r="F1460" t="s">
        <v>772</v>
      </c>
      <c r="G1460" t="s">
        <v>1953</v>
      </c>
      <c r="H1460" t="s">
        <v>30</v>
      </c>
      <c r="I1460" s="28" t="s">
        <v>27</v>
      </c>
    </row>
    <row r="1461" spans="1:9" x14ac:dyDescent="0.3">
      <c r="A1461" s="26">
        <v>45330</v>
      </c>
      <c r="B1461" t="s">
        <v>21</v>
      </c>
      <c r="C1461" t="s">
        <v>771</v>
      </c>
      <c r="D1461">
        <v>0.37</v>
      </c>
      <c r="E1461" t="s">
        <v>7</v>
      </c>
      <c r="F1461" t="s">
        <v>772</v>
      </c>
      <c r="G1461" t="s">
        <v>1954</v>
      </c>
      <c r="H1461" t="s">
        <v>30</v>
      </c>
      <c r="I1461" s="28" t="s">
        <v>27</v>
      </c>
    </row>
    <row r="1462" spans="1:9" x14ac:dyDescent="0.3">
      <c r="A1462" s="26">
        <v>45330</v>
      </c>
      <c r="B1462" t="s">
        <v>21</v>
      </c>
      <c r="C1462" t="s">
        <v>771</v>
      </c>
      <c r="D1462">
        <v>0.45</v>
      </c>
      <c r="E1462" t="s">
        <v>7</v>
      </c>
      <c r="F1462" t="s">
        <v>772</v>
      </c>
      <c r="G1462" t="s">
        <v>781</v>
      </c>
      <c r="H1462" t="s">
        <v>30</v>
      </c>
      <c r="I1462" s="28" t="s">
        <v>27</v>
      </c>
    </row>
    <row r="1463" spans="1:9" x14ac:dyDescent="0.3">
      <c r="A1463" s="26">
        <v>45330</v>
      </c>
      <c r="B1463" t="s">
        <v>21</v>
      </c>
      <c r="C1463" t="s">
        <v>771</v>
      </c>
      <c r="D1463">
        <v>0.48</v>
      </c>
      <c r="E1463" t="s">
        <v>7</v>
      </c>
      <c r="F1463" t="s">
        <v>772</v>
      </c>
      <c r="G1463" t="s">
        <v>1945</v>
      </c>
      <c r="H1463" t="s">
        <v>30</v>
      </c>
      <c r="I1463" s="28" t="s">
        <v>27</v>
      </c>
    </row>
    <row r="1464" spans="1:9" x14ac:dyDescent="0.3">
      <c r="A1464" s="26">
        <v>45330</v>
      </c>
      <c r="B1464" t="s">
        <v>21</v>
      </c>
      <c r="C1464" t="s">
        <v>771</v>
      </c>
      <c r="D1464">
        <v>0.9</v>
      </c>
      <c r="E1464" t="s">
        <v>7</v>
      </c>
      <c r="F1464" t="s">
        <v>772</v>
      </c>
      <c r="G1464" t="s">
        <v>1955</v>
      </c>
      <c r="H1464" t="s">
        <v>30</v>
      </c>
      <c r="I1464" s="28" t="s">
        <v>27</v>
      </c>
    </row>
    <row r="1465" spans="1:9" x14ac:dyDescent="0.3">
      <c r="A1465" s="26">
        <v>45330</v>
      </c>
      <c r="B1465" t="s">
        <v>21</v>
      </c>
      <c r="C1465" t="s">
        <v>874</v>
      </c>
      <c r="D1465">
        <v>1.48</v>
      </c>
      <c r="E1465" t="s">
        <v>7</v>
      </c>
      <c r="F1465" t="s">
        <v>772</v>
      </c>
      <c r="G1465" t="s">
        <v>1956</v>
      </c>
      <c r="H1465" t="s">
        <v>30</v>
      </c>
      <c r="I1465" s="28" t="s">
        <v>27</v>
      </c>
    </row>
    <row r="1466" spans="1:9" x14ac:dyDescent="0.3">
      <c r="A1466" s="26">
        <v>45330</v>
      </c>
      <c r="B1466" t="s">
        <v>783</v>
      </c>
      <c r="C1466" t="s">
        <v>753</v>
      </c>
      <c r="D1466">
        <v>0.27</v>
      </c>
      <c r="E1466" t="s">
        <v>170</v>
      </c>
      <c r="F1466" t="s">
        <v>754</v>
      </c>
      <c r="G1466" t="s">
        <v>1957</v>
      </c>
      <c r="H1466" t="s">
        <v>30</v>
      </c>
      <c r="I1466" s="28" t="s">
        <v>27</v>
      </c>
    </row>
    <row r="1467" spans="1:9" x14ac:dyDescent="0.3">
      <c r="A1467" s="26">
        <v>45330</v>
      </c>
      <c r="B1467" t="s">
        <v>783</v>
      </c>
      <c r="C1467" t="s">
        <v>753</v>
      </c>
      <c r="D1467">
        <v>0.82</v>
      </c>
      <c r="E1467" t="s">
        <v>288</v>
      </c>
      <c r="F1467" t="s">
        <v>754</v>
      </c>
      <c r="G1467" t="s">
        <v>1958</v>
      </c>
      <c r="H1467" t="s">
        <v>30</v>
      </c>
      <c r="I1467" s="28" t="s">
        <v>27</v>
      </c>
    </row>
    <row r="1468" spans="1:9" x14ac:dyDescent="0.3">
      <c r="A1468" s="26">
        <v>45330</v>
      </c>
      <c r="B1468" t="s">
        <v>783</v>
      </c>
      <c r="C1468" t="s">
        <v>753</v>
      </c>
      <c r="D1468">
        <v>3.37</v>
      </c>
      <c r="E1468" t="s">
        <v>170</v>
      </c>
      <c r="F1468" t="s">
        <v>754</v>
      </c>
      <c r="G1468" t="s">
        <v>1959</v>
      </c>
      <c r="H1468" t="s">
        <v>30</v>
      </c>
      <c r="I1468" s="28" t="s">
        <v>27</v>
      </c>
    </row>
    <row r="1469" spans="1:9" x14ac:dyDescent="0.3">
      <c r="A1469" s="26">
        <v>45330</v>
      </c>
      <c r="B1469" t="s">
        <v>783</v>
      </c>
      <c r="C1469" t="s">
        <v>771</v>
      </c>
      <c r="D1469">
        <v>2.12</v>
      </c>
      <c r="E1469" t="s">
        <v>7</v>
      </c>
      <c r="F1469" t="s">
        <v>772</v>
      </c>
      <c r="G1469" t="s">
        <v>1960</v>
      </c>
      <c r="H1469" t="s">
        <v>30</v>
      </c>
      <c r="I1469" s="28" t="s">
        <v>27</v>
      </c>
    </row>
    <row r="1470" spans="1:9" x14ac:dyDescent="0.3">
      <c r="A1470" s="26">
        <v>45330</v>
      </c>
      <c r="B1470" t="s">
        <v>783</v>
      </c>
      <c r="C1470" t="s">
        <v>874</v>
      </c>
      <c r="D1470">
        <v>0.67</v>
      </c>
      <c r="E1470" t="s">
        <v>7</v>
      </c>
      <c r="F1470" t="s">
        <v>772</v>
      </c>
      <c r="G1470" t="s">
        <v>1961</v>
      </c>
      <c r="H1470" t="s">
        <v>30</v>
      </c>
      <c r="I1470" s="28" t="s">
        <v>27</v>
      </c>
    </row>
    <row r="1471" spans="1:9" x14ac:dyDescent="0.3">
      <c r="A1471" s="26">
        <v>45330</v>
      </c>
      <c r="B1471" t="s">
        <v>783</v>
      </c>
      <c r="C1471" t="s">
        <v>874</v>
      </c>
      <c r="D1471">
        <v>0.77</v>
      </c>
      <c r="E1471" t="s">
        <v>7</v>
      </c>
      <c r="F1471" t="s">
        <v>772</v>
      </c>
      <c r="G1471" t="s">
        <v>1962</v>
      </c>
      <c r="H1471" t="s">
        <v>30</v>
      </c>
      <c r="I1471" s="28" t="s">
        <v>27</v>
      </c>
    </row>
    <row r="1472" spans="1:9" x14ac:dyDescent="0.3">
      <c r="A1472" s="26">
        <v>45330</v>
      </c>
      <c r="B1472" t="s">
        <v>785</v>
      </c>
      <c r="C1472" t="s">
        <v>786</v>
      </c>
      <c r="D1472">
        <v>8</v>
      </c>
      <c r="E1472" t="s">
        <v>7</v>
      </c>
      <c r="F1472" t="s">
        <v>772</v>
      </c>
      <c r="G1472" t="s">
        <v>1324</v>
      </c>
      <c r="H1472" t="s">
        <v>30</v>
      </c>
      <c r="I1472" s="28" t="s">
        <v>27</v>
      </c>
    </row>
    <row r="1473" spans="1:9" x14ac:dyDescent="0.3">
      <c r="A1473" s="26">
        <v>45330</v>
      </c>
      <c r="B1473" t="s">
        <v>788</v>
      </c>
      <c r="C1473" t="s">
        <v>786</v>
      </c>
      <c r="D1473">
        <v>6</v>
      </c>
      <c r="E1473" t="s">
        <v>7</v>
      </c>
      <c r="F1473" t="s">
        <v>772</v>
      </c>
      <c r="H1473" t="s">
        <v>30</v>
      </c>
      <c r="I1473" s="28" t="s">
        <v>27</v>
      </c>
    </row>
    <row r="1474" spans="1:9" x14ac:dyDescent="0.3">
      <c r="A1474" s="26">
        <v>45330</v>
      </c>
      <c r="B1474" t="s">
        <v>788</v>
      </c>
      <c r="C1474" t="s">
        <v>821</v>
      </c>
      <c r="D1474">
        <v>1.5</v>
      </c>
      <c r="E1474" t="s">
        <v>857</v>
      </c>
      <c r="F1474" t="s">
        <v>754</v>
      </c>
      <c r="G1474" t="s">
        <v>1963</v>
      </c>
      <c r="H1474" t="s">
        <v>30</v>
      </c>
      <c r="I1474" s="28" t="s">
        <v>27</v>
      </c>
    </row>
    <row r="1475" spans="1:9" x14ac:dyDescent="0.3">
      <c r="A1475" s="26">
        <v>45330</v>
      </c>
      <c r="B1475" t="s">
        <v>792</v>
      </c>
      <c r="C1475" t="s">
        <v>753</v>
      </c>
      <c r="D1475">
        <v>1.4</v>
      </c>
      <c r="E1475" t="s">
        <v>790</v>
      </c>
      <c r="F1475" t="s">
        <v>754</v>
      </c>
      <c r="G1475" t="s">
        <v>793</v>
      </c>
      <c r="H1475" t="s">
        <v>30</v>
      </c>
      <c r="I1475" s="28" t="s">
        <v>27</v>
      </c>
    </row>
    <row r="1476" spans="1:9" x14ac:dyDescent="0.3">
      <c r="A1476" s="26">
        <v>45330</v>
      </c>
      <c r="B1476" t="s">
        <v>792</v>
      </c>
      <c r="C1476" t="s">
        <v>753</v>
      </c>
      <c r="D1476">
        <v>2.27</v>
      </c>
      <c r="E1476" t="s">
        <v>790</v>
      </c>
      <c r="F1476" t="s">
        <v>754</v>
      </c>
      <c r="G1476" t="s">
        <v>1541</v>
      </c>
      <c r="H1476" t="s">
        <v>30</v>
      </c>
      <c r="I1476" s="28" t="s">
        <v>27</v>
      </c>
    </row>
    <row r="1477" spans="1:9" x14ac:dyDescent="0.3">
      <c r="A1477" s="26">
        <v>45330</v>
      </c>
      <c r="B1477" t="s">
        <v>792</v>
      </c>
      <c r="C1477" t="s">
        <v>753</v>
      </c>
      <c r="D1477">
        <v>2.8</v>
      </c>
      <c r="E1477" t="s">
        <v>790</v>
      </c>
      <c r="F1477" t="s">
        <v>754</v>
      </c>
      <c r="G1477" t="s">
        <v>1964</v>
      </c>
      <c r="H1477" t="s">
        <v>30</v>
      </c>
      <c r="I1477" s="28" t="s">
        <v>27</v>
      </c>
    </row>
    <row r="1478" spans="1:9" x14ac:dyDescent="0.3">
      <c r="A1478" s="26">
        <v>45330</v>
      </c>
      <c r="B1478" t="s">
        <v>792</v>
      </c>
      <c r="C1478" t="s">
        <v>874</v>
      </c>
      <c r="D1478">
        <v>1</v>
      </c>
      <c r="E1478" t="s">
        <v>7</v>
      </c>
      <c r="F1478" t="s">
        <v>772</v>
      </c>
      <c r="G1478" t="s">
        <v>1965</v>
      </c>
      <c r="H1478" t="s">
        <v>30</v>
      </c>
      <c r="I1478" s="28" t="s">
        <v>27</v>
      </c>
    </row>
    <row r="1479" spans="1:9" x14ac:dyDescent="0.3">
      <c r="A1479" s="26">
        <v>45330</v>
      </c>
      <c r="B1479" t="s">
        <v>792</v>
      </c>
      <c r="C1479" t="s">
        <v>874</v>
      </c>
      <c r="D1479">
        <v>1</v>
      </c>
      <c r="E1479" t="s">
        <v>7</v>
      </c>
      <c r="F1479" t="s">
        <v>772</v>
      </c>
      <c r="G1479" t="s">
        <v>1966</v>
      </c>
      <c r="H1479" t="s">
        <v>30</v>
      </c>
      <c r="I1479" s="28" t="s">
        <v>27</v>
      </c>
    </row>
    <row r="1480" spans="1:9" x14ac:dyDescent="0.3">
      <c r="A1480" s="26">
        <v>45330</v>
      </c>
      <c r="B1480" t="s">
        <v>796</v>
      </c>
      <c r="C1480" t="s">
        <v>784</v>
      </c>
      <c r="D1480">
        <v>8</v>
      </c>
      <c r="E1480" t="s">
        <v>7</v>
      </c>
      <c r="F1480" t="s">
        <v>772</v>
      </c>
      <c r="H1480" t="s">
        <v>30</v>
      </c>
      <c r="I1480" s="28" t="s">
        <v>27</v>
      </c>
    </row>
    <row r="1481" spans="1:9" x14ac:dyDescent="0.3">
      <c r="A1481" s="26">
        <v>45330</v>
      </c>
      <c r="B1481" t="s">
        <v>801</v>
      </c>
      <c r="C1481" t="s">
        <v>802</v>
      </c>
      <c r="D1481">
        <v>9.6</v>
      </c>
      <c r="E1481" t="s">
        <v>7</v>
      </c>
      <c r="F1481" t="s">
        <v>772</v>
      </c>
      <c r="H1481" t="s">
        <v>30</v>
      </c>
      <c r="I1481" s="28" t="s">
        <v>27</v>
      </c>
    </row>
    <row r="1482" spans="1:9" x14ac:dyDescent="0.3">
      <c r="A1482" s="26">
        <v>45330</v>
      </c>
      <c r="B1482" t="s">
        <v>808</v>
      </c>
      <c r="C1482" t="s">
        <v>802</v>
      </c>
      <c r="D1482">
        <v>9.0299999999999994</v>
      </c>
      <c r="E1482" t="s">
        <v>7</v>
      </c>
      <c r="F1482" t="s">
        <v>772</v>
      </c>
      <c r="G1482" t="s">
        <v>1759</v>
      </c>
      <c r="H1482" t="s">
        <v>30</v>
      </c>
      <c r="I1482" s="28" t="s">
        <v>27</v>
      </c>
    </row>
    <row r="1483" spans="1:9" x14ac:dyDescent="0.3">
      <c r="A1483" s="26">
        <v>45330</v>
      </c>
      <c r="B1483" t="s">
        <v>810</v>
      </c>
      <c r="C1483" t="s">
        <v>753</v>
      </c>
      <c r="D1483">
        <v>0.17</v>
      </c>
      <c r="E1483" t="s">
        <v>516</v>
      </c>
      <c r="F1483" t="s">
        <v>772</v>
      </c>
      <c r="G1483" t="s">
        <v>1967</v>
      </c>
      <c r="H1483" t="s">
        <v>30</v>
      </c>
      <c r="I1483" s="28" t="s">
        <v>27</v>
      </c>
    </row>
    <row r="1484" spans="1:9" x14ac:dyDescent="0.3">
      <c r="A1484" s="26">
        <v>45330</v>
      </c>
      <c r="B1484" t="s">
        <v>810</v>
      </c>
      <c r="C1484" t="s">
        <v>753</v>
      </c>
      <c r="D1484">
        <v>0.17</v>
      </c>
      <c r="E1484" t="s">
        <v>898</v>
      </c>
      <c r="F1484" t="s">
        <v>772</v>
      </c>
      <c r="G1484" t="s">
        <v>1967</v>
      </c>
      <c r="H1484" t="s">
        <v>30</v>
      </c>
      <c r="I1484" s="28" t="s">
        <v>27</v>
      </c>
    </row>
    <row r="1485" spans="1:9" x14ac:dyDescent="0.3">
      <c r="A1485" s="26">
        <v>45330</v>
      </c>
      <c r="B1485" t="s">
        <v>810</v>
      </c>
      <c r="C1485" t="s">
        <v>753</v>
      </c>
      <c r="D1485">
        <v>1.75</v>
      </c>
      <c r="E1485" t="s">
        <v>898</v>
      </c>
      <c r="F1485" t="s">
        <v>754</v>
      </c>
      <c r="G1485" t="s">
        <v>1968</v>
      </c>
      <c r="H1485" t="s">
        <v>30</v>
      </c>
      <c r="I1485" s="28" t="s">
        <v>27</v>
      </c>
    </row>
    <row r="1486" spans="1:9" x14ac:dyDescent="0.3">
      <c r="A1486" s="26">
        <v>45330</v>
      </c>
      <c r="B1486" t="s">
        <v>810</v>
      </c>
      <c r="C1486" t="s">
        <v>753</v>
      </c>
      <c r="D1486">
        <v>5.17</v>
      </c>
      <c r="E1486" t="s">
        <v>516</v>
      </c>
      <c r="F1486" t="s">
        <v>754</v>
      </c>
      <c r="G1486" t="s">
        <v>1969</v>
      </c>
      <c r="H1486" t="s">
        <v>30</v>
      </c>
      <c r="I1486" s="28" t="s">
        <v>27</v>
      </c>
    </row>
    <row r="1487" spans="1:9" x14ac:dyDescent="0.3">
      <c r="A1487" s="26">
        <v>45330</v>
      </c>
      <c r="B1487" t="s">
        <v>810</v>
      </c>
      <c r="C1487" t="s">
        <v>771</v>
      </c>
      <c r="D1487">
        <v>0.5</v>
      </c>
      <c r="E1487" t="s">
        <v>7</v>
      </c>
      <c r="F1487" t="s">
        <v>772</v>
      </c>
      <c r="G1487" t="s">
        <v>781</v>
      </c>
      <c r="H1487" t="s">
        <v>30</v>
      </c>
      <c r="I1487" s="28" t="s">
        <v>27</v>
      </c>
    </row>
    <row r="1488" spans="1:9" x14ac:dyDescent="0.3">
      <c r="A1488" s="26">
        <v>45330</v>
      </c>
      <c r="B1488" t="s">
        <v>810</v>
      </c>
      <c r="C1488" t="s">
        <v>776</v>
      </c>
      <c r="D1488">
        <v>0.25</v>
      </c>
      <c r="E1488" t="s">
        <v>516</v>
      </c>
      <c r="F1488" t="s">
        <v>754</v>
      </c>
      <c r="G1488" t="s">
        <v>1970</v>
      </c>
      <c r="H1488" t="s">
        <v>30</v>
      </c>
      <c r="I1488" s="28" t="s">
        <v>27</v>
      </c>
    </row>
    <row r="1489" spans="1:9" x14ac:dyDescent="0.3">
      <c r="A1489" s="26">
        <v>45330</v>
      </c>
      <c r="B1489" t="s">
        <v>225</v>
      </c>
      <c r="C1489" t="s">
        <v>821</v>
      </c>
      <c r="D1489">
        <v>2</v>
      </c>
      <c r="E1489" t="s">
        <v>857</v>
      </c>
      <c r="F1489" t="s">
        <v>754</v>
      </c>
      <c r="G1489" t="s">
        <v>1971</v>
      </c>
      <c r="H1489" t="s">
        <v>30</v>
      </c>
      <c r="I1489" s="28" t="s">
        <v>27</v>
      </c>
    </row>
    <row r="1490" spans="1:9" x14ac:dyDescent="0.3">
      <c r="A1490" s="26">
        <v>45330</v>
      </c>
      <c r="B1490" t="s">
        <v>225</v>
      </c>
      <c r="C1490" t="s">
        <v>821</v>
      </c>
      <c r="D1490">
        <v>4.25</v>
      </c>
      <c r="E1490" t="s">
        <v>630</v>
      </c>
      <c r="F1490" t="s">
        <v>754</v>
      </c>
      <c r="G1490" t="s">
        <v>1972</v>
      </c>
      <c r="H1490" t="s">
        <v>30</v>
      </c>
      <c r="I1490" s="28" t="s">
        <v>27</v>
      </c>
    </row>
    <row r="1491" spans="1:9" x14ac:dyDescent="0.3">
      <c r="A1491" s="26">
        <v>45330</v>
      </c>
      <c r="B1491" t="s">
        <v>825</v>
      </c>
      <c r="C1491" t="s">
        <v>1973</v>
      </c>
      <c r="D1491">
        <v>0.57999999999999996</v>
      </c>
      <c r="E1491" t="s">
        <v>297</v>
      </c>
      <c r="F1491" t="s">
        <v>754</v>
      </c>
      <c r="G1491" t="s">
        <v>1974</v>
      </c>
      <c r="H1491" t="s">
        <v>30</v>
      </c>
      <c r="I1491" s="28" t="s">
        <v>27</v>
      </c>
    </row>
    <row r="1492" spans="1:9" x14ac:dyDescent="0.3">
      <c r="A1492" s="26">
        <v>45330</v>
      </c>
      <c r="B1492" t="s">
        <v>825</v>
      </c>
      <c r="C1492" t="s">
        <v>1973</v>
      </c>
      <c r="D1492">
        <v>0.57999999999999996</v>
      </c>
      <c r="E1492" t="s">
        <v>531</v>
      </c>
      <c r="F1492" t="s">
        <v>754</v>
      </c>
      <c r="G1492" t="s">
        <v>1974</v>
      </c>
      <c r="H1492" t="s">
        <v>30</v>
      </c>
      <c r="I1492" s="28" t="s">
        <v>27</v>
      </c>
    </row>
    <row r="1493" spans="1:9" x14ac:dyDescent="0.3">
      <c r="A1493" s="26">
        <v>45330</v>
      </c>
      <c r="B1493" t="s">
        <v>825</v>
      </c>
      <c r="C1493" t="s">
        <v>1975</v>
      </c>
      <c r="D1493">
        <v>3</v>
      </c>
      <c r="E1493" t="s">
        <v>250</v>
      </c>
      <c r="F1493" t="s">
        <v>754</v>
      </c>
      <c r="G1493" t="s">
        <v>1976</v>
      </c>
      <c r="H1493" t="s">
        <v>30</v>
      </c>
      <c r="I1493" s="28" t="s">
        <v>27</v>
      </c>
    </row>
    <row r="1494" spans="1:9" x14ac:dyDescent="0.3">
      <c r="A1494" s="26">
        <v>45330</v>
      </c>
      <c r="B1494" t="s">
        <v>829</v>
      </c>
      <c r="C1494" t="s">
        <v>753</v>
      </c>
      <c r="D1494">
        <v>0.22</v>
      </c>
      <c r="E1494" t="s">
        <v>553</v>
      </c>
      <c r="F1494" t="s">
        <v>754</v>
      </c>
      <c r="G1494" t="s">
        <v>1977</v>
      </c>
      <c r="H1494" t="s">
        <v>30</v>
      </c>
      <c r="I1494" s="28" t="s">
        <v>27</v>
      </c>
    </row>
    <row r="1495" spans="1:9" x14ac:dyDescent="0.3">
      <c r="A1495" s="26">
        <v>45330</v>
      </c>
      <c r="B1495" t="s">
        <v>829</v>
      </c>
      <c r="C1495" t="s">
        <v>753</v>
      </c>
      <c r="D1495">
        <v>0.48</v>
      </c>
      <c r="E1495" t="s">
        <v>857</v>
      </c>
      <c r="F1495" t="s">
        <v>754</v>
      </c>
      <c r="G1495" t="s">
        <v>1978</v>
      </c>
      <c r="H1495" t="s">
        <v>30</v>
      </c>
      <c r="I1495" s="28" t="s">
        <v>27</v>
      </c>
    </row>
    <row r="1496" spans="1:9" x14ac:dyDescent="0.3">
      <c r="A1496" s="26">
        <v>45330</v>
      </c>
      <c r="B1496" t="s">
        <v>829</v>
      </c>
      <c r="C1496" t="s">
        <v>753</v>
      </c>
      <c r="D1496">
        <v>1.5</v>
      </c>
      <c r="E1496" t="s">
        <v>898</v>
      </c>
      <c r="F1496" t="s">
        <v>754</v>
      </c>
      <c r="G1496" t="s">
        <v>1979</v>
      </c>
      <c r="H1496" t="s">
        <v>30</v>
      </c>
      <c r="I1496" s="28" t="s">
        <v>27</v>
      </c>
    </row>
    <row r="1497" spans="1:9" x14ac:dyDescent="0.3">
      <c r="A1497" s="26">
        <v>45330</v>
      </c>
      <c r="B1497" t="s">
        <v>829</v>
      </c>
      <c r="C1497" t="s">
        <v>771</v>
      </c>
      <c r="D1497">
        <v>0.47</v>
      </c>
      <c r="E1497" t="s">
        <v>7</v>
      </c>
      <c r="F1497" t="s">
        <v>772</v>
      </c>
      <c r="G1497" t="s">
        <v>1980</v>
      </c>
      <c r="H1497" t="s">
        <v>30</v>
      </c>
      <c r="I1497" s="28" t="s">
        <v>27</v>
      </c>
    </row>
    <row r="1498" spans="1:9" x14ac:dyDescent="0.3">
      <c r="A1498" s="26">
        <v>45330</v>
      </c>
      <c r="B1498" t="s">
        <v>829</v>
      </c>
      <c r="C1498" t="s">
        <v>874</v>
      </c>
      <c r="D1498">
        <v>0.53</v>
      </c>
      <c r="E1498" t="s">
        <v>7</v>
      </c>
      <c r="F1498" t="s">
        <v>772</v>
      </c>
      <c r="G1498" t="s">
        <v>1981</v>
      </c>
      <c r="H1498" t="s">
        <v>30</v>
      </c>
      <c r="I1498" s="28" t="s">
        <v>27</v>
      </c>
    </row>
    <row r="1499" spans="1:9" x14ac:dyDescent="0.3">
      <c r="A1499" s="26">
        <v>45330</v>
      </c>
      <c r="B1499" t="s">
        <v>829</v>
      </c>
      <c r="C1499" t="s">
        <v>874</v>
      </c>
      <c r="D1499">
        <v>1.45</v>
      </c>
      <c r="E1499" t="s">
        <v>7</v>
      </c>
      <c r="F1499" t="s">
        <v>772</v>
      </c>
      <c r="G1499" t="s">
        <v>1982</v>
      </c>
      <c r="H1499" t="s">
        <v>30</v>
      </c>
      <c r="I1499" s="28" t="s">
        <v>27</v>
      </c>
    </row>
    <row r="1500" spans="1:9" x14ac:dyDescent="0.3">
      <c r="A1500" s="26">
        <v>45330</v>
      </c>
      <c r="B1500" t="s">
        <v>829</v>
      </c>
      <c r="C1500" t="s">
        <v>776</v>
      </c>
      <c r="D1500">
        <v>0.15</v>
      </c>
      <c r="E1500" t="s">
        <v>790</v>
      </c>
      <c r="F1500" t="s">
        <v>754</v>
      </c>
      <c r="G1500" t="s">
        <v>1127</v>
      </c>
      <c r="H1500" t="s">
        <v>30</v>
      </c>
      <c r="I1500" s="28" t="s">
        <v>27</v>
      </c>
    </row>
    <row r="1501" spans="1:9" x14ac:dyDescent="0.3">
      <c r="A1501" s="26">
        <v>45330</v>
      </c>
      <c r="B1501" t="s">
        <v>829</v>
      </c>
      <c r="C1501" t="s">
        <v>776</v>
      </c>
      <c r="D1501">
        <v>0.45</v>
      </c>
      <c r="E1501" t="s">
        <v>790</v>
      </c>
      <c r="F1501" t="s">
        <v>754</v>
      </c>
      <c r="G1501" t="s">
        <v>1983</v>
      </c>
      <c r="H1501" t="s">
        <v>30</v>
      </c>
      <c r="I1501" s="28" t="s">
        <v>27</v>
      </c>
    </row>
    <row r="1502" spans="1:9" x14ac:dyDescent="0.3">
      <c r="A1502" s="26">
        <v>45330</v>
      </c>
      <c r="B1502" t="s">
        <v>829</v>
      </c>
      <c r="C1502" t="s">
        <v>776</v>
      </c>
      <c r="D1502">
        <v>0.53</v>
      </c>
      <c r="E1502" t="s">
        <v>790</v>
      </c>
      <c r="F1502" t="s">
        <v>754</v>
      </c>
      <c r="G1502" t="s">
        <v>1984</v>
      </c>
      <c r="H1502" t="s">
        <v>30</v>
      </c>
      <c r="I1502" s="28" t="s">
        <v>27</v>
      </c>
    </row>
    <row r="1503" spans="1:9" x14ac:dyDescent="0.3">
      <c r="A1503" s="26">
        <v>45330</v>
      </c>
      <c r="B1503" t="s">
        <v>829</v>
      </c>
      <c r="C1503" t="s">
        <v>776</v>
      </c>
      <c r="D1503">
        <v>0.82</v>
      </c>
      <c r="E1503" t="s">
        <v>790</v>
      </c>
      <c r="F1503" t="s">
        <v>754</v>
      </c>
      <c r="H1503" t="s">
        <v>30</v>
      </c>
      <c r="I1503" s="28" t="s">
        <v>27</v>
      </c>
    </row>
    <row r="1504" spans="1:9" x14ac:dyDescent="0.3">
      <c r="A1504" s="26">
        <v>45330</v>
      </c>
      <c r="B1504" t="s">
        <v>829</v>
      </c>
      <c r="C1504" t="s">
        <v>776</v>
      </c>
      <c r="D1504">
        <v>1.52</v>
      </c>
      <c r="E1504" t="s">
        <v>790</v>
      </c>
      <c r="F1504" t="s">
        <v>754</v>
      </c>
      <c r="G1504" t="s">
        <v>838</v>
      </c>
      <c r="H1504" t="s">
        <v>30</v>
      </c>
      <c r="I1504" s="28" t="s">
        <v>27</v>
      </c>
    </row>
    <row r="1505" spans="1:9" x14ac:dyDescent="0.3">
      <c r="A1505" s="26">
        <v>45330</v>
      </c>
      <c r="B1505" t="s">
        <v>840</v>
      </c>
      <c r="C1505" t="s">
        <v>771</v>
      </c>
      <c r="D1505">
        <v>9.73</v>
      </c>
      <c r="E1505" t="s">
        <v>7</v>
      </c>
      <c r="F1505" t="s">
        <v>772</v>
      </c>
      <c r="G1505" t="e">
        <f>- ATO (calls) - Booking staff Accommodation. - ASIC - ATO (Admin tasks)</f>
        <v>#NAME?</v>
      </c>
      <c r="H1505" t="s">
        <v>30</v>
      </c>
      <c r="I1505" s="28" t="s">
        <v>27</v>
      </c>
    </row>
    <row r="1506" spans="1:9" x14ac:dyDescent="0.3">
      <c r="A1506" s="26">
        <v>45330</v>
      </c>
      <c r="B1506" t="s">
        <v>843</v>
      </c>
      <c r="C1506" t="s">
        <v>753</v>
      </c>
      <c r="D1506">
        <v>0.32</v>
      </c>
      <c r="E1506" t="s">
        <v>234</v>
      </c>
      <c r="F1506" t="s">
        <v>754</v>
      </c>
      <c r="G1506" t="s">
        <v>1985</v>
      </c>
      <c r="H1506" t="s">
        <v>30</v>
      </c>
      <c r="I1506" s="28" t="s">
        <v>27</v>
      </c>
    </row>
    <row r="1507" spans="1:9" x14ac:dyDescent="0.3">
      <c r="A1507" s="26">
        <v>45330</v>
      </c>
      <c r="B1507" t="s">
        <v>843</v>
      </c>
      <c r="C1507" t="s">
        <v>753</v>
      </c>
      <c r="D1507">
        <v>0.56999999999999995</v>
      </c>
      <c r="E1507" t="s">
        <v>234</v>
      </c>
      <c r="F1507" t="s">
        <v>754</v>
      </c>
      <c r="G1507" t="s">
        <v>849</v>
      </c>
      <c r="H1507" t="s">
        <v>30</v>
      </c>
      <c r="I1507" s="28" t="s">
        <v>27</v>
      </c>
    </row>
    <row r="1508" spans="1:9" x14ac:dyDescent="0.3">
      <c r="A1508" s="26">
        <v>45330</v>
      </c>
      <c r="B1508" t="s">
        <v>843</v>
      </c>
      <c r="C1508" t="s">
        <v>753</v>
      </c>
      <c r="D1508">
        <v>1.7</v>
      </c>
      <c r="E1508" t="s">
        <v>234</v>
      </c>
      <c r="F1508" t="s">
        <v>772</v>
      </c>
      <c r="G1508" t="s">
        <v>1986</v>
      </c>
      <c r="H1508" t="s">
        <v>30</v>
      </c>
      <c r="I1508" s="28" t="s">
        <v>27</v>
      </c>
    </row>
    <row r="1509" spans="1:9" x14ac:dyDescent="0.3">
      <c r="A1509" s="26">
        <v>45330</v>
      </c>
      <c r="B1509" t="s">
        <v>843</v>
      </c>
      <c r="C1509" t="s">
        <v>853</v>
      </c>
      <c r="D1509">
        <v>2.4300000000000002</v>
      </c>
      <c r="E1509" t="s">
        <v>259</v>
      </c>
      <c r="F1509" t="s">
        <v>754</v>
      </c>
      <c r="G1509" t="s">
        <v>1987</v>
      </c>
      <c r="H1509" t="s">
        <v>30</v>
      </c>
      <c r="I1509" s="28" t="s">
        <v>27</v>
      </c>
    </row>
    <row r="1510" spans="1:9" x14ac:dyDescent="0.3">
      <c r="A1510" s="26">
        <v>45330</v>
      </c>
      <c r="B1510" t="s">
        <v>843</v>
      </c>
      <c r="C1510" t="s">
        <v>771</v>
      </c>
      <c r="D1510">
        <v>0.5</v>
      </c>
      <c r="E1510" t="s">
        <v>7</v>
      </c>
      <c r="F1510" t="s">
        <v>772</v>
      </c>
      <c r="G1510" t="s">
        <v>781</v>
      </c>
      <c r="H1510" t="s">
        <v>30</v>
      </c>
      <c r="I1510" s="28" t="s">
        <v>27</v>
      </c>
    </row>
    <row r="1511" spans="1:9" x14ac:dyDescent="0.3">
      <c r="A1511" s="26">
        <v>45330</v>
      </c>
      <c r="B1511" t="s">
        <v>843</v>
      </c>
      <c r="C1511" t="s">
        <v>874</v>
      </c>
      <c r="D1511">
        <v>0.5</v>
      </c>
      <c r="E1511" t="s">
        <v>7</v>
      </c>
      <c r="F1511" t="s">
        <v>772</v>
      </c>
      <c r="H1511" t="s">
        <v>30</v>
      </c>
      <c r="I1511" s="28" t="s">
        <v>27</v>
      </c>
    </row>
    <row r="1512" spans="1:9" x14ac:dyDescent="0.3">
      <c r="A1512" s="26">
        <v>45330</v>
      </c>
      <c r="B1512" t="s">
        <v>843</v>
      </c>
      <c r="C1512" t="s">
        <v>874</v>
      </c>
      <c r="D1512">
        <v>0.5</v>
      </c>
      <c r="E1512" t="s">
        <v>7</v>
      </c>
      <c r="F1512" t="s">
        <v>772</v>
      </c>
      <c r="G1512" t="s">
        <v>1988</v>
      </c>
      <c r="H1512" t="s">
        <v>30</v>
      </c>
      <c r="I1512" s="28" t="s">
        <v>27</v>
      </c>
    </row>
    <row r="1513" spans="1:9" x14ac:dyDescent="0.3">
      <c r="A1513" s="26">
        <v>45330</v>
      </c>
      <c r="B1513" t="s">
        <v>843</v>
      </c>
      <c r="C1513" t="s">
        <v>874</v>
      </c>
      <c r="D1513">
        <v>1.48</v>
      </c>
      <c r="E1513" t="s">
        <v>7</v>
      </c>
      <c r="F1513" t="s">
        <v>772</v>
      </c>
      <c r="G1513" t="s">
        <v>1110</v>
      </c>
      <c r="H1513" t="s">
        <v>30</v>
      </c>
      <c r="I1513" s="28" t="s">
        <v>27</v>
      </c>
    </row>
    <row r="1514" spans="1:9" x14ac:dyDescent="0.3">
      <c r="A1514" s="26">
        <v>45330</v>
      </c>
      <c r="B1514" t="s">
        <v>856</v>
      </c>
      <c r="C1514" t="s">
        <v>753</v>
      </c>
      <c r="D1514">
        <v>0.3</v>
      </c>
      <c r="E1514" t="s">
        <v>1989</v>
      </c>
      <c r="F1514" t="s">
        <v>754</v>
      </c>
      <c r="G1514" t="s">
        <v>1990</v>
      </c>
      <c r="H1514" t="s">
        <v>30</v>
      </c>
      <c r="I1514" s="28" t="s">
        <v>27</v>
      </c>
    </row>
    <row r="1515" spans="1:9" x14ac:dyDescent="0.3">
      <c r="A1515" s="26">
        <v>45330</v>
      </c>
      <c r="B1515" t="s">
        <v>856</v>
      </c>
      <c r="C1515" t="s">
        <v>771</v>
      </c>
      <c r="D1515">
        <v>1</v>
      </c>
      <c r="E1515" t="s">
        <v>7</v>
      </c>
      <c r="F1515" t="s">
        <v>772</v>
      </c>
      <c r="G1515" t="s">
        <v>1991</v>
      </c>
      <c r="H1515" t="s">
        <v>30</v>
      </c>
      <c r="I1515" s="28" t="s">
        <v>27</v>
      </c>
    </row>
    <row r="1516" spans="1:9" x14ac:dyDescent="0.3">
      <c r="A1516" s="26">
        <v>45330</v>
      </c>
      <c r="B1516" t="s">
        <v>856</v>
      </c>
      <c r="C1516" t="s">
        <v>835</v>
      </c>
      <c r="D1516">
        <v>0.4</v>
      </c>
      <c r="E1516" t="s">
        <v>857</v>
      </c>
      <c r="F1516" t="s">
        <v>754</v>
      </c>
      <c r="G1516" t="s">
        <v>1992</v>
      </c>
      <c r="H1516" t="s">
        <v>30</v>
      </c>
      <c r="I1516" s="28" t="s">
        <v>27</v>
      </c>
    </row>
    <row r="1517" spans="1:9" x14ac:dyDescent="0.3">
      <c r="A1517" s="26">
        <v>45330</v>
      </c>
      <c r="B1517" t="s">
        <v>856</v>
      </c>
      <c r="C1517" t="s">
        <v>835</v>
      </c>
      <c r="D1517">
        <v>1</v>
      </c>
      <c r="E1517" t="s">
        <v>857</v>
      </c>
      <c r="F1517" t="s">
        <v>754</v>
      </c>
      <c r="G1517" t="s">
        <v>1781</v>
      </c>
      <c r="H1517" t="s">
        <v>30</v>
      </c>
      <c r="I1517" s="28" t="s">
        <v>27</v>
      </c>
    </row>
    <row r="1518" spans="1:9" x14ac:dyDescent="0.3">
      <c r="A1518" s="26">
        <v>45330</v>
      </c>
      <c r="B1518" t="s">
        <v>856</v>
      </c>
      <c r="C1518" t="s">
        <v>835</v>
      </c>
      <c r="D1518">
        <v>1</v>
      </c>
      <c r="E1518" t="s">
        <v>1989</v>
      </c>
      <c r="F1518" t="s">
        <v>754</v>
      </c>
      <c r="G1518" t="s">
        <v>1781</v>
      </c>
      <c r="H1518" t="s">
        <v>30</v>
      </c>
      <c r="I1518" s="28" t="s">
        <v>27</v>
      </c>
    </row>
    <row r="1519" spans="1:9" x14ac:dyDescent="0.3">
      <c r="A1519" s="26">
        <v>45330</v>
      </c>
      <c r="B1519" t="s">
        <v>856</v>
      </c>
      <c r="C1519" t="s">
        <v>835</v>
      </c>
      <c r="D1519">
        <v>1.18</v>
      </c>
      <c r="E1519" t="s">
        <v>1989</v>
      </c>
      <c r="F1519" t="s">
        <v>754</v>
      </c>
      <c r="G1519" t="s">
        <v>1993</v>
      </c>
      <c r="H1519" t="s">
        <v>30</v>
      </c>
      <c r="I1519" s="28" t="s">
        <v>27</v>
      </c>
    </row>
    <row r="1520" spans="1:9" x14ac:dyDescent="0.3">
      <c r="A1520" s="26">
        <v>45330</v>
      </c>
      <c r="B1520" t="s">
        <v>856</v>
      </c>
      <c r="C1520" t="s">
        <v>835</v>
      </c>
      <c r="D1520">
        <v>1.25</v>
      </c>
      <c r="E1520" t="s">
        <v>857</v>
      </c>
      <c r="F1520" t="s">
        <v>754</v>
      </c>
      <c r="G1520" t="s">
        <v>1993</v>
      </c>
      <c r="H1520" t="s">
        <v>30</v>
      </c>
      <c r="I1520" s="28" t="s">
        <v>27</v>
      </c>
    </row>
    <row r="1521" spans="1:9" x14ac:dyDescent="0.3">
      <c r="A1521" s="26">
        <v>45330</v>
      </c>
      <c r="B1521" t="s">
        <v>856</v>
      </c>
      <c r="C1521" t="s">
        <v>874</v>
      </c>
      <c r="D1521">
        <v>0.45</v>
      </c>
      <c r="E1521" t="s">
        <v>7</v>
      </c>
      <c r="F1521" t="s">
        <v>772</v>
      </c>
      <c r="G1521" t="s">
        <v>1994</v>
      </c>
      <c r="H1521" t="s">
        <v>30</v>
      </c>
      <c r="I1521" s="28" t="s">
        <v>27</v>
      </c>
    </row>
    <row r="1522" spans="1:9" x14ac:dyDescent="0.3">
      <c r="A1522" s="26">
        <v>45330</v>
      </c>
      <c r="B1522" t="s">
        <v>856</v>
      </c>
      <c r="C1522" t="s">
        <v>874</v>
      </c>
      <c r="D1522">
        <v>1.48</v>
      </c>
      <c r="E1522" t="s">
        <v>7</v>
      </c>
      <c r="F1522" t="s">
        <v>772</v>
      </c>
      <c r="G1522" t="s">
        <v>1090</v>
      </c>
      <c r="H1522" t="s">
        <v>30</v>
      </c>
      <c r="I1522" s="28" t="s">
        <v>27</v>
      </c>
    </row>
    <row r="1523" spans="1:9" x14ac:dyDescent="0.3">
      <c r="A1523" s="26">
        <v>45330</v>
      </c>
      <c r="B1523" t="s">
        <v>856</v>
      </c>
      <c r="C1523" t="s">
        <v>776</v>
      </c>
      <c r="D1523">
        <v>0.18</v>
      </c>
      <c r="E1523" t="s">
        <v>879</v>
      </c>
      <c r="F1523" t="s">
        <v>754</v>
      </c>
      <c r="G1523" t="s">
        <v>1995</v>
      </c>
      <c r="H1523" t="s">
        <v>30</v>
      </c>
      <c r="I1523" s="28" t="s">
        <v>27</v>
      </c>
    </row>
    <row r="1524" spans="1:9" x14ac:dyDescent="0.3">
      <c r="A1524" s="26">
        <v>45330</v>
      </c>
      <c r="B1524" t="s">
        <v>856</v>
      </c>
      <c r="C1524" t="s">
        <v>776</v>
      </c>
      <c r="D1524">
        <v>0.45</v>
      </c>
      <c r="E1524" t="s">
        <v>589</v>
      </c>
      <c r="F1524" t="s">
        <v>754</v>
      </c>
      <c r="G1524" t="s">
        <v>1996</v>
      </c>
      <c r="H1524" t="s">
        <v>30</v>
      </c>
      <c r="I1524" s="28" t="s">
        <v>27</v>
      </c>
    </row>
    <row r="1525" spans="1:9" x14ac:dyDescent="0.3">
      <c r="A1525" s="26">
        <v>45330</v>
      </c>
      <c r="B1525" t="s">
        <v>856</v>
      </c>
      <c r="C1525" t="s">
        <v>776</v>
      </c>
      <c r="D1525">
        <v>0.62</v>
      </c>
      <c r="E1525" t="s">
        <v>879</v>
      </c>
      <c r="F1525" t="s">
        <v>754</v>
      </c>
      <c r="G1525" t="s">
        <v>1997</v>
      </c>
      <c r="H1525" t="s">
        <v>30</v>
      </c>
      <c r="I1525" s="28" t="s">
        <v>27</v>
      </c>
    </row>
    <row r="1526" spans="1:9" x14ac:dyDescent="0.3">
      <c r="A1526" s="26">
        <v>45330</v>
      </c>
      <c r="B1526" t="s">
        <v>856</v>
      </c>
      <c r="C1526" t="s">
        <v>776</v>
      </c>
      <c r="D1526">
        <v>0.88</v>
      </c>
      <c r="E1526" t="s">
        <v>879</v>
      </c>
      <c r="F1526" t="s">
        <v>754</v>
      </c>
      <c r="G1526" t="s">
        <v>1998</v>
      </c>
      <c r="H1526" t="s">
        <v>30</v>
      </c>
      <c r="I1526" s="28" t="s">
        <v>27</v>
      </c>
    </row>
    <row r="1527" spans="1:9" x14ac:dyDescent="0.3">
      <c r="A1527" s="26">
        <v>45330</v>
      </c>
      <c r="B1527" t="s">
        <v>856</v>
      </c>
      <c r="C1527" t="s">
        <v>776</v>
      </c>
      <c r="D1527">
        <v>1</v>
      </c>
      <c r="E1527" t="s">
        <v>589</v>
      </c>
      <c r="F1527" t="s">
        <v>754</v>
      </c>
      <c r="G1527" t="s">
        <v>1999</v>
      </c>
      <c r="H1527" t="s">
        <v>30</v>
      </c>
      <c r="I1527" s="28" t="s">
        <v>27</v>
      </c>
    </row>
    <row r="1528" spans="1:9" x14ac:dyDescent="0.3">
      <c r="A1528" s="26">
        <v>45330</v>
      </c>
      <c r="B1528" t="s">
        <v>33</v>
      </c>
      <c r="C1528" t="s">
        <v>771</v>
      </c>
      <c r="D1528">
        <v>0.2</v>
      </c>
      <c r="E1528" t="s">
        <v>7</v>
      </c>
      <c r="F1528" t="s">
        <v>772</v>
      </c>
      <c r="G1528" t="s">
        <v>2000</v>
      </c>
      <c r="H1528" t="s">
        <v>30</v>
      </c>
      <c r="I1528" s="28" t="s">
        <v>27</v>
      </c>
    </row>
    <row r="1529" spans="1:9" x14ac:dyDescent="0.3">
      <c r="A1529" s="26">
        <v>45330</v>
      </c>
      <c r="B1529" t="s">
        <v>33</v>
      </c>
      <c r="C1529" t="s">
        <v>771</v>
      </c>
      <c r="D1529">
        <v>0.22</v>
      </c>
      <c r="E1529" t="s">
        <v>7</v>
      </c>
      <c r="F1529" t="s">
        <v>772</v>
      </c>
      <c r="G1529" t="s">
        <v>2001</v>
      </c>
      <c r="H1529" t="s">
        <v>30</v>
      </c>
      <c r="I1529" s="28" t="s">
        <v>27</v>
      </c>
    </row>
    <row r="1530" spans="1:9" x14ac:dyDescent="0.3">
      <c r="A1530" s="26">
        <v>45330</v>
      </c>
      <c r="B1530" t="s">
        <v>33</v>
      </c>
      <c r="C1530" t="s">
        <v>771</v>
      </c>
      <c r="D1530">
        <v>0.87</v>
      </c>
      <c r="E1530" t="s">
        <v>7</v>
      </c>
      <c r="F1530" t="s">
        <v>772</v>
      </c>
      <c r="G1530" t="s">
        <v>2002</v>
      </c>
      <c r="H1530" t="s">
        <v>30</v>
      </c>
      <c r="I1530" s="28" t="s">
        <v>27</v>
      </c>
    </row>
    <row r="1531" spans="1:9" x14ac:dyDescent="0.3">
      <c r="A1531" s="26">
        <v>45330</v>
      </c>
      <c r="B1531" t="s">
        <v>33</v>
      </c>
      <c r="C1531" t="s">
        <v>771</v>
      </c>
      <c r="D1531">
        <v>1.03</v>
      </c>
      <c r="E1531" t="s">
        <v>7</v>
      </c>
      <c r="F1531" t="s">
        <v>772</v>
      </c>
      <c r="G1531" t="s">
        <v>2003</v>
      </c>
      <c r="H1531" t="s">
        <v>30</v>
      </c>
      <c r="I1531" s="28" t="s">
        <v>27</v>
      </c>
    </row>
    <row r="1532" spans="1:9" x14ac:dyDescent="0.3">
      <c r="A1532" s="26">
        <v>45330</v>
      </c>
      <c r="B1532" t="s">
        <v>33</v>
      </c>
      <c r="C1532" t="s">
        <v>771</v>
      </c>
      <c r="D1532">
        <v>1.6</v>
      </c>
      <c r="E1532" t="s">
        <v>7</v>
      </c>
      <c r="F1532" t="s">
        <v>772</v>
      </c>
      <c r="G1532" t="s">
        <v>2004</v>
      </c>
      <c r="H1532" t="s">
        <v>30</v>
      </c>
      <c r="I1532" s="28" t="s">
        <v>27</v>
      </c>
    </row>
    <row r="1533" spans="1:9" x14ac:dyDescent="0.3">
      <c r="A1533" s="26">
        <v>45330</v>
      </c>
      <c r="B1533" t="s">
        <v>33</v>
      </c>
      <c r="C1533" t="s">
        <v>771</v>
      </c>
      <c r="D1533">
        <v>3.77</v>
      </c>
      <c r="E1533" t="s">
        <v>7</v>
      </c>
      <c r="F1533" t="s">
        <v>772</v>
      </c>
      <c r="G1533" t="s">
        <v>2005</v>
      </c>
      <c r="H1533" t="s">
        <v>30</v>
      </c>
      <c r="I1533" s="28" t="s">
        <v>27</v>
      </c>
    </row>
    <row r="1534" spans="1:9" x14ac:dyDescent="0.3">
      <c r="A1534" s="26">
        <v>45330</v>
      </c>
      <c r="B1534" t="s">
        <v>33</v>
      </c>
      <c r="C1534" t="s">
        <v>835</v>
      </c>
      <c r="D1534">
        <v>1</v>
      </c>
      <c r="E1534" t="s">
        <v>11</v>
      </c>
      <c r="F1534" t="s">
        <v>772</v>
      </c>
      <c r="G1534" t="s">
        <v>2006</v>
      </c>
      <c r="H1534" t="s">
        <v>30</v>
      </c>
      <c r="I1534" s="28" t="s">
        <v>27</v>
      </c>
    </row>
    <row r="1535" spans="1:9" x14ac:dyDescent="0.3">
      <c r="A1535" s="26">
        <v>45330</v>
      </c>
      <c r="B1535" t="s">
        <v>33</v>
      </c>
      <c r="C1535" t="s">
        <v>874</v>
      </c>
      <c r="D1535">
        <v>0.45</v>
      </c>
      <c r="E1535" t="s">
        <v>7</v>
      </c>
      <c r="F1535" t="s">
        <v>772</v>
      </c>
      <c r="G1535" t="s">
        <v>2007</v>
      </c>
      <c r="H1535" t="s">
        <v>30</v>
      </c>
      <c r="I1535" s="28" t="s">
        <v>27</v>
      </c>
    </row>
    <row r="1536" spans="1:9" x14ac:dyDescent="0.3">
      <c r="A1536" s="26">
        <v>45330</v>
      </c>
      <c r="B1536" t="s">
        <v>33</v>
      </c>
      <c r="C1536" t="s">
        <v>776</v>
      </c>
      <c r="D1536">
        <v>0.3</v>
      </c>
      <c r="E1536" t="s">
        <v>11</v>
      </c>
      <c r="F1536" t="s">
        <v>772</v>
      </c>
      <c r="G1536" t="s">
        <v>2008</v>
      </c>
      <c r="H1536" t="s">
        <v>30</v>
      </c>
      <c r="I1536" s="28" t="s">
        <v>27</v>
      </c>
    </row>
    <row r="1537" spans="1:9" x14ac:dyDescent="0.3">
      <c r="A1537" s="26">
        <v>45330</v>
      </c>
      <c r="B1537" t="s">
        <v>876</v>
      </c>
      <c r="C1537" t="s">
        <v>753</v>
      </c>
      <c r="D1537">
        <v>0.75</v>
      </c>
      <c r="E1537" t="s">
        <v>11</v>
      </c>
      <c r="F1537" t="s">
        <v>754</v>
      </c>
      <c r="G1537" t="s">
        <v>2009</v>
      </c>
      <c r="H1537" t="s">
        <v>30</v>
      </c>
      <c r="I1537" s="28" t="s">
        <v>27</v>
      </c>
    </row>
    <row r="1538" spans="1:9" x14ac:dyDescent="0.3">
      <c r="A1538" s="26">
        <v>45330</v>
      </c>
      <c r="B1538" t="s">
        <v>876</v>
      </c>
      <c r="C1538" t="s">
        <v>753</v>
      </c>
      <c r="D1538">
        <v>6.08</v>
      </c>
      <c r="E1538" t="s">
        <v>11</v>
      </c>
      <c r="F1538" t="s">
        <v>754</v>
      </c>
      <c r="H1538" t="s">
        <v>30</v>
      </c>
      <c r="I1538" s="28" t="s">
        <v>27</v>
      </c>
    </row>
    <row r="1539" spans="1:9" x14ac:dyDescent="0.3">
      <c r="A1539" s="26">
        <v>45330</v>
      </c>
      <c r="B1539" t="s">
        <v>876</v>
      </c>
      <c r="C1539" t="s">
        <v>874</v>
      </c>
      <c r="D1539">
        <v>0.47</v>
      </c>
      <c r="E1539" t="s">
        <v>7</v>
      </c>
      <c r="F1539" t="s">
        <v>772</v>
      </c>
      <c r="G1539" t="s">
        <v>2010</v>
      </c>
      <c r="H1539" t="s">
        <v>30</v>
      </c>
      <c r="I1539" s="28" t="s">
        <v>27</v>
      </c>
    </row>
    <row r="1540" spans="1:9" x14ac:dyDescent="0.3">
      <c r="A1540" s="26">
        <v>45330</v>
      </c>
      <c r="B1540" t="s">
        <v>876</v>
      </c>
      <c r="C1540" t="s">
        <v>874</v>
      </c>
      <c r="D1540">
        <v>0.62</v>
      </c>
      <c r="E1540" t="s">
        <v>7</v>
      </c>
      <c r="F1540" t="s">
        <v>772</v>
      </c>
      <c r="G1540" t="s">
        <v>2011</v>
      </c>
      <c r="H1540" t="s">
        <v>30</v>
      </c>
      <c r="I1540" s="28" t="s">
        <v>27</v>
      </c>
    </row>
    <row r="1541" spans="1:9" x14ac:dyDescent="0.3">
      <c r="A1541" s="26">
        <v>45330</v>
      </c>
      <c r="B1541" t="s">
        <v>877</v>
      </c>
      <c r="C1541" t="s">
        <v>878</v>
      </c>
      <c r="D1541">
        <v>0.25</v>
      </c>
      <c r="E1541" t="s">
        <v>879</v>
      </c>
      <c r="F1541" t="s">
        <v>754</v>
      </c>
      <c r="G1541" t="s">
        <v>2012</v>
      </c>
      <c r="H1541" t="s">
        <v>30</v>
      </c>
      <c r="I1541" s="28" t="s">
        <v>27</v>
      </c>
    </row>
    <row r="1542" spans="1:9" x14ac:dyDescent="0.3">
      <c r="A1542" s="26">
        <v>45330</v>
      </c>
      <c r="B1542" t="s">
        <v>877</v>
      </c>
      <c r="C1542" t="s">
        <v>878</v>
      </c>
      <c r="D1542">
        <v>0.5</v>
      </c>
      <c r="E1542" t="s">
        <v>879</v>
      </c>
      <c r="F1542" t="s">
        <v>754</v>
      </c>
      <c r="G1542" t="s">
        <v>2013</v>
      </c>
      <c r="H1542" t="s">
        <v>30</v>
      </c>
      <c r="I1542" s="28" t="s">
        <v>27</v>
      </c>
    </row>
    <row r="1543" spans="1:9" x14ac:dyDescent="0.3">
      <c r="A1543" s="26">
        <v>45330</v>
      </c>
      <c r="B1543" t="s">
        <v>877</v>
      </c>
      <c r="C1543" t="s">
        <v>878</v>
      </c>
      <c r="D1543">
        <v>2.2000000000000002</v>
      </c>
      <c r="E1543" t="s">
        <v>882</v>
      </c>
      <c r="F1543" t="s">
        <v>754</v>
      </c>
      <c r="G1543" t="s">
        <v>2014</v>
      </c>
      <c r="H1543" t="s">
        <v>30</v>
      </c>
      <c r="I1543" s="28" t="s">
        <v>27</v>
      </c>
    </row>
    <row r="1544" spans="1:9" x14ac:dyDescent="0.3">
      <c r="A1544" s="26">
        <v>45330</v>
      </c>
      <c r="B1544" t="s">
        <v>877</v>
      </c>
      <c r="C1544" t="s">
        <v>878</v>
      </c>
      <c r="D1544">
        <v>2.4500000000000002</v>
      </c>
      <c r="E1544" t="s">
        <v>879</v>
      </c>
      <c r="F1544" t="s">
        <v>754</v>
      </c>
      <c r="G1544" t="s">
        <v>2015</v>
      </c>
      <c r="H1544" t="s">
        <v>30</v>
      </c>
      <c r="I1544" s="28" t="s">
        <v>27</v>
      </c>
    </row>
    <row r="1545" spans="1:9" x14ac:dyDescent="0.3">
      <c r="A1545" s="26">
        <v>45330</v>
      </c>
      <c r="B1545" t="s">
        <v>877</v>
      </c>
      <c r="C1545" t="s">
        <v>878</v>
      </c>
      <c r="D1545">
        <v>3</v>
      </c>
      <c r="E1545" t="s">
        <v>882</v>
      </c>
      <c r="F1545" t="s">
        <v>754</v>
      </c>
      <c r="G1545" t="s">
        <v>2016</v>
      </c>
      <c r="H1545" t="s">
        <v>30</v>
      </c>
      <c r="I1545" s="28" t="s">
        <v>27</v>
      </c>
    </row>
    <row r="1546" spans="1:9" x14ac:dyDescent="0.3">
      <c r="A1546" s="26">
        <v>45330</v>
      </c>
      <c r="B1546" t="s">
        <v>884</v>
      </c>
      <c r="C1546" t="s">
        <v>753</v>
      </c>
      <c r="D1546">
        <v>0.5</v>
      </c>
      <c r="E1546" t="s">
        <v>885</v>
      </c>
      <c r="F1546" t="s">
        <v>754</v>
      </c>
      <c r="G1546" t="s">
        <v>2017</v>
      </c>
      <c r="H1546" t="s">
        <v>30</v>
      </c>
      <c r="I1546" s="28" t="s">
        <v>27</v>
      </c>
    </row>
    <row r="1547" spans="1:9" x14ac:dyDescent="0.3">
      <c r="A1547" s="26">
        <v>45330</v>
      </c>
      <c r="B1547" t="s">
        <v>884</v>
      </c>
      <c r="C1547" t="s">
        <v>753</v>
      </c>
      <c r="D1547">
        <v>0.72</v>
      </c>
      <c r="E1547" t="s">
        <v>562</v>
      </c>
      <c r="F1547" t="s">
        <v>754</v>
      </c>
      <c r="G1547" t="s">
        <v>2018</v>
      </c>
      <c r="H1547" t="s">
        <v>30</v>
      </c>
      <c r="I1547" s="28" t="s">
        <v>27</v>
      </c>
    </row>
    <row r="1548" spans="1:9" x14ac:dyDescent="0.3">
      <c r="A1548" s="26">
        <v>45330</v>
      </c>
      <c r="B1548" t="s">
        <v>884</v>
      </c>
      <c r="C1548" t="s">
        <v>753</v>
      </c>
      <c r="D1548">
        <v>1.18</v>
      </c>
      <c r="E1548" t="s">
        <v>562</v>
      </c>
      <c r="F1548" t="s">
        <v>754</v>
      </c>
      <c r="G1548" t="s">
        <v>2019</v>
      </c>
      <c r="H1548" t="s">
        <v>30</v>
      </c>
      <c r="I1548" s="28" t="s">
        <v>27</v>
      </c>
    </row>
    <row r="1549" spans="1:9" x14ac:dyDescent="0.3">
      <c r="A1549" s="26">
        <v>45330</v>
      </c>
      <c r="B1549" t="s">
        <v>884</v>
      </c>
      <c r="C1549" t="s">
        <v>753</v>
      </c>
      <c r="D1549">
        <v>1.25</v>
      </c>
      <c r="E1549" t="s">
        <v>375</v>
      </c>
      <c r="F1549" t="s">
        <v>754</v>
      </c>
      <c r="G1549" t="s">
        <v>2020</v>
      </c>
      <c r="H1549" t="s">
        <v>30</v>
      </c>
      <c r="I1549" s="28" t="s">
        <v>27</v>
      </c>
    </row>
    <row r="1550" spans="1:9" x14ac:dyDescent="0.3">
      <c r="A1550" s="26">
        <v>45330</v>
      </c>
      <c r="B1550" t="s">
        <v>884</v>
      </c>
      <c r="C1550" t="s">
        <v>753</v>
      </c>
      <c r="D1550">
        <v>2</v>
      </c>
      <c r="E1550" t="s">
        <v>11</v>
      </c>
      <c r="F1550" t="s">
        <v>754</v>
      </c>
      <c r="G1550" t="s">
        <v>2021</v>
      </c>
      <c r="H1550" t="s">
        <v>30</v>
      </c>
      <c r="I1550" s="28" t="s">
        <v>27</v>
      </c>
    </row>
    <row r="1551" spans="1:9" x14ac:dyDescent="0.3">
      <c r="A1551" s="26">
        <v>45330</v>
      </c>
      <c r="B1551" t="s">
        <v>884</v>
      </c>
      <c r="C1551" t="s">
        <v>771</v>
      </c>
      <c r="D1551">
        <v>0.56999999999999995</v>
      </c>
      <c r="E1551" t="s">
        <v>7</v>
      </c>
      <c r="F1551" t="s">
        <v>772</v>
      </c>
      <c r="G1551" t="s">
        <v>1981</v>
      </c>
      <c r="H1551" t="s">
        <v>30</v>
      </c>
      <c r="I1551" s="28" t="s">
        <v>27</v>
      </c>
    </row>
    <row r="1552" spans="1:9" x14ac:dyDescent="0.3">
      <c r="A1552" s="26">
        <v>45330</v>
      </c>
      <c r="B1552" t="s">
        <v>884</v>
      </c>
      <c r="C1552" t="s">
        <v>874</v>
      </c>
      <c r="D1552">
        <v>0.6</v>
      </c>
      <c r="E1552" t="s">
        <v>7</v>
      </c>
      <c r="F1552" t="s">
        <v>772</v>
      </c>
      <c r="G1552" t="s">
        <v>2022</v>
      </c>
      <c r="H1552" t="s">
        <v>30</v>
      </c>
      <c r="I1552" s="28" t="s">
        <v>27</v>
      </c>
    </row>
    <row r="1553" spans="1:9" x14ac:dyDescent="0.3">
      <c r="A1553" s="26">
        <v>45330</v>
      </c>
      <c r="B1553" t="s">
        <v>884</v>
      </c>
      <c r="C1553" t="s">
        <v>874</v>
      </c>
      <c r="D1553">
        <v>1.27</v>
      </c>
      <c r="E1553" t="s">
        <v>7</v>
      </c>
      <c r="F1553" t="s">
        <v>772</v>
      </c>
      <c r="H1553" t="s">
        <v>30</v>
      </c>
      <c r="I1553" s="28" t="s">
        <v>27</v>
      </c>
    </row>
    <row r="1554" spans="1:9" x14ac:dyDescent="0.3">
      <c r="A1554" s="26">
        <v>45330</v>
      </c>
      <c r="B1554" t="s">
        <v>891</v>
      </c>
      <c r="C1554" t="s">
        <v>802</v>
      </c>
      <c r="D1554">
        <v>8</v>
      </c>
      <c r="E1554" t="s">
        <v>7</v>
      </c>
      <c r="F1554" t="s">
        <v>772</v>
      </c>
      <c r="G1554" t="s">
        <v>892</v>
      </c>
      <c r="H1554" t="s">
        <v>30</v>
      </c>
      <c r="I1554" s="28" t="s">
        <v>27</v>
      </c>
    </row>
    <row r="1555" spans="1:9" x14ac:dyDescent="0.3">
      <c r="A1555" s="26">
        <v>45330</v>
      </c>
      <c r="B1555" t="s">
        <v>34</v>
      </c>
      <c r="C1555" t="s">
        <v>802</v>
      </c>
      <c r="D1555">
        <v>8</v>
      </c>
      <c r="E1555" t="s">
        <v>7</v>
      </c>
      <c r="F1555" t="s">
        <v>772</v>
      </c>
      <c r="H1555" t="s">
        <v>30</v>
      </c>
      <c r="I1555" s="28" t="s">
        <v>27</v>
      </c>
    </row>
    <row r="1556" spans="1:9" x14ac:dyDescent="0.3">
      <c r="A1556" s="26">
        <v>45330</v>
      </c>
      <c r="B1556" t="s">
        <v>893</v>
      </c>
      <c r="C1556" t="s">
        <v>802</v>
      </c>
      <c r="D1556">
        <v>8</v>
      </c>
      <c r="E1556" t="s">
        <v>7</v>
      </c>
      <c r="F1556" t="s">
        <v>772</v>
      </c>
      <c r="G1556" t="s">
        <v>2023</v>
      </c>
      <c r="H1556" t="s">
        <v>30</v>
      </c>
      <c r="I1556" s="28" t="s">
        <v>27</v>
      </c>
    </row>
    <row r="1557" spans="1:9" x14ac:dyDescent="0.3">
      <c r="A1557" s="26">
        <v>45330</v>
      </c>
      <c r="B1557" t="s">
        <v>895</v>
      </c>
      <c r="C1557" t="s">
        <v>753</v>
      </c>
      <c r="D1557">
        <v>0.3</v>
      </c>
      <c r="E1557" t="s">
        <v>898</v>
      </c>
      <c r="F1557" t="s">
        <v>754</v>
      </c>
      <c r="G1557" t="s">
        <v>2024</v>
      </c>
      <c r="H1557" t="s">
        <v>30</v>
      </c>
      <c r="I1557" s="28" t="s">
        <v>27</v>
      </c>
    </row>
    <row r="1558" spans="1:9" x14ac:dyDescent="0.3">
      <c r="A1558" s="26">
        <v>45330</v>
      </c>
      <c r="B1558" t="s">
        <v>895</v>
      </c>
      <c r="C1558" t="s">
        <v>753</v>
      </c>
      <c r="D1558">
        <v>0.33</v>
      </c>
      <c r="E1558" t="s">
        <v>903</v>
      </c>
      <c r="F1558" t="s">
        <v>754</v>
      </c>
      <c r="G1558" t="s">
        <v>2025</v>
      </c>
      <c r="H1558" t="s">
        <v>30</v>
      </c>
      <c r="I1558" s="28" t="s">
        <v>27</v>
      </c>
    </row>
    <row r="1559" spans="1:9" x14ac:dyDescent="0.3">
      <c r="A1559" s="26">
        <v>45330</v>
      </c>
      <c r="B1559" t="s">
        <v>895</v>
      </c>
      <c r="C1559" t="s">
        <v>753</v>
      </c>
      <c r="D1559">
        <v>0.75</v>
      </c>
      <c r="E1559" t="s">
        <v>898</v>
      </c>
      <c r="F1559" t="s">
        <v>754</v>
      </c>
      <c r="H1559" t="s">
        <v>30</v>
      </c>
      <c r="I1559" s="28" t="s">
        <v>27</v>
      </c>
    </row>
    <row r="1560" spans="1:9" x14ac:dyDescent="0.3">
      <c r="A1560" s="26">
        <v>45330</v>
      </c>
      <c r="B1560" t="s">
        <v>895</v>
      </c>
      <c r="C1560" t="s">
        <v>753</v>
      </c>
      <c r="D1560">
        <v>1.2</v>
      </c>
      <c r="E1560" t="s">
        <v>898</v>
      </c>
      <c r="F1560" t="s">
        <v>754</v>
      </c>
      <c r="G1560" t="s">
        <v>2026</v>
      </c>
      <c r="H1560" t="s">
        <v>30</v>
      </c>
      <c r="I1560" s="28" t="s">
        <v>27</v>
      </c>
    </row>
    <row r="1561" spans="1:9" x14ac:dyDescent="0.3">
      <c r="A1561" s="26">
        <v>45330</v>
      </c>
      <c r="B1561" t="s">
        <v>895</v>
      </c>
      <c r="C1561" t="s">
        <v>906</v>
      </c>
      <c r="D1561">
        <v>0.05</v>
      </c>
      <c r="E1561" t="s">
        <v>7</v>
      </c>
      <c r="F1561" t="s">
        <v>772</v>
      </c>
      <c r="G1561" t="s">
        <v>2027</v>
      </c>
      <c r="H1561" t="s">
        <v>30</v>
      </c>
      <c r="I1561" s="28" t="s">
        <v>27</v>
      </c>
    </row>
    <row r="1562" spans="1:9" x14ac:dyDescent="0.3">
      <c r="A1562" s="26">
        <v>45330</v>
      </c>
      <c r="B1562" t="s">
        <v>895</v>
      </c>
      <c r="C1562" t="s">
        <v>906</v>
      </c>
      <c r="D1562">
        <v>0.7</v>
      </c>
      <c r="E1562" t="s">
        <v>7</v>
      </c>
      <c r="F1562" t="s">
        <v>772</v>
      </c>
      <c r="G1562" t="s">
        <v>2028</v>
      </c>
      <c r="H1562" t="s">
        <v>30</v>
      </c>
      <c r="I1562" s="28" t="s">
        <v>27</v>
      </c>
    </row>
    <row r="1563" spans="1:9" x14ac:dyDescent="0.3">
      <c r="A1563" s="26">
        <v>45330</v>
      </c>
      <c r="B1563" t="s">
        <v>895</v>
      </c>
      <c r="C1563" t="s">
        <v>789</v>
      </c>
      <c r="D1563">
        <v>0.25</v>
      </c>
      <c r="E1563" t="s">
        <v>898</v>
      </c>
      <c r="F1563" t="s">
        <v>754</v>
      </c>
      <c r="G1563" t="s">
        <v>2029</v>
      </c>
      <c r="H1563" t="s">
        <v>30</v>
      </c>
      <c r="I1563" s="28" t="s">
        <v>27</v>
      </c>
    </row>
    <row r="1564" spans="1:9" x14ac:dyDescent="0.3">
      <c r="A1564" s="26">
        <v>45330</v>
      </c>
      <c r="B1564" t="s">
        <v>895</v>
      </c>
      <c r="C1564" t="s">
        <v>789</v>
      </c>
      <c r="D1564">
        <v>0.33</v>
      </c>
      <c r="E1564" t="s">
        <v>898</v>
      </c>
      <c r="F1564" t="s">
        <v>754</v>
      </c>
      <c r="G1564" t="s">
        <v>2030</v>
      </c>
      <c r="H1564" t="s">
        <v>30</v>
      </c>
      <c r="I1564" s="28" t="s">
        <v>27</v>
      </c>
    </row>
    <row r="1565" spans="1:9" x14ac:dyDescent="0.3">
      <c r="A1565" s="26">
        <v>45330</v>
      </c>
      <c r="B1565" t="s">
        <v>895</v>
      </c>
      <c r="C1565" t="s">
        <v>771</v>
      </c>
      <c r="D1565">
        <v>0.18</v>
      </c>
      <c r="E1565" t="s">
        <v>7</v>
      </c>
      <c r="F1565" t="s">
        <v>772</v>
      </c>
      <c r="G1565" t="s">
        <v>2031</v>
      </c>
      <c r="H1565" t="s">
        <v>30</v>
      </c>
      <c r="I1565" s="28" t="s">
        <v>27</v>
      </c>
    </row>
    <row r="1566" spans="1:9" x14ac:dyDescent="0.3">
      <c r="A1566" s="26">
        <v>45330</v>
      </c>
      <c r="B1566" t="s">
        <v>895</v>
      </c>
      <c r="C1566" t="s">
        <v>771</v>
      </c>
      <c r="D1566">
        <v>0.25</v>
      </c>
      <c r="E1566" t="s">
        <v>7</v>
      </c>
      <c r="F1566" t="s">
        <v>772</v>
      </c>
      <c r="G1566" t="s">
        <v>2032</v>
      </c>
      <c r="H1566" t="s">
        <v>30</v>
      </c>
      <c r="I1566" s="28" t="s">
        <v>27</v>
      </c>
    </row>
    <row r="1567" spans="1:9" x14ac:dyDescent="0.3">
      <c r="A1567" s="26">
        <v>45330</v>
      </c>
      <c r="B1567" t="s">
        <v>895</v>
      </c>
      <c r="C1567" t="s">
        <v>771</v>
      </c>
      <c r="D1567">
        <v>0.25</v>
      </c>
      <c r="E1567" t="s">
        <v>7</v>
      </c>
      <c r="F1567" t="s">
        <v>772</v>
      </c>
      <c r="G1567" t="s">
        <v>2033</v>
      </c>
      <c r="H1567" t="s">
        <v>30</v>
      </c>
      <c r="I1567" s="28" t="s">
        <v>27</v>
      </c>
    </row>
    <row r="1568" spans="1:9" x14ac:dyDescent="0.3">
      <c r="A1568" s="26">
        <v>45330</v>
      </c>
      <c r="B1568" t="s">
        <v>895</v>
      </c>
      <c r="C1568" t="s">
        <v>771</v>
      </c>
      <c r="D1568">
        <v>0.57999999999999996</v>
      </c>
      <c r="E1568" t="s">
        <v>7</v>
      </c>
      <c r="F1568" t="s">
        <v>772</v>
      </c>
      <c r="G1568" t="s">
        <v>2034</v>
      </c>
      <c r="H1568" t="s">
        <v>30</v>
      </c>
      <c r="I1568" s="28" t="s">
        <v>27</v>
      </c>
    </row>
    <row r="1569" spans="1:9" x14ac:dyDescent="0.3">
      <c r="A1569" s="26">
        <v>45330</v>
      </c>
      <c r="B1569" t="s">
        <v>895</v>
      </c>
      <c r="C1569" t="s">
        <v>916</v>
      </c>
      <c r="D1569">
        <v>0.27</v>
      </c>
      <c r="E1569" t="s">
        <v>985</v>
      </c>
      <c r="F1569" t="s">
        <v>754</v>
      </c>
      <c r="G1569" t="s">
        <v>2035</v>
      </c>
      <c r="H1569" t="s">
        <v>30</v>
      </c>
      <c r="I1569" s="28" t="s">
        <v>27</v>
      </c>
    </row>
    <row r="1570" spans="1:9" x14ac:dyDescent="0.3">
      <c r="A1570" s="26">
        <v>45330</v>
      </c>
      <c r="B1570" t="s">
        <v>895</v>
      </c>
      <c r="C1570" t="s">
        <v>874</v>
      </c>
      <c r="D1570">
        <v>0.83</v>
      </c>
      <c r="E1570" t="s">
        <v>7</v>
      </c>
      <c r="F1570" t="s">
        <v>772</v>
      </c>
      <c r="G1570" t="s">
        <v>2036</v>
      </c>
      <c r="H1570" t="s">
        <v>30</v>
      </c>
      <c r="I1570" s="28" t="s">
        <v>27</v>
      </c>
    </row>
    <row r="1571" spans="1:9" x14ac:dyDescent="0.3">
      <c r="A1571" s="26">
        <v>45330</v>
      </c>
      <c r="B1571" t="s">
        <v>895</v>
      </c>
      <c r="C1571" t="s">
        <v>776</v>
      </c>
      <c r="D1571">
        <v>1.75</v>
      </c>
      <c r="E1571" t="s">
        <v>879</v>
      </c>
      <c r="F1571" t="s">
        <v>754</v>
      </c>
      <c r="G1571" t="s">
        <v>2037</v>
      </c>
      <c r="H1571" t="s">
        <v>30</v>
      </c>
      <c r="I1571" s="28" t="s">
        <v>27</v>
      </c>
    </row>
    <row r="1572" spans="1:9" x14ac:dyDescent="0.3">
      <c r="A1572" s="26">
        <v>45330</v>
      </c>
      <c r="B1572" t="s">
        <v>895</v>
      </c>
      <c r="C1572" t="s">
        <v>776</v>
      </c>
      <c r="D1572">
        <v>3.23</v>
      </c>
      <c r="E1572" t="s">
        <v>879</v>
      </c>
      <c r="F1572" t="s">
        <v>754</v>
      </c>
      <c r="G1572" t="s">
        <v>2038</v>
      </c>
      <c r="H1572" t="s">
        <v>30</v>
      </c>
      <c r="I1572" s="28" t="s">
        <v>27</v>
      </c>
    </row>
    <row r="1573" spans="1:9" x14ac:dyDescent="0.3">
      <c r="A1573" s="26">
        <v>45330</v>
      </c>
      <c r="B1573" t="s">
        <v>1391</v>
      </c>
      <c r="C1573" t="s">
        <v>771</v>
      </c>
      <c r="D1573">
        <v>0.08</v>
      </c>
      <c r="E1573" t="s">
        <v>7</v>
      </c>
      <c r="F1573" t="s">
        <v>772</v>
      </c>
      <c r="G1573" t="s">
        <v>2039</v>
      </c>
      <c r="H1573" t="s">
        <v>30</v>
      </c>
      <c r="I1573" s="28" t="s">
        <v>27</v>
      </c>
    </row>
    <row r="1574" spans="1:9" x14ac:dyDescent="0.3">
      <c r="A1574" s="26">
        <v>45330</v>
      </c>
      <c r="B1574" t="s">
        <v>1391</v>
      </c>
      <c r="C1574" t="s">
        <v>771</v>
      </c>
      <c r="D1574">
        <v>0.5</v>
      </c>
      <c r="E1574" t="s">
        <v>7</v>
      </c>
      <c r="F1574" t="s">
        <v>772</v>
      </c>
      <c r="G1574" t="s">
        <v>2040</v>
      </c>
      <c r="H1574" t="s">
        <v>30</v>
      </c>
      <c r="I1574" s="28" t="s">
        <v>27</v>
      </c>
    </row>
    <row r="1575" spans="1:9" x14ac:dyDescent="0.3">
      <c r="A1575" s="26">
        <v>45330</v>
      </c>
      <c r="B1575" t="s">
        <v>1391</v>
      </c>
      <c r="C1575" t="s">
        <v>874</v>
      </c>
      <c r="D1575">
        <v>0.5</v>
      </c>
      <c r="E1575" t="s">
        <v>7</v>
      </c>
      <c r="F1575" t="s">
        <v>772</v>
      </c>
      <c r="G1575" t="s">
        <v>2041</v>
      </c>
      <c r="H1575" t="s">
        <v>30</v>
      </c>
      <c r="I1575" s="28" t="s">
        <v>27</v>
      </c>
    </row>
    <row r="1576" spans="1:9" x14ac:dyDescent="0.3">
      <c r="A1576" s="26">
        <v>45330</v>
      </c>
      <c r="B1576" t="s">
        <v>1391</v>
      </c>
      <c r="C1576" t="s">
        <v>874</v>
      </c>
      <c r="D1576">
        <v>0.5</v>
      </c>
      <c r="E1576" t="s">
        <v>7</v>
      </c>
      <c r="F1576" t="s">
        <v>772</v>
      </c>
      <c r="G1576" t="s">
        <v>2042</v>
      </c>
      <c r="H1576" t="s">
        <v>30</v>
      </c>
      <c r="I1576" s="28" t="s">
        <v>27</v>
      </c>
    </row>
    <row r="1577" spans="1:9" x14ac:dyDescent="0.3">
      <c r="A1577" s="26">
        <v>45330</v>
      </c>
      <c r="B1577" t="s">
        <v>1391</v>
      </c>
      <c r="C1577" t="s">
        <v>1522</v>
      </c>
      <c r="D1577">
        <v>1</v>
      </c>
      <c r="E1577" t="s">
        <v>455</v>
      </c>
      <c r="F1577" t="s">
        <v>754</v>
      </c>
      <c r="G1577" t="s">
        <v>2043</v>
      </c>
      <c r="H1577" t="s">
        <v>30</v>
      </c>
      <c r="I1577" s="28" t="s">
        <v>27</v>
      </c>
    </row>
    <row r="1578" spans="1:9" x14ac:dyDescent="0.3">
      <c r="A1578" s="26">
        <v>45330</v>
      </c>
      <c r="B1578" t="s">
        <v>1391</v>
      </c>
      <c r="C1578" t="s">
        <v>1094</v>
      </c>
      <c r="D1578">
        <v>0.17</v>
      </c>
      <c r="E1578" t="s">
        <v>455</v>
      </c>
      <c r="F1578" t="s">
        <v>754</v>
      </c>
      <c r="G1578" t="s">
        <v>2044</v>
      </c>
      <c r="H1578" t="s">
        <v>30</v>
      </c>
      <c r="I1578" s="28" t="s">
        <v>27</v>
      </c>
    </row>
    <row r="1579" spans="1:9" x14ac:dyDescent="0.3">
      <c r="A1579" s="26">
        <v>45330</v>
      </c>
      <c r="B1579" t="s">
        <v>1391</v>
      </c>
      <c r="C1579" t="s">
        <v>1094</v>
      </c>
      <c r="D1579">
        <v>0.17</v>
      </c>
      <c r="E1579" t="s">
        <v>455</v>
      </c>
      <c r="F1579" t="s">
        <v>754</v>
      </c>
      <c r="G1579" t="s">
        <v>2045</v>
      </c>
      <c r="H1579" t="s">
        <v>30</v>
      </c>
      <c r="I1579" s="28" t="s">
        <v>27</v>
      </c>
    </row>
    <row r="1580" spans="1:9" x14ac:dyDescent="0.3">
      <c r="A1580" s="26">
        <v>45330</v>
      </c>
      <c r="B1580" t="s">
        <v>1391</v>
      </c>
      <c r="C1580" t="s">
        <v>1094</v>
      </c>
      <c r="D1580">
        <v>0.25</v>
      </c>
      <c r="E1580" t="s">
        <v>455</v>
      </c>
      <c r="F1580" t="s">
        <v>754</v>
      </c>
      <c r="G1580" t="s">
        <v>1829</v>
      </c>
      <c r="H1580" t="s">
        <v>30</v>
      </c>
      <c r="I1580" s="28" t="s">
        <v>27</v>
      </c>
    </row>
    <row r="1581" spans="1:9" x14ac:dyDescent="0.3">
      <c r="A1581" s="26">
        <v>45330</v>
      </c>
      <c r="B1581" t="s">
        <v>1391</v>
      </c>
      <c r="C1581" t="s">
        <v>1094</v>
      </c>
      <c r="D1581">
        <v>0.25</v>
      </c>
      <c r="E1581" t="s">
        <v>455</v>
      </c>
      <c r="F1581" t="s">
        <v>754</v>
      </c>
      <c r="G1581" t="s">
        <v>2046</v>
      </c>
      <c r="H1581" t="s">
        <v>30</v>
      </c>
      <c r="I1581" s="28" t="s">
        <v>27</v>
      </c>
    </row>
    <row r="1582" spans="1:9" x14ac:dyDescent="0.3">
      <c r="A1582" s="26">
        <v>45330</v>
      </c>
      <c r="B1582" t="s">
        <v>929</v>
      </c>
      <c r="C1582" t="s">
        <v>789</v>
      </c>
      <c r="D1582">
        <v>0.08</v>
      </c>
      <c r="E1582" t="s">
        <v>1989</v>
      </c>
      <c r="F1582" t="s">
        <v>754</v>
      </c>
      <c r="G1582" t="s">
        <v>2047</v>
      </c>
      <c r="H1582" t="s">
        <v>30</v>
      </c>
      <c r="I1582" s="28" t="s">
        <v>27</v>
      </c>
    </row>
    <row r="1583" spans="1:9" x14ac:dyDescent="0.3">
      <c r="A1583" s="26">
        <v>45330</v>
      </c>
      <c r="B1583" t="s">
        <v>929</v>
      </c>
      <c r="C1583" t="s">
        <v>789</v>
      </c>
      <c r="D1583">
        <v>0.1</v>
      </c>
      <c r="E1583" t="s">
        <v>1989</v>
      </c>
      <c r="F1583" t="s">
        <v>754</v>
      </c>
      <c r="G1583" t="s">
        <v>2048</v>
      </c>
      <c r="H1583" t="s">
        <v>30</v>
      </c>
      <c r="I1583" s="28" t="s">
        <v>27</v>
      </c>
    </row>
    <row r="1584" spans="1:9" x14ac:dyDescent="0.3">
      <c r="A1584" s="26">
        <v>45330</v>
      </c>
      <c r="B1584" t="s">
        <v>929</v>
      </c>
      <c r="C1584" t="s">
        <v>789</v>
      </c>
      <c r="D1584">
        <v>0.13</v>
      </c>
      <c r="E1584" t="s">
        <v>813</v>
      </c>
      <c r="F1584" t="s">
        <v>772</v>
      </c>
      <c r="G1584" t="s">
        <v>2049</v>
      </c>
      <c r="H1584" t="s">
        <v>30</v>
      </c>
      <c r="I1584" s="28" t="s">
        <v>27</v>
      </c>
    </row>
    <row r="1585" spans="1:9" x14ac:dyDescent="0.3">
      <c r="A1585" s="26">
        <v>45330</v>
      </c>
      <c r="B1585" t="s">
        <v>929</v>
      </c>
      <c r="C1585" t="s">
        <v>789</v>
      </c>
      <c r="D1585">
        <v>0.2</v>
      </c>
      <c r="E1585" t="s">
        <v>1989</v>
      </c>
      <c r="F1585" t="s">
        <v>754</v>
      </c>
      <c r="G1585" t="s">
        <v>2050</v>
      </c>
      <c r="H1585" t="s">
        <v>30</v>
      </c>
      <c r="I1585" s="28" t="s">
        <v>27</v>
      </c>
    </row>
    <row r="1586" spans="1:9" x14ac:dyDescent="0.3">
      <c r="A1586" s="26">
        <v>45330</v>
      </c>
      <c r="B1586" t="s">
        <v>929</v>
      </c>
      <c r="C1586" t="s">
        <v>789</v>
      </c>
      <c r="D1586">
        <v>0.3</v>
      </c>
      <c r="E1586" t="s">
        <v>985</v>
      </c>
      <c r="F1586" t="s">
        <v>754</v>
      </c>
      <c r="G1586" t="s">
        <v>2051</v>
      </c>
      <c r="H1586" t="s">
        <v>30</v>
      </c>
      <c r="I1586" s="28" t="s">
        <v>27</v>
      </c>
    </row>
    <row r="1587" spans="1:9" x14ac:dyDescent="0.3">
      <c r="A1587" s="26">
        <v>45330</v>
      </c>
      <c r="B1587" t="s">
        <v>929</v>
      </c>
      <c r="C1587" t="s">
        <v>789</v>
      </c>
      <c r="D1587">
        <v>0.73</v>
      </c>
      <c r="E1587" t="s">
        <v>7</v>
      </c>
      <c r="F1587" t="s">
        <v>772</v>
      </c>
      <c r="G1587" t="s">
        <v>2052</v>
      </c>
      <c r="H1587" t="s">
        <v>30</v>
      </c>
      <c r="I1587" s="28" t="s">
        <v>27</v>
      </c>
    </row>
    <row r="1588" spans="1:9" x14ac:dyDescent="0.3">
      <c r="A1588" s="26">
        <v>45330</v>
      </c>
      <c r="B1588" t="s">
        <v>929</v>
      </c>
      <c r="C1588" t="s">
        <v>771</v>
      </c>
      <c r="D1588">
        <v>0.03</v>
      </c>
      <c r="E1588" t="s">
        <v>7</v>
      </c>
      <c r="F1588" t="s">
        <v>772</v>
      </c>
      <c r="G1588" t="s">
        <v>1404</v>
      </c>
      <c r="H1588" t="s">
        <v>30</v>
      </c>
      <c r="I1588" s="28" t="s">
        <v>27</v>
      </c>
    </row>
    <row r="1589" spans="1:9" x14ac:dyDescent="0.3">
      <c r="A1589" s="26">
        <v>45330</v>
      </c>
      <c r="B1589" t="s">
        <v>929</v>
      </c>
      <c r="C1589" t="s">
        <v>771</v>
      </c>
      <c r="D1589">
        <v>0.25</v>
      </c>
      <c r="E1589" t="s">
        <v>7</v>
      </c>
      <c r="F1589" t="s">
        <v>772</v>
      </c>
      <c r="G1589" t="s">
        <v>2053</v>
      </c>
      <c r="H1589" t="s">
        <v>30</v>
      </c>
      <c r="I1589" s="28" t="s">
        <v>27</v>
      </c>
    </row>
    <row r="1590" spans="1:9" x14ac:dyDescent="0.3">
      <c r="A1590" s="26">
        <v>45330</v>
      </c>
      <c r="B1590" t="s">
        <v>929</v>
      </c>
      <c r="C1590" t="s">
        <v>771</v>
      </c>
      <c r="D1590">
        <v>0.25</v>
      </c>
      <c r="E1590" t="s">
        <v>7</v>
      </c>
      <c r="F1590" t="s">
        <v>772</v>
      </c>
      <c r="G1590" t="s">
        <v>2054</v>
      </c>
      <c r="H1590" t="s">
        <v>30</v>
      </c>
      <c r="I1590" s="28" t="s">
        <v>27</v>
      </c>
    </row>
    <row r="1591" spans="1:9" x14ac:dyDescent="0.3">
      <c r="A1591" s="26">
        <v>45330</v>
      </c>
      <c r="B1591" t="s">
        <v>929</v>
      </c>
      <c r="C1591" t="s">
        <v>1441</v>
      </c>
      <c r="D1591">
        <v>0.05</v>
      </c>
      <c r="E1591" t="s">
        <v>857</v>
      </c>
      <c r="F1591" t="s">
        <v>754</v>
      </c>
      <c r="G1591" t="s">
        <v>1641</v>
      </c>
      <c r="H1591" t="s">
        <v>30</v>
      </c>
      <c r="I1591" s="28" t="s">
        <v>27</v>
      </c>
    </row>
    <row r="1592" spans="1:9" x14ac:dyDescent="0.3">
      <c r="A1592" s="26">
        <v>45330</v>
      </c>
      <c r="B1592" t="s">
        <v>929</v>
      </c>
      <c r="C1592" t="s">
        <v>1441</v>
      </c>
      <c r="D1592">
        <v>7.0000000000000007E-2</v>
      </c>
      <c r="E1592" t="s">
        <v>857</v>
      </c>
      <c r="F1592" t="s">
        <v>754</v>
      </c>
      <c r="G1592" t="s">
        <v>2055</v>
      </c>
      <c r="H1592" t="s">
        <v>30</v>
      </c>
      <c r="I1592" s="28" t="s">
        <v>27</v>
      </c>
    </row>
    <row r="1593" spans="1:9" x14ac:dyDescent="0.3">
      <c r="A1593" s="26">
        <v>45330</v>
      </c>
      <c r="B1593" t="s">
        <v>929</v>
      </c>
      <c r="C1593" t="s">
        <v>916</v>
      </c>
      <c r="D1593">
        <v>0.08</v>
      </c>
      <c r="E1593" t="s">
        <v>1084</v>
      </c>
      <c r="F1593" t="s">
        <v>772</v>
      </c>
      <c r="G1593" t="s">
        <v>2056</v>
      </c>
      <c r="H1593" t="s">
        <v>30</v>
      </c>
      <c r="I1593" s="28" t="s">
        <v>27</v>
      </c>
    </row>
    <row r="1594" spans="1:9" x14ac:dyDescent="0.3">
      <c r="A1594" s="26">
        <v>45330</v>
      </c>
      <c r="B1594" t="s">
        <v>929</v>
      </c>
      <c r="C1594" t="s">
        <v>916</v>
      </c>
      <c r="D1594">
        <v>0.3</v>
      </c>
      <c r="E1594" t="s">
        <v>226</v>
      </c>
      <c r="F1594" t="s">
        <v>754</v>
      </c>
      <c r="H1594" t="s">
        <v>30</v>
      </c>
      <c r="I1594" s="28" t="s">
        <v>27</v>
      </c>
    </row>
    <row r="1595" spans="1:9" x14ac:dyDescent="0.3">
      <c r="A1595" s="26">
        <v>45330</v>
      </c>
      <c r="B1595" t="s">
        <v>929</v>
      </c>
      <c r="C1595" t="s">
        <v>916</v>
      </c>
      <c r="D1595">
        <v>0.52</v>
      </c>
      <c r="E1595" t="s">
        <v>985</v>
      </c>
      <c r="F1595" t="s">
        <v>754</v>
      </c>
      <c r="G1595" t="s">
        <v>2057</v>
      </c>
      <c r="H1595" t="s">
        <v>30</v>
      </c>
      <c r="I1595" s="28" t="s">
        <v>27</v>
      </c>
    </row>
    <row r="1596" spans="1:9" x14ac:dyDescent="0.3">
      <c r="A1596" s="26">
        <v>45330</v>
      </c>
      <c r="B1596" t="s">
        <v>929</v>
      </c>
      <c r="C1596" t="s">
        <v>916</v>
      </c>
      <c r="D1596">
        <v>0.52</v>
      </c>
      <c r="E1596" t="s">
        <v>659</v>
      </c>
      <c r="F1596" t="s">
        <v>754</v>
      </c>
      <c r="H1596" t="s">
        <v>30</v>
      </c>
      <c r="I1596" s="28" t="s">
        <v>27</v>
      </c>
    </row>
    <row r="1597" spans="1:9" x14ac:dyDescent="0.3">
      <c r="A1597" s="26">
        <v>45330</v>
      </c>
      <c r="B1597" t="s">
        <v>929</v>
      </c>
      <c r="C1597" t="s">
        <v>916</v>
      </c>
      <c r="D1597">
        <v>1.58</v>
      </c>
      <c r="E1597" t="s">
        <v>985</v>
      </c>
      <c r="F1597" t="s">
        <v>772</v>
      </c>
      <c r="G1597" t="s">
        <v>1203</v>
      </c>
      <c r="H1597" t="s">
        <v>30</v>
      </c>
      <c r="I1597" s="28" t="s">
        <v>27</v>
      </c>
    </row>
    <row r="1598" spans="1:9" x14ac:dyDescent="0.3">
      <c r="A1598" s="26">
        <v>45330</v>
      </c>
      <c r="B1598" t="s">
        <v>929</v>
      </c>
      <c r="C1598" t="s">
        <v>982</v>
      </c>
      <c r="D1598">
        <v>0.37</v>
      </c>
      <c r="E1598" t="s">
        <v>7</v>
      </c>
      <c r="F1598" t="s">
        <v>772</v>
      </c>
      <c r="G1598" t="s">
        <v>2058</v>
      </c>
      <c r="H1598" t="s">
        <v>30</v>
      </c>
      <c r="I1598" s="28" t="s">
        <v>27</v>
      </c>
    </row>
    <row r="1599" spans="1:9" x14ac:dyDescent="0.3">
      <c r="A1599" s="26">
        <v>45330</v>
      </c>
      <c r="B1599" t="s">
        <v>929</v>
      </c>
      <c r="C1599" t="s">
        <v>982</v>
      </c>
      <c r="D1599">
        <v>1</v>
      </c>
      <c r="E1599" t="s">
        <v>7</v>
      </c>
      <c r="F1599" t="s">
        <v>772</v>
      </c>
      <c r="G1599" t="s">
        <v>2059</v>
      </c>
      <c r="H1599" t="s">
        <v>30</v>
      </c>
      <c r="I1599" s="28" t="s">
        <v>27</v>
      </c>
    </row>
    <row r="1600" spans="1:9" x14ac:dyDescent="0.3">
      <c r="A1600" s="26">
        <v>45330</v>
      </c>
      <c r="B1600" t="s">
        <v>929</v>
      </c>
      <c r="C1600" t="s">
        <v>874</v>
      </c>
      <c r="D1600">
        <v>0.57999999999999996</v>
      </c>
      <c r="E1600" t="s">
        <v>7</v>
      </c>
      <c r="F1600" t="s">
        <v>772</v>
      </c>
      <c r="G1600" t="s">
        <v>2060</v>
      </c>
      <c r="H1600" t="s">
        <v>30</v>
      </c>
      <c r="I1600" s="28" t="s">
        <v>27</v>
      </c>
    </row>
    <row r="1601" spans="1:9" x14ac:dyDescent="0.3">
      <c r="A1601" s="26">
        <v>45330</v>
      </c>
      <c r="B1601" t="s">
        <v>929</v>
      </c>
      <c r="C1601" t="s">
        <v>954</v>
      </c>
      <c r="D1601">
        <v>0.17</v>
      </c>
      <c r="E1601" t="s">
        <v>7</v>
      </c>
      <c r="F1601" t="s">
        <v>772</v>
      </c>
      <c r="G1601" t="s">
        <v>2061</v>
      </c>
      <c r="H1601" t="s">
        <v>30</v>
      </c>
      <c r="I1601" s="28" t="s">
        <v>27</v>
      </c>
    </row>
    <row r="1602" spans="1:9" x14ac:dyDescent="0.3">
      <c r="A1602" s="26">
        <v>45330</v>
      </c>
      <c r="B1602" t="s">
        <v>929</v>
      </c>
      <c r="C1602" t="s">
        <v>954</v>
      </c>
      <c r="D1602">
        <v>0.7</v>
      </c>
      <c r="E1602" t="s">
        <v>7</v>
      </c>
      <c r="F1602" t="s">
        <v>772</v>
      </c>
      <c r="G1602" t="s">
        <v>2062</v>
      </c>
      <c r="H1602" t="s">
        <v>30</v>
      </c>
      <c r="I1602" s="28" t="s">
        <v>27</v>
      </c>
    </row>
    <row r="1603" spans="1:9" x14ac:dyDescent="0.3">
      <c r="A1603" s="26">
        <v>45330</v>
      </c>
      <c r="B1603" t="s">
        <v>959</v>
      </c>
      <c r="C1603" t="s">
        <v>874</v>
      </c>
      <c r="D1603">
        <v>0.5</v>
      </c>
      <c r="E1603" t="s">
        <v>7</v>
      </c>
      <c r="F1603" t="s">
        <v>772</v>
      </c>
      <c r="G1603" t="s">
        <v>2063</v>
      </c>
      <c r="H1603" t="s">
        <v>30</v>
      </c>
      <c r="I1603" s="28" t="s">
        <v>27</v>
      </c>
    </row>
    <row r="1604" spans="1:9" x14ac:dyDescent="0.3">
      <c r="A1604" s="26">
        <v>45330</v>
      </c>
      <c r="B1604" t="s">
        <v>959</v>
      </c>
      <c r="C1604" t="s">
        <v>878</v>
      </c>
      <c r="D1604">
        <v>7.5</v>
      </c>
      <c r="E1604" t="s">
        <v>430</v>
      </c>
      <c r="F1604" t="s">
        <v>754</v>
      </c>
      <c r="G1604" t="s">
        <v>2064</v>
      </c>
      <c r="H1604" t="s">
        <v>30</v>
      </c>
      <c r="I1604" s="28" t="s">
        <v>27</v>
      </c>
    </row>
    <row r="1605" spans="1:9" x14ac:dyDescent="0.3">
      <c r="A1605" s="26">
        <v>45330</v>
      </c>
      <c r="B1605" t="s">
        <v>961</v>
      </c>
      <c r="C1605" t="s">
        <v>753</v>
      </c>
      <c r="D1605">
        <v>1.57</v>
      </c>
      <c r="E1605" t="s">
        <v>717</v>
      </c>
      <c r="F1605" t="s">
        <v>754</v>
      </c>
      <c r="H1605" t="s">
        <v>30</v>
      </c>
      <c r="I1605" s="28" t="s">
        <v>27</v>
      </c>
    </row>
    <row r="1606" spans="1:9" x14ac:dyDescent="0.3">
      <c r="A1606" s="26">
        <v>45330</v>
      </c>
      <c r="B1606" t="s">
        <v>961</v>
      </c>
      <c r="C1606" t="s">
        <v>753</v>
      </c>
      <c r="D1606">
        <v>4.53</v>
      </c>
      <c r="E1606" t="s">
        <v>790</v>
      </c>
      <c r="F1606" t="s">
        <v>754</v>
      </c>
      <c r="H1606" t="s">
        <v>30</v>
      </c>
      <c r="I1606" s="28" t="s">
        <v>27</v>
      </c>
    </row>
    <row r="1607" spans="1:9" x14ac:dyDescent="0.3">
      <c r="A1607" s="26">
        <v>45330</v>
      </c>
      <c r="B1607" t="s">
        <v>961</v>
      </c>
      <c r="C1607" t="s">
        <v>771</v>
      </c>
      <c r="D1607">
        <v>0.25</v>
      </c>
      <c r="E1607" t="s">
        <v>7</v>
      </c>
      <c r="F1607" t="s">
        <v>772</v>
      </c>
      <c r="G1607" t="s">
        <v>2065</v>
      </c>
      <c r="H1607" t="s">
        <v>30</v>
      </c>
      <c r="I1607" s="28" t="s">
        <v>27</v>
      </c>
    </row>
    <row r="1608" spans="1:9" x14ac:dyDescent="0.3">
      <c r="A1608" s="26">
        <v>45330</v>
      </c>
      <c r="B1608" t="s">
        <v>961</v>
      </c>
      <c r="C1608" t="s">
        <v>874</v>
      </c>
      <c r="D1608">
        <v>0.5</v>
      </c>
      <c r="E1608" t="s">
        <v>7</v>
      </c>
      <c r="F1608" t="s">
        <v>772</v>
      </c>
      <c r="G1608" t="s">
        <v>2066</v>
      </c>
      <c r="H1608" t="s">
        <v>30</v>
      </c>
      <c r="I1608" s="28" t="s">
        <v>27</v>
      </c>
    </row>
    <row r="1609" spans="1:9" x14ac:dyDescent="0.3">
      <c r="A1609" s="26">
        <v>45330</v>
      </c>
      <c r="B1609" t="s">
        <v>961</v>
      </c>
      <c r="C1609" t="s">
        <v>874</v>
      </c>
      <c r="D1609">
        <v>0.65</v>
      </c>
      <c r="E1609" t="s">
        <v>7</v>
      </c>
      <c r="F1609" t="s">
        <v>772</v>
      </c>
      <c r="G1609" t="s">
        <v>2067</v>
      </c>
      <c r="H1609" t="s">
        <v>30</v>
      </c>
      <c r="I1609" s="28" t="s">
        <v>27</v>
      </c>
    </row>
    <row r="1610" spans="1:9" x14ac:dyDescent="0.3">
      <c r="A1610" s="26">
        <v>45330</v>
      </c>
      <c r="B1610" t="s">
        <v>961</v>
      </c>
      <c r="C1610" t="s">
        <v>874</v>
      </c>
      <c r="D1610">
        <v>0.87</v>
      </c>
      <c r="E1610" t="s">
        <v>7</v>
      </c>
      <c r="F1610" t="s">
        <v>772</v>
      </c>
      <c r="G1610" t="s">
        <v>2068</v>
      </c>
      <c r="H1610" t="s">
        <v>30</v>
      </c>
      <c r="I1610" s="28" t="s">
        <v>27</v>
      </c>
    </row>
    <row r="1611" spans="1:9" x14ac:dyDescent="0.3">
      <c r="A1611" s="26">
        <v>45330</v>
      </c>
      <c r="B1611" t="s">
        <v>962</v>
      </c>
      <c r="C1611" t="s">
        <v>753</v>
      </c>
      <c r="D1611">
        <v>1</v>
      </c>
      <c r="E1611" t="s">
        <v>717</v>
      </c>
      <c r="F1611" t="s">
        <v>754</v>
      </c>
      <c r="G1611" t="s">
        <v>2069</v>
      </c>
      <c r="H1611" t="s">
        <v>30</v>
      </c>
      <c r="I1611" s="28" t="s">
        <v>27</v>
      </c>
    </row>
    <row r="1612" spans="1:9" x14ac:dyDescent="0.3">
      <c r="A1612" s="26">
        <v>45330</v>
      </c>
      <c r="B1612" t="s">
        <v>966</v>
      </c>
      <c r="C1612" t="s">
        <v>967</v>
      </c>
      <c r="D1612">
        <v>0.5</v>
      </c>
      <c r="E1612" t="s">
        <v>11</v>
      </c>
      <c r="F1612" t="s">
        <v>754</v>
      </c>
      <c r="H1612" t="s">
        <v>30</v>
      </c>
      <c r="I1612" s="28" t="s">
        <v>27</v>
      </c>
    </row>
    <row r="1613" spans="1:9" x14ac:dyDescent="0.3">
      <c r="A1613" s="26">
        <v>45330</v>
      </c>
      <c r="B1613" t="s">
        <v>966</v>
      </c>
      <c r="C1613" t="s">
        <v>967</v>
      </c>
      <c r="D1613">
        <v>2.5</v>
      </c>
      <c r="E1613" t="s">
        <v>7</v>
      </c>
      <c r="F1613" t="s">
        <v>754</v>
      </c>
      <c r="H1613" t="s">
        <v>30</v>
      </c>
      <c r="I1613" s="28" t="s">
        <v>27</v>
      </c>
    </row>
    <row r="1614" spans="1:9" x14ac:dyDescent="0.3">
      <c r="A1614" s="26">
        <v>45330</v>
      </c>
      <c r="B1614" t="s">
        <v>966</v>
      </c>
      <c r="C1614" t="s">
        <v>967</v>
      </c>
      <c r="D1614">
        <v>3</v>
      </c>
      <c r="E1614" t="s">
        <v>790</v>
      </c>
      <c r="F1614" t="s">
        <v>754</v>
      </c>
      <c r="H1614" t="s">
        <v>30</v>
      </c>
      <c r="I1614" s="28" t="s">
        <v>27</v>
      </c>
    </row>
    <row r="1615" spans="1:9" x14ac:dyDescent="0.3">
      <c r="A1615" s="26">
        <v>45330</v>
      </c>
      <c r="B1615" t="s">
        <v>966</v>
      </c>
      <c r="C1615" t="s">
        <v>874</v>
      </c>
      <c r="D1615">
        <v>0.5</v>
      </c>
      <c r="E1615" t="s">
        <v>7</v>
      </c>
      <c r="F1615" t="s">
        <v>772</v>
      </c>
      <c r="G1615" t="s">
        <v>2070</v>
      </c>
      <c r="H1615" t="s">
        <v>30</v>
      </c>
      <c r="I1615" s="28" t="s">
        <v>27</v>
      </c>
    </row>
    <row r="1616" spans="1:9" x14ac:dyDescent="0.3">
      <c r="A1616" s="26">
        <v>45330</v>
      </c>
      <c r="B1616" t="s">
        <v>966</v>
      </c>
      <c r="C1616" t="s">
        <v>874</v>
      </c>
      <c r="D1616">
        <v>1.5</v>
      </c>
      <c r="E1616" t="s">
        <v>7</v>
      </c>
      <c r="F1616" t="s">
        <v>772</v>
      </c>
      <c r="G1616" t="s">
        <v>1210</v>
      </c>
      <c r="H1616" t="s">
        <v>30</v>
      </c>
      <c r="I1616" s="28" t="s">
        <v>27</v>
      </c>
    </row>
    <row r="1617" spans="1:9" x14ac:dyDescent="0.3">
      <c r="A1617" s="26">
        <v>45330</v>
      </c>
      <c r="B1617" t="s">
        <v>969</v>
      </c>
      <c r="C1617" t="s">
        <v>753</v>
      </c>
      <c r="D1617">
        <v>0.92</v>
      </c>
      <c r="E1617" t="s">
        <v>7</v>
      </c>
      <c r="F1617" t="s">
        <v>772</v>
      </c>
      <c r="G1617" t="s">
        <v>2071</v>
      </c>
      <c r="H1617" t="s">
        <v>30</v>
      </c>
      <c r="I1617" s="28" t="s">
        <v>27</v>
      </c>
    </row>
    <row r="1618" spans="1:9" x14ac:dyDescent="0.3">
      <c r="A1618" s="26">
        <v>45330</v>
      </c>
      <c r="B1618" t="s">
        <v>969</v>
      </c>
      <c r="C1618" t="s">
        <v>789</v>
      </c>
      <c r="D1618">
        <v>0.6</v>
      </c>
      <c r="E1618" t="s">
        <v>7</v>
      </c>
      <c r="F1618" t="s">
        <v>772</v>
      </c>
      <c r="G1618" t="s">
        <v>2072</v>
      </c>
      <c r="H1618" t="s">
        <v>30</v>
      </c>
      <c r="I1618" s="28" t="s">
        <v>27</v>
      </c>
    </row>
    <row r="1619" spans="1:9" x14ac:dyDescent="0.3">
      <c r="A1619" s="26">
        <v>45330</v>
      </c>
      <c r="B1619" t="s">
        <v>969</v>
      </c>
      <c r="C1619" t="s">
        <v>789</v>
      </c>
      <c r="D1619">
        <v>1.1299999999999999</v>
      </c>
      <c r="E1619" t="s">
        <v>7</v>
      </c>
      <c r="F1619" t="s">
        <v>772</v>
      </c>
      <c r="G1619" t="s">
        <v>2073</v>
      </c>
      <c r="H1619" t="s">
        <v>30</v>
      </c>
      <c r="I1619" s="28" t="s">
        <v>27</v>
      </c>
    </row>
    <row r="1620" spans="1:9" x14ac:dyDescent="0.3">
      <c r="A1620" s="26">
        <v>45330</v>
      </c>
      <c r="B1620" t="s">
        <v>969</v>
      </c>
      <c r="C1620" t="s">
        <v>789</v>
      </c>
      <c r="D1620">
        <v>1.18</v>
      </c>
      <c r="E1620" t="s">
        <v>7</v>
      </c>
      <c r="F1620" t="s">
        <v>772</v>
      </c>
      <c r="G1620" t="s">
        <v>2074</v>
      </c>
      <c r="H1620" t="s">
        <v>30</v>
      </c>
      <c r="I1620" s="28" t="s">
        <v>27</v>
      </c>
    </row>
    <row r="1621" spans="1:9" x14ac:dyDescent="0.3">
      <c r="A1621" s="26">
        <v>45330</v>
      </c>
      <c r="B1621" t="s">
        <v>969</v>
      </c>
      <c r="C1621" t="s">
        <v>835</v>
      </c>
      <c r="D1621">
        <v>1.07</v>
      </c>
      <c r="E1621" t="s">
        <v>790</v>
      </c>
      <c r="F1621" t="s">
        <v>754</v>
      </c>
      <c r="H1621" t="s">
        <v>30</v>
      </c>
      <c r="I1621" s="28" t="s">
        <v>27</v>
      </c>
    </row>
    <row r="1622" spans="1:9" x14ac:dyDescent="0.3">
      <c r="A1622" s="26">
        <v>45330</v>
      </c>
      <c r="B1622" t="s">
        <v>969</v>
      </c>
      <c r="C1622" t="s">
        <v>835</v>
      </c>
      <c r="D1622">
        <v>1.63</v>
      </c>
      <c r="E1622" t="s">
        <v>7</v>
      </c>
      <c r="F1622" t="s">
        <v>772</v>
      </c>
      <c r="G1622" t="s">
        <v>976</v>
      </c>
      <c r="H1622" t="s">
        <v>30</v>
      </c>
      <c r="I1622" s="28" t="s">
        <v>27</v>
      </c>
    </row>
    <row r="1623" spans="1:9" x14ac:dyDescent="0.3">
      <c r="A1623" s="26">
        <v>45330</v>
      </c>
      <c r="B1623" t="s">
        <v>969</v>
      </c>
      <c r="C1623" t="s">
        <v>835</v>
      </c>
      <c r="D1623">
        <v>2.15</v>
      </c>
      <c r="E1623" t="s">
        <v>7</v>
      </c>
      <c r="F1623" t="s">
        <v>772</v>
      </c>
      <c r="G1623" t="s">
        <v>2075</v>
      </c>
      <c r="H1623" t="s">
        <v>30</v>
      </c>
      <c r="I1623" s="28" t="s">
        <v>27</v>
      </c>
    </row>
    <row r="1624" spans="1:9" x14ac:dyDescent="0.3">
      <c r="A1624" s="26">
        <v>45330</v>
      </c>
      <c r="B1624" t="s">
        <v>977</v>
      </c>
      <c r="C1624" t="s">
        <v>753</v>
      </c>
      <c r="D1624">
        <v>0.23</v>
      </c>
      <c r="E1624" t="s">
        <v>654</v>
      </c>
      <c r="F1624" t="s">
        <v>754</v>
      </c>
      <c r="G1624" t="s">
        <v>2076</v>
      </c>
      <c r="H1624" t="s">
        <v>30</v>
      </c>
      <c r="I1624" s="28" t="s">
        <v>27</v>
      </c>
    </row>
    <row r="1625" spans="1:9" x14ac:dyDescent="0.3">
      <c r="A1625" s="26">
        <v>45330</v>
      </c>
      <c r="B1625" t="s">
        <v>977</v>
      </c>
      <c r="C1625" t="s">
        <v>753</v>
      </c>
      <c r="D1625">
        <v>0.35</v>
      </c>
      <c r="E1625" t="s">
        <v>978</v>
      </c>
      <c r="F1625" t="s">
        <v>754</v>
      </c>
      <c r="G1625" t="s">
        <v>2077</v>
      </c>
      <c r="H1625" t="s">
        <v>30</v>
      </c>
      <c r="I1625" s="28" t="s">
        <v>27</v>
      </c>
    </row>
    <row r="1626" spans="1:9" x14ac:dyDescent="0.3">
      <c r="A1626" s="26">
        <v>45330</v>
      </c>
      <c r="B1626" t="s">
        <v>977</v>
      </c>
      <c r="C1626" t="s">
        <v>753</v>
      </c>
      <c r="D1626">
        <v>5.77</v>
      </c>
      <c r="E1626" t="s">
        <v>978</v>
      </c>
      <c r="F1626" t="s">
        <v>754</v>
      </c>
      <c r="G1626" t="s">
        <v>2078</v>
      </c>
      <c r="H1626" t="s">
        <v>30</v>
      </c>
      <c r="I1626" s="28" t="s">
        <v>27</v>
      </c>
    </row>
    <row r="1627" spans="1:9" x14ac:dyDescent="0.3">
      <c r="A1627" s="26">
        <v>45330</v>
      </c>
      <c r="B1627" t="s">
        <v>977</v>
      </c>
      <c r="C1627" t="s">
        <v>771</v>
      </c>
      <c r="D1627">
        <v>0.5</v>
      </c>
      <c r="E1627" t="s">
        <v>7</v>
      </c>
      <c r="F1627" t="s">
        <v>772</v>
      </c>
      <c r="G1627" t="s">
        <v>820</v>
      </c>
      <c r="H1627" t="s">
        <v>30</v>
      </c>
      <c r="I1627" s="28" t="s">
        <v>27</v>
      </c>
    </row>
    <row r="1628" spans="1:9" x14ac:dyDescent="0.3">
      <c r="A1628" s="26">
        <v>45330</v>
      </c>
      <c r="B1628" t="s">
        <v>977</v>
      </c>
      <c r="C1628" t="s">
        <v>874</v>
      </c>
      <c r="D1628">
        <v>0.53</v>
      </c>
      <c r="E1628" t="s">
        <v>7</v>
      </c>
      <c r="F1628" t="s">
        <v>772</v>
      </c>
      <c r="G1628" t="s">
        <v>2079</v>
      </c>
      <c r="H1628" t="s">
        <v>30</v>
      </c>
      <c r="I1628" s="28" t="s">
        <v>27</v>
      </c>
    </row>
    <row r="1629" spans="1:9" x14ac:dyDescent="0.3">
      <c r="A1629" s="26">
        <v>45330</v>
      </c>
      <c r="B1629" t="s">
        <v>977</v>
      </c>
      <c r="C1629" t="s">
        <v>874</v>
      </c>
      <c r="D1629">
        <v>0.63</v>
      </c>
      <c r="E1629" t="s">
        <v>7</v>
      </c>
      <c r="F1629" t="s">
        <v>772</v>
      </c>
      <c r="G1629" t="s">
        <v>1090</v>
      </c>
      <c r="H1629" t="s">
        <v>30</v>
      </c>
      <c r="I1629" s="28" t="s">
        <v>27</v>
      </c>
    </row>
    <row r="1630" spans="1:9" x14ac:dyDescent="0.3">
      <c r="A1630" s="26">
        <v>45330</v>
      </c>
      <c r="B1630" t="s">
        <v>981</v>
      </c>
      <c r="C1630" t="s">
        <v>982</v>
      </c>
      <c r="D1630">
        <v>9</v>
      </c>
      <c r="E1630" t="s">
        <v>7</v>
      </c>
      <c r="F1630" t="s">
        <v>772</v>
      </c>
      <c r="G1630" t="s">
        <v>2080</v>
      </c>
      <c r="H1630" t="s">
        <v>30</v>
      </c>
      <c r="I1630" s="28" t="s">
        <v>27</v>
      </c>
    </row>
    <row r="1631" spans="1:9" x14ac:dyDescent="0.3">
      <c r="A1631" s="26">
        <v>45330</v>
      </c>
      <c r="B1631" t="s">
        <v>984</v>
      </c>
      <c r="C1631" t="s">
        <v>753</v>
      </c>
      <c r="D1631">
        <v>0.28000000000000003</v>
      </c>
      <c r="E1631" t="s">
        <v>602</v>
      </c>
      <c r="F1631" t="s">
        <v>754</v>
      </c>
      <c r="G1631" t="s">
        <v>2081</v>
      </c>
      <c r="H1631" t="s">
        <v>30</v>
      </c>
      <c r="I1631" s="28" t="s">
        <v>27</v>
      </c>
    </row>
    <row r="1632" spans="1:9" x14ac:dyDescent="0.3">
      <c r="A1632" s="26">
        <v>45330</v>
      </c>
      <c r="B1632" t="s">
        <v>984</v>
      </c>
      <c r="C1632" t="s">
        <v>753</v>
      </c>
      <c r="D1632">
        <v>1.65</v>
      </c>
      <c r="E1632" t="s">
        <v>985</v>
      </c>
      <c r="F1632" t="s">
        <v>754</v>
      </c>
      <c r="G1632" t="s">
        <v>2082</v>
      </c>
      <c r="H1632" t="s">
        <v>30</v>
      </c>
      <c r="I1632" s="28" t="s">
        <v>27</v>
      </c>
    </row>
    <row r="1633" spans="1:9" x14ac:dyDescent="0.3">
      <c r="A1633" s="26">
        <v>45330</v>
      </c>
      <c r="B1633" t="s">
        <v>984</v>
      </c>
      <c r="C1633" t="s">
        <v>753</v>
      </c>
      <c r="D1633">
        <v>3.4</v>
      </c>
      <c r="E1633" t="s">
        <v>13</v>
      </c>
      <c r="F1633" t="s">
        <v>754</v>
      </c>
      <c r="G1633" t="s">
        <v>2083</v>
      </c>
      <c r="H1633" t="s">
        <v>30</v>
      </c>
      <c r="I1633" s="28" t="s">
        <v>27</v>
      </c>
    </row>
    <row r="1634" spans="1:9" x14ac:dyDescent="0.3">
      <c r="A1634" s="26">
        <v>45330</v>
      </c>
      <c r="B1634" t="s">
        <v>984</v>
      </c>
      <c r="C1634" t="s">
        <v>771</v>
      </c>
      <c r="D1634">
        <v>0.13</v>
      </c>
      <c r="E1634" t="s">
        <v>7</v>
      </c>
      <c r="F1634" t="s">
        <v>772</v>
      </c>
      <c r="G1634" t="s">
        <v>2084</v>
      </c>
      <c r="H1634" t="s">
        <v>30</v>
      </c>
      <c r="I1634" s="28" t="s">
        <v>27</v>
      </c>
    </row>
    <row r="1635" spans="1:9" x14ac:dyDescent="0.3">
      <c r="A1635" s="26">
        <v>45330</v>
      </c>
      <c r="B1635" t="s">
        <v>984</v>
      </c>
      <c r="C1635" t="s">
        <v>771</v>
      </c>
      <c r="D1635">
        <v>1.1000000000000001</v>
      </c>
      <c r="E1635" t="s">
        <v>7</v>
      </c>
      <c r="F1635" t="s">
        <v>772</v>
      </c>
      <c r="H1635" t="s">
        <v>30</v>
      </c>
      <c r="I1635" s="28" t="s">
        <v>27</v>
      </c>
    </row>
    <row r="1636" spans="1:9" x14ac:dyDescent="0.3">
      <c r="A1636" s="26">
        <v>45330</v>
      </c>
      <c r="B1636" t="s">
        <v>984</v>
      </c>
      <c r="C1636" t="s">
        <v>874</v>
      </c>
      <c r="D1636">
        <v>1.45</v>
      </c>
      <c r="E1636" t="s">
        <v>7</v>
      </c>
      <c r="F1636" t="s">
        <v>772</v>
      </c>
      <c r="G1636" t="s">
        <v>2085</v>
      </c>
      <c r="H1636" t="s">
        <v>30</v>
      </c>
      <c r="I1636" s="28" t="s">
        <v>27</v>
      </c>
    </row>
    <row r="1637" spans="1:9" x14ac:dyDescent="0.3">
      <c r="A1637" s="26">
        <v>45330</v>
      </c>
      <c r="B1637" t="s">
        <v>991</v>
      </c>
      <c r="C1637" t="s">
        <v>992</v>
      </c>
      <c r="D1637">
        <v>0.88</v>
      </c>
      <c r="E1637" t="s">
        <v>7</v>
      </c>
      <c r="F1637" t="s">
        <v>772</v>
      </c>
      <c r="G1637" t="s">
        <v>2086</v>
      </c>
      <c r="H1637" t="s">
        <v>30</v>
      </c>
      <c r="I1637" s="28" t="s">
        <v>27</v>
      </c>
    </row>
    <row r="1638" spans="1:9" x14ac:dyDescent="0.3">
      <c r="A1638" s="26">
        <v>45330</v>
      </c>
      <c r="B1638" t="s">
        <v>991</v>
      </c>
      <c r="C1638" t="s">
        <v>992</v>
      </c>
      <c r="D1638">
        <v>0.98</v>
      </c>
      <c r="E1638" t="s">
        <v>999</v>
      </c>
      <c r="F1638" t="s">
        <v>772</v>
      </c>
      <c r="G1638" t="s">
        <v>2087</v>
      </c>
      <c r="H1638" t="s">
        <v>30</v>
      </c>
      <c r="I1638" s="28" t="s">
        <v>27</v>
      </c>
    </row>
    <row r="1639" spans="1:9" x14ac:dyDescent="0.3">
      <c r="A1639" s="26">
        <v>45330</v>
      </c>
      <c r="B1639" t="s">
        <v>991</v>
      </c>
      <c r="C1639" t="s">
        <v>992</v>
      </c>
      <c r="D1639">
        <v>2.75</v>
      </c>
      <c r="E1639" t="s">
        <v>7</v>
      </c>
      <c r="F1639" t="s">
        <v>772</v>
      </c>
      <c r="G1639" t="s">
        <v>2088</v>
      </c>
      <c r="H1639" t="s">
        <v>30</v>
      </c>
      <c r="I1639" s="28" t="s">
        <v>27</v>
      </c>
    </row>
    <row r="1640" spans="1:9" x14ac:dyDescent="0.3">
      <c r="A1640" s="26">
        <v>45330</v>
      </c>
      <c r="B1640" t="s">
        <v>991</v>
      </c>
      <c r="C1640" t="s">
        <v>1870</v>
      </c>
      <c r="D1640">
        <v>0.62</v>
      </c>
      <c r="E1640" t="s">
        <v>999</v>
      </c>
      <c r="F1640" t="s">
        <v>772</v>
      </c>
      <c r="G1640" t="s">
        <v>2089</v>
      </c>
      <c r="H1640" t="s">
        <v>30</v>
      </c>
      <c r="I1640" s="28" t="s">
        <v>27</v>
      </c>
    </row>
    <row r="1641" spans="1:9" x14ac:dyDescent="0.3">
      <c r="A1641" s="26">
        <v>45330</v>
      </c>
      <c r="B1641" t="s">
        <v>991</v>
      </c>
      <c r="C1641" t="s">
        <v>1870</v>
      </c>
      <c r="D1641">
        <v>0.83</v>
      </c>
      <c r="E1641" t="s">
        <v>999</v>
      </c>
      <c r="F1641" t="s">
        <v>772</v>
      </c>
      <c r="G1641" t="s">
        <v>2090</v>
      </c>
      <c r="H1641" t="s">
        <v>30</v>
      </c>
      <c r="I1641" s="28" t="s">
        <v>27</v>
      </c>
    </row>
    <row r="1642" spans="1:9" x14ac:dyDescent="0.3">
      <c r="A1642" s="26">
        <v>45330</v>
      </c>
      <c r="B1642" t="s">
        <v>991</v>
      </c>
      <c r="C1642" t="s">
        <v>771</v>
      </c>
      <c r="D1642">
        <v>0.55000000000000004</v>
      </c>
      <c r="E1642" t="s">
        <v>7</v>
      </c>
      <c r="F1642" t="s">
        <v>772</v>
      </c>
      <c r="G1642" t="s">
        <v>2091</v>
      </c>
      <c r="H1642" t="s">
        <v>30</v>
      </c>
      <c r="I1642" s="28" t="s">
        <v>27</v>
      </c>
    </row>
    <row r="1643" spans="1:9" x14ac:dyDescent="0.3">
      <c r="A1643" s="26">
        <v>45330</v>
      </c>
      <c r="B1643" t="s">
        <v>991</v>
      </c>
      <c r="C1643" t="s">
        <v>776</v>
      </c>
      <c r="D1643">
        <v>1.42</v>
      </c>
      <c r="E1643" t="s">
        <v>999</v>
      </c>
      <c r="F1643" t="s">
        <v>772</v>
      </c>
      <c r="G1643" t="s">
        <v>2092</v>
      </c>
      <c r="H1643" t="s">
        <v>30</v>
      </c>
      <c r="I1643" s="28" t="s">
        <v>27</v>
      </c>
    </row>
    <row r="1644" spans="1:9" x14ac:dyDescent="0.3">
      <c r="A1644" s="26">
        <v>45330</v>
      </c>
      <c r="B1644" t="s">
        <v>1002</v>
      </c>
      <c r="C1644" t="s">
        <v>1003</v>
      </c>
      <c r="D1644">
        <v>10</v>
      </c>
      <c r="E1644" t="s">
        <v>7</v>
      </c>
      <c r="F1644" t="s">
        <v>772</v>
      </c>
      <c r="G1644" t="s">
        <v>2093</v>
      </c>
      <c r="H1644" t="s">
        <v>30</v>
      </c>
      <c r="I1644" s="28" t="s">
        <v>27</v>
      </c>
    </row>
    <row r="1645" spans="1:9" x14ac:dyDescent="0.3">
      <c r="A1645" s="26">
        <v>45330</v>
      </c>
      <c r="B1645" t="s">
        <v>1005</v>
      </c>
      <c r="C1645" t="s">
        <v>753</v>
      </c>
      <c r="D1645">
        <v>0.25</v>
      </c>
      <c r="E1645" t="s">
        <v>1876</v>
      </c>
      <c r="F1645" t="s">
        <v>754</v>
      </c>
      <c r="H1645" t="s">
        <v>30</v>
      </c>
      <c r="I1645" s="28" t="s">
        <v>27</v>
      </c>
    </row>
    <row r="1646" spans="1:9" x14ac:dyDescent="0.3">
      <c r="A1646" s="26">
        <v>45330</v>
      </c>
      <c r="B1646" t="s">
        <v>1005</v>
      </c>
      <c r="C1646" t="s">
        <v>753</v>
      </c>
      <c r="D1646">
        <v>0.5</v>
      </c>
      <c r="E1646" t="s">
        <v>1438</v>
      </c>
      <c r="F1646" t="s">
        <v>754</v>
      </c>
      <c r="G1646" t="s">
        <v>2094</v>
      </c>
      <c r="H1646" t="s">
        <v>30</v>
      </c>
      <c r="I1646" s="28" t="s">
        <v>27</v>
      </c>
    </row>
    <row r="1647" spans="1:9" x14ac:dyDescent="0.3">
      <c r="A1647" s="26">
        <v>45330</v>
      </c>
      <c r="B1647" t="s">
        <v>1005</v>
      </c>
      <c r="C1647" t="s">
        <v>753</v>
      </c>
      <c r="D1647">
        <v>0.5</v>
      </c>
      <c r="E1647" t="s">
        <v>161</v>
      </c>
      <c r="F1647" t="s">
        <v>754</v>
      </c>
      <c r="H1647" t="s">
        <v>30</v>
      </c>
      <c r="I1647" s="28" t="s">
        <v>27</v>
      </c>
    </row>
    <row r="1648" spans="1:9" x14ac:dyDescent="0.3">
      <c r="A1648" s="26">
        <v>45330</v>
      </c>
      <c r="B1648" t="s">
        <v>1005</v>
      </c>
      <c r="C1648" t="s">
        <v>753</v>
      </c>
      <c r="D1648">
        <v>0.5</v>
      </c>
      <c r="E1648" t="s">
        <v>201</v>
      </c>
      <c r="F1648" t="s">
        <v>754</v>
      </c>
      <c r="H1648" t="s">
        <v>30</v>
      </c>
      <c r="I1648" s="28" t="s">
        <v>27</v>
      </c>
    </row>
    <row r="1649" spans="1:9" x14ac:dyDescent="0.3">
      <c r="A1649" s="26">
        <v>45330</v>
      </c>
      <c r="B1649" t="s">
        <v>1005</v>
      </c>
      <c r="C1649" t="s">
        <v>753</v>
      </c>
      <c r="D1649">
        <v>0.5</v>
      </c>
      <c r="E1649" t="s">
        <v>471</v>
      </c>
      <c r="F1649" t="s">
        <v>754</v>
      </c>
      <c r="H1649" t="s">
        <v>30</v>
      </c>
      <c r="I1649" s="28" t="s">
        <v>27</v>
      </c>
    </row>
    <row r="1650" spans="1:9" x14ac:dyDescent="0.3">
      <c r="A1650" s="26">
        <v>45330</v>
      </c>
      <c r="B1650" t="s">
        <v>1005</v>
      </c>
      <c r="C1650" t="s">
        <v>753</v>
      </c>
      <c r="D1650">
        <v>1</v>
      </c>
      <c r="E1650" t="s">
        <v>430</v>
      </c>
      <c r="F1650" t="s">
        <v>772</v>
      </c>
      <c r="G1650" t="s">
        <v>2095</v>
      </c>
      <c r="H1650" t="s">
        <v>30</v>
      </c>
      <c r="I1650" s="28" t="s">
        <v>27</v>
      </c>
    </row>
    <row r="1651" spans="1:9" x14ac:dyDescent="0.3">
      <c r="A1651" s="26">
        <v>45330</v>
      </c>
      <c r="B1651" t="s">
        <v>1005</v>
      </c>
      <c r="C1651" t="s">
        <v>2096</v>
      </c>
      <c r="D1651">
        <v>0.25</v>
      </c>
      <c r="E1651" t="s">
        <v>201</v>
      </c>
      <c r="F1651" t="s">
        <v>754</v>
      </c>
      <c r="H1651" t="s">
        <v>30</v>
      </c>
      <c r="I1651" s="28" t="s">
        <v>27</v>
      </c>
    </row>
    <row r="1652" spans="1:9" x14ac:dyDescent="0.3">
      <c r="A1652" s="26">
        <v>45330</v>
      </c>
      <c r="B1652" t="s">
        <v>1005</v>
      </c>
      <c r="C1652" t="s">
        <v>835</v>
      </c>
      <c r="D1652">
        <v>0.25</v>
      </c>
      <c r="E1652" t="s">
        <v>201</v>
      </c>
      <c r="F1652" t="s">
        <v>754</v>
      </c>
      <c r="G1652" t="s">
        <v>2097</v>
      </c>
      <c r="H1652" t="s">
        <v>30</v>
      </c>
      <c r="I1652" s="28" t="s">
        <v>27</v>
      </c>
    </row>
    <row r="1653" spans="1:9" x14ac:dyDescent="0.3">
      <c r="A1653" s="26">
        <v>45330</v>
      </c>
      <c r="B1653" t="s">
        <v>1005</v>
      </c>
      <c r="C1653" t="s">
        <v>835</v>
      </c>
      <c r="D1653">
        <v>1.5</v>
      </c>
      <c r="E1653" t="s">
        <v>201</v>
      </c>
      <c r="F1653" t="s">
        <v>754</v>
      </c>
      <c r="G1653" t="s">
        <v>2098</v>
      </c>
      <c r="H1653" t="s">
        <v>30</v>
      </c>
      <c r="I1653" s="28" t="s">
        <v>27</v>
      </c>
    </row>
    <row r="1654" spans="1:9" x14ac:dyDescent="0.3">
      <c r="A1654" s="26">
        <v>45330</v>
      </c>
      <c r="B1654" t="s">
        <v>1005</v>
      </c>
      <c r="C1654" t="s">
        <v>776</v>
      </c>
      <c r="D1654">
        <v>0.25</v>
      </c>
      <c r="E1654" t="s">
        <v>1438</v>
      </c>
      <c r="F1654" t="s">
        <v>754</v>
      </c>
      <c r="G1654" t="s">
        <v>2099</v>
      </c>
      <c r="H1654" t="s">
        <v>30</v>
      </c>
      <c r="I1654" s="28" t="s">
        <v>27</v>
      </c>
    </row>
    <row r="1655" spans="1:9" x14ac:dyDescent="0.3">
      <c r="A1655" s="26">
        <v>45330</v>
      </c>
      <c r="B1655" t="s">
        <v>1006</v>
      </c>
      <c r="C1655" t="s">
        <v>909</v>
      </c>
      <c r="D1655">
        <v>0.4</v>
      </c>
      <c r="E1655" t="s">
        <v>151</v>
      </c>
      <c r="F1655" t="s">
        <v>754</v>
      </c>
      <c r="G1655" t="s">
        <v>2100</v>
      </c>
      <c r="H1655" t="s">
        <v>30</v>
      </c>
      <c r="I1655" s="28" t="s">
        <v>27</v>
      </c>
    </row>
    <row r="1656" spans="1:9" x14ac:dyDescent="0.3">
      <c r="A1656" s="26">
        <v>45330</v>
      </c>
      <c r="B1656" t="s">
        <v>1006</v>
      </c>
      <c r="C1656" t="s">
        <v>909</v>
      </c>
      <c r="D1656">
        <v>0.87</v>
      </c>
      <c r="E1656" t="s">
        <v>757</v>
      </c>
      <c r="F1656" t="s">
        <v>772</v>
      </c>
      <c r="G1656" t="s">
        <v>2101</v>
      </c>
      <c r="H1656" t="s">
        <v>30</v>
      </c>
      <c r="I1656" s="28" t="s">
        <v>27</v>
      </c>
    </row>
    <row r="1657" spans="1:9" x14ac:dyDescent="0.3">
      <c r="A1657" s="26">
        <v>45330</v>
      </c>
      <c r="B1657" t="s">
        <v>1006</v>
      </c>
      <c r="C1657" t="s">
        <v>909</v>
      </c>
      <c r="D1657">
        <v>2.3199999999999998</v>
      </c>
      <c r="E1657" t="s">
        <v>757</v>
      </c>
      <c r="F1657" t="s">
        <v>754</v>
      </c>
      <c r="G1657" t="s">
        <v>2102</v>
      </c>
      <c r="H1657" t="s">
        <v>30</v>
      </c>
      <c r="I1657" s="28" t="s">
        <v>27</v>
      </c>
    </row>
    <row r="1658" spans="1:9" x14ac:dyDescent="0.3">
      <c r="A1658" s="26">
        <v>45330</v>
      </c>
      <c r="B1658" t="s">
        <v>1006</v>
      </c>
      <c r="C1658" t="s">
        <v>789</v>
      </c>
      <c r="D1658">
        <v>0.97</v>
      </c>
      <c r="E1658" t="s">
        <v>757</v>
      </c>
      <c r="F1658" t="s">
        <v>754</v>
      </c>
      <c r="G1658" t="s">
        <v>2103</v>
      </c>
      <c r="H1658" t="s">
        <v>30</v>
      </c>
      <c r="I1658" s="28" t="s">
        <v>27</v>
      </c>
    </row>
    <row r="1659" spans="1:9" x14ac:dyDescent="0.3">
      <c r="A1659" s="26">
        <v>45330</v>
      </c>
      <c r="B1659" t="s">
        <v>1006</v>
      </c>
      <c r="C1659" t="s">
        <v>771</v>
      </c>
      <c r="D1659">
        <v>0.95</v>
      </c>
      <c r="E1659" t="s">
        <v>7</v>
      </c>
      <c r="F1659" t="s">
        <v>772</v>
      </c>
      <c r="G1659" t="s">
        <v>1010</v>
      </c>
      <c r="H1659" t="s">
        <v>30</v>
      </c>
      <c r="I1659" s="28" t="s">
        <v>27</v>
      </c>
    </row>
    <row r="1660" spans="1:9" x14ac:dyDescent="0.3">
      <c r="A1660" s="26">
        <v>45330</v>
      </c>
      <c r="B1660" t="s">
        <v>1006</v>
      </c>
      <c r="C1660" t="s">
        <v>874</v>
      </c>
      <c r="D1660">
        <v>0.5</v>
      </c>
      <c r="E1660" t="s">
        <v>7</v>
      </c>
      <c r="F1660" t="s">
        <v>772</v>
      </c>
      <c r="G1660" t="s">
        <v>2104</v>
      </c>
      <c r="H1660" t="s">
        <v>30</v>
      </c>
      <c r="I1660" s="28" t="s">
        <v>27</v>
      </c>
    </row>
    <row r="1661" spans="1:9" x14ac:dyDescent="0.3">
      <c r="A1661" s="26">
        <v>45330</v>
      </c>
      <c r="B1661" t="s">
        <v>1011</v>
      </c>
      <c r="C1661" t="s">
        <v>753</v>
      </c>
      <c r="D1661">
        <v>0.48</v>
      </c>
      <c r="E1661" t="s">
        <v>1013</v>
      </c>
      <c r="F1661" t="s">
        <v>754</v>
      </c>
      <c r="H1661" t="s">
        <v>30</v>
      </c>
      <c r="I1661" s="28" t="s">
        <v>27</v>
      </c>
    </row>
    <row r="1662" spans="1:9" x14ac:dyDescent="0.3">
      <c r="A1662" s="26">
        <v>45330</v>
      </c>
      <c r="B1662" t="s">
        <v>1011</v>
      </c>
      <c r="C1662" t="s">
        <v>753</v>
      </c>
      <c r="D1662">
        <v>1.22</v>
      </c>
      <c r="E1662" t="s">
        <v>1013</v>
      </c>
      <c r="F1662" t="s">
        <v>754</v>
      </c>
      <c r="G1662" t="s">
        <v>2105</v>
      </c>
      <c r="H1662" t="s">
        <v>30</v>
      </c>
      <c r="I1662" s="28" t="s">
        <v>27</v>
      </c>
    </row>
    <row r="1663" spans="1:9" x14ac:dyDescent="0.3">
      <c r="A1663" s="26">
        <v>45330</v>
      </c>
      <c r="B1663" t="s">
        <v>1011</v>
      </c>
      <c r="C1663" t="s">
        <v>753</v>
      </c>
      <c r="D1663">
        <v>3.05</v>
      </c>
      <c r="E1663" t="s">
        <v>1013</v>
      </c>
      <c r="F1663" t="s">
        <v>754</v>
      </c>
      <c r="G1663" t="s">
        <v>2106</v>
      </c>
      <c r="H1663" t="s">
        <v>30</v>
      </c>
      <c r="I1663" s="28" t="s">
        <v>27</v>
      </c>
    </row>
    <row r="1664" spans="1:9" x14ac:dyDescent="0.3">
      <c r="A1664" s="26">
        <v>45330</v>
      </c>
      <c r="B1664" t="s">
        <v>1011</v>
      </c>
      <c r="C1664" t="s">
        <v>771</v>
      </c>
      <c r="D1664">
        <v>0.12</v>
      </c>
      <c r="E1664" t="s">
        <v>7</v>
      </c>
      <c r="F1664" t="s">
        <v>772</v>
      </c>
      <c r="G1664" t="s">
        <v>2107</v>
      </c>
      <c r="H1664" t="s">
        <v>30</v>
      </c>
      <c r="I1664" s="28" t="s">
        <v>27</v>
      </c>
    </row>
    <row r="1665" spans="1:9" x14ac:dyDescent="0.3">
      <c r="A1665" s="26">
        <v>45330</v>
      </c>
      <c r="B1665" t="s">
        <v>1011</v>
      </c>
      <c r="C1665" t="s">
        <v>771</v>
      </c>
      <c r="D1665">
        <v>0.32</v>
      </c>
      <c r="E1665" t="s">
        <v>7</v>
      </c>
      <c r="F1665" t="s">
        <v>772</v>
      </c>
      <c r="G1665" t="s">
        <v>2108</v>
      </c>
      <c r="H1665" t="s">
        <v>30</v>
      </c>
      <c r="I1665" s="28" t="s">
        <v>27</v>
      </c>
    </row>
    <row r="1666" spans="1:9" x14ac:dyDescent="0.3">
      <c r="A1666" s="26">
        <v>45330</v>
      </c>
      <c r="B1666" t="s">
        <v>1011</v>
      </c>
      <c r="C1666" t="s">
        <v>771</v>
      </c>
      <c r="D1666">
        <v>0.72</v>
      </c>
      <c r="E1666" t="s">
        <v>7</v>
      </c>
      <c r="F1666" t="s">
        <v>772</v>
      </c>
      <c r="G1666" t="s">
        <v>2109</v>
      </c>
      <c r="H1666" t="s">
        <v>30</v>
      </c>
      <c r="I1666" s="28" t="s">
        <v>27</v>
      </c>
    </row>
    <row r="1667" spans="1:9" x14ac:dyDescent="0.3">
      <c r="A1667" s="26">
        <v>45330</v>
      </c>
      <c r="B1667" t="s">
        <v>1011</v>
      </c>
      <c r="C1667" t="s">
        <v>874</v>
      </c>
      <c r="D1667">
        <v>0.53</v>
      </c>
      <c r="E1667" t="s">
        <v>7</v>
      </c>
      <c r="F1667" t="s">
        <v>772</v>
      </c>
      <c r="G1667" t="s">
        <v>1945</v>
      </c>
      <c r="H1667" t="s">
        <v>30</v>
      </c>
      <c r="I1667" s="28" t="s">
        <v>27</v>
      </c>
    </row>
    <row r="1668" spans="1:9" x14ac:dyDescent="0.3">
      <c r="A1668" s="26">
        <v>45330</v>
      </c>
      <c r="B1668" t="s">
        <v>1011</v>
      </c>
      <c r="C1668" t="s">
        <v>874</v>
      </c>
      <c r="D1668">
        <v>1.48</v>
      </c>
      <c r="E1668" t="s">
        <v>7</v>
      </c>
      <c r="F1668" t="s">
        <v>772</v>
      </c>
      <c r="G1668" t="s">
        <v>2110</v>
      </c>
      <c r="H1668" t="s">
        <v>30</v>
      </c>
      <c r="I1668" s="28" t="s">
        <v>27</v>
      </c>
    </row>
    <row r="1669" spans="1:9" x14ac:dyDescent="0.3">
      <c r="A1669" s="26">
        <v>45330</v>
      </c>
      <c r="B1669" t="s">
        <v>1020</v>
      </c>
      <c r="C1669" t="s">
        <v>771</v>
      </c>
      <c r="D1669">
        <v>0.3</v>
      </c>
      <c r="E1669" t="s">
        <v>7</v>
      </c>
      <c r="F1669" t="s">
        <v>772</v>
      </c>
      <c r="G1669" t="s">
        <v>1024</v>
      </c>
      <c r="H1669" t="s">
        <v>30</v>
      </c>
      <c r="I1669" s="28" t="s">
        <v>27</v>
      </c>
    </row>
    <row r="1670" spans="1:9" x14ac:dyDescent="0.3">
      <c r="A1670" s="26">
        <v>45330</v>
      </c>
      <c r="B1670" t="s">
        <v>1020</v>
      </c>
      <c r="C1670" t="s">
        <v>835</v>
      </c>
      <c r="D1670">
        <v>1.98</v>
      </c>
      <c r="E1670" t="s">
        <v>11</v>
      </c>
      <c r="F1670" t="s">
        <v>754</v>
      </c>
      <c r="H1670" t="s">
        <v>30</v>
      </c>
      <c r="I1670" s="28" t="s">
        <v>27</v>
      </c>
    </row>
    <row r="1671" spans="1:9" x14ac:dyDescent="0.3">
      <c r="A1671" s="26">
        <v>45330</v>
      </c>
      <c r="B1671" t="s">
        <v>1020</v>
      </c>
      <c r="C1671" t="s">
        <v>874</v>
      </c>
      <c r="D1671">
        <v>0.57999999999999996</v>
      </c>
      <c r="E1671" t="s">
        <v>7</v>
      </c>
      <c r="F1671" t="s">
        <v>772</v>
      </c>
      <c r="G1671" t="s">
        <v>1125</v>
      </c>
      <c r="H1671" t="s">
        <v>30</v>
      </c>
      <c r="I1671" s="28" t="s">
        <v>27</v>
      </c>
    </row>
    <row r="1672" spans="1:9" x14ac:dyDescent="0.3">
      <c r="A1672" s="26">
        <v>45330</v>
      </c>
      <c r="B1672" t="s">
        <v>1020</v>
      </c>
      <c r="C1672" t="s">
        <v>776</v>
      </c>
      <c r="D1672">
        <v>0.85</v>
      </c>
      <c r="E1672" t="s">
        <v>11</v>
      </c>
      <c r="F1672" t="s">
        <v>754</v>
      </c>
      <c r="G1672" t="s">
        <v>2111</v>
      </c>
      <c r="H1672" t="s">
        <v>30</v>
      </c>
      <c r="I1672" s="28" t="s">
        <v>27</v>
      </c>
    </row>
    <row r="1673" spans="1:9" x14ac:dyDescent="0.3">
      <c r="A1673" s="26">
        <v>45330</v>
      </c>
      <c r="B1673" t="s">
        <v>1020</v>
      </c>
      <c r="C1673" t="s">
        <v>776</v>
      </c>
      <c r="D1673">
        <v>5.87</v>
      </c>
      <c r="E1673" t="s">
        <v>11</v>
      </c>
      <c r="F1673" t="s">
        <v>754</v>
      </c>
      <c r="H1673" t="s">
        <v>30</v>
      </c>
      <c r="I1673" s="28" t="s">
        <v>27</v>
      </c>
    </row>
    <row r="1674" spans="1:9" x14ac:dyDescent="0.3">
      <c r="A1674" s="26">
        <v>45330</v>
      </c>
      <c r="B1674" t="s">
        <v>1026</v>
      </c>
      <c r="C1674" t="s">
        <v>771</v>
      </c>
      <c r="D1674">
        <v>0.12</v>
      </c>
      <c r="E1674" t="s">
        <v>7</v>
      </c>
      <c r="F1674" t="s">
        <v>772</v>
      </c>
      <c r="G1674" t="s">
        <v>2112</v>
      </c>
      <c r="H1674" t="s">
        <v>30</v>
      </c>
      <c r="I1674" s="28" t="s">
        <v>27</v>
      </c>
    </row>
    <row r="1675" spans="1:9" x14ac:dyDescent="0.3">
      <c r="A1675" s="26">
        <v>45330</v>
      </c>
      <c r="B1675" t="s">
        <v>1026</v>
      </c>
      <c r="C1675" t="s">
        <v>771</v>
      </c>
      <c r="D1675">
        <v>1.4</v>
      </c>
      <c r="E1675" t="s">
        <v>7</v>
      </c>
      <c r="F1675" t="s">
        <v>772</v>
      </c>
      <c r="G1675" t="s">
        <v>2113</v>
      </c>
      <c r="H1675" t="s">
        <v>30</v>
      </c>
      <c r="I1675" s="28" t="s">
        <v>27</v>
      </c>
    </row>
    <row r="1676" spans="1:9" x14ac:dyDescent="0.3">
      <c r="A1676" s="26">
        <v>45330</v>
      </c>
      <c r="B1676" t="s">
        <v>1026</v>
      </c>
      <c r="C1676" t="s">
        <v>771</v>
      </c>
      <c r="D1676">
        <v>1.6</v>
      </c>
      <c r="E1676" t="s">
        <v>7</v>
      </c>
      <c r="F1676" t="s">
        <v>772</v>
      </c>
      <c r="G1676" t="s">
        <v>2114</v>
      </c>
      <c r="H1676" t="s">
        <v>30</v>
      </c>
      <c r="I1676" s="28" t="s">
        <v>27</v>
      </c>
    </row>
    <row r="1677" spans="1:9" x14ac:dyDescent="0.3">
      <c r="A1677" s="26">
        <v>45330</v>
      </c>
      <c r="B1677" t="s">
        <v>1026</v>
      </c>
      <c r="C1677" t="s">
        <v>771</v>
      </c>
      <c r="D1677">
        <v>3.32</v>
      </c>
      <c r="E1677" t="s">
        <v>7</v>
      </c>
      <c r="F1677" t="s">
        <v>772</v>
      </c>
      <c r="G1677" t="s">
        <v>2115</v>
      </c>
      <c r="H1677" t="s">
        <v>30</v>
      </c>
      <c r="I1677" s="28" t="s">
        <v>27</v>
      </c>
    </row>
    <row r="1678" spans="1:9" x14ac:dyDescent="0.3">
      <c r="A1678" s="26">
        <v>45330</v>
      </c>
      <c r="B1678" t="s">
        <v>1026</v>
      </c>
      <c r="C1678" t="s">
        <v>874</v>
      </c>
      <c r="D1678">
        <v>0.5</v>
      </c>
      <c r="E1678" t="s">
        <v>7</v>
      </c>
      <c r="F1678" t="s">
        <v>772</v>
      </c>
      <c r="G1678" t="s">
        <v>2116</v>
      </c>
      <c r="H1678" t="s">
        <v>30</v>
      </c>
      <c r="I1678" s="28" t="s">
        <v>27</v>
      </c>
    </row>
    <row r="1679" spans="1:9" x14ac:dyDescent="0.3">
      <c r="A1679" s="26">
        <v>45330</v>
      </c>
      <c r="B1679" t="s">
        <v>1026</v>
      </c>
      <c r="C1679" t="s">
        <v>874</v>
      </c>
      <c r="D1679">
        <v>0.5</v>
      </c>
      <c r="E1679" t="s">
        <v>7</v>
      </c>
      <c r="F1679" t="s">
        <v>772</v>
      </c>
      <c r="G1679" t="s">
        <v>2117</v>
      </c>
      <c r="H1679" t="s">
        <v>30</v>
      </c>
      <c r="I1679" s="28" t="s">
        <v>27</v>
      </c>
    </row>
    <row r="1680" spans="1:9" x14ac:dyDescent="0.3">
      <c r="A1680" s="26">
        <v>45330</v>
      </c>
      <c r="B1680" t="s">
        <v>1026</v>
      </c>
      <c r="C1680" t="s">
        <v>874</v>
      </c>
      <c r="D1680">
        <v>0.75</v>
      </c>
      <c r="E1680" t="s">
        <v>7</v>
      </c>
      <c r="F1680" t="s">
        <v>772</v>
      </c>
      <c r="G1680" t="s">
        <v>2118</v>
      </c>
      <c r="H1680" t="s">
        <v>30</v>
      </c>
      <c r="I1680" s="28" t="s">
        <v>27</v>
      </c>
    </row>
    <row r="1681" spans="1:9" x14ac:dyDescent="0.3">
      <c r="A1681" s="26">
        <v>45330</v>
      </c>
      <c r="B1681" t="s">
        <v>1026</v>
      </c>
      <c r="C1681" t="s">
        <v>874</v>
      </c>
      <c r="D1681">
        <v>3.6</v>
      </c>
      <c r="E1681" t="s">
        <v>7</v>
      </c>
      <c r="F1681" t="s">
        <v>772</v>
      </c>
      <c r="G1681" t="s">
        <v>2119</v>
      </c>
      <c r="H1681" t="s">
        <v>30</v>
      </c>
      <c r="I1681" s="28" t="s">
        <v>27</v>
      </c>
    </row>
    <row r="1682" spans="1:9" x14ac:dyDescent="0.3">
      <c r="A1682" s="26">
        <v>45330</v>
      </c>
      <c r="B1682" t="s">
        <v>1032</v>
      </c>
      <c r="C1682" t="s">
        <v>753</v>
      </c>
      <c r="D1682">
        <v>1.1299999999999999</v>
      </c>
      <c r="E1682" t="s">
        <v>790</v>
      </c>
      <c r="F1682" t="s">
        <v>754</v>
      </c>
      <c r="G1682" t="s">
        <v>2120</v>
      </c>
      <c r="H1682" t="s">
        <v>30</v>
      </c>
      <c r="I1682" s="28" t="s">
        <v>27</v>
      </c>
    </row>
    <row r="1683" spans="1:9" x14ac:dyDescent="0.3">
      <c r="A1683" s="26">
        <v>45330</v>
      </c>
      <c r="B1683" t="s">
        <v>1032</v>
      </c>
      <c r="C1683" t="s">
        <v>753</v>
      </c>
      <c r="D1683">
        <v>6.35</v>
      </c>
      <c r="E1683" t="s">
        <v>790</v>
      </c>
      <c r="F1683" t="s">
        <v>754</v>
      </c>
      <c r="H1683" t="s">
        <v>30</v>
      </c>
      <c r="I1683" s="28" t="s">
        <v>27</v>
      </c>
    </row>
    <row r="1684" spans="1:9" x14ac:dyDescent="0.3">
      <c r="A1684" s="26">
        <v>45330</v>
      </c>
      <c r="B1684" t="s">
        <v>1032</v>
      </c>
      <c r="C1684" t="s">
        <v>874</v>
      </c>
      <c r="D1684">
        <v>0.63</v>
      </c>
      <c r="E1684" t="s">
        <v>7</v>
      </c>
      <c r="F1684" t="s">
        <v>772</v>
      </c>
      <c r="H1684" t="s">
        <v>30</v>
      </c>
      <c r="I1684" s="28" t="s">
        <v>27</v>
      </c>
    </row>
    <row r="1685" spans="1:9" x14ac:dyDescent="0.3">
      <c r="A1685" s="26">
        <v>45330</v>
      </c>
      <c r="B1685" t="s">
        <v>1034</v>
      </c>
      <c r="C1685" t="s">
        <v>753</v>
      </c>
      <c r="D1685">
        <v>0.52</v>
      </c>
      <c r="E1685" t="s">
        <v>170</v>
      </c>
      <c r="F1685" t="s">
        <v>754</v>
      </c>
      <c r="G1685" t="s">
        <v>2121</v>
      </c>
      <c r="H1685" t="s">
        <v>30</v>
      </c>
      <c r="I1685" s="28" t="s">
        <v>27</v>
      </c>
    </row>
    <row r="1686" spans="1:9" x14ac:dyDescent="0.3">
      <c r="A1686" s="26">
        <v>45330</v>
      </c>
      <c r="B1686" t="s">
        <v>1034</v>
      </c>
      <c r="C1686" t="s">
        <v>753</v>
      </c>
      <c r="D1686">
        <v>0.72</v>
      </c>
      <c r="E1686" t="s">
        <v>430</v>
      </c>
      <c r="F1686" t="s">
        <v>754</v>
      </c>
      <c r="G1686" t="s">
        <v>2122</v>
      </c>
      <c r="H1686" t="s">
        <v>30</v>
      </c>
      <c r="I1686" s="28" t="s">
        <v>27</v>
      </c>
    </row>
    <row r="1687" spans="1:9" x14ac:dyDescent="0.3">
      <c r="A1687" s="26">
        <v>45330</v>
      </c>
      <c r="B1687" t="s">
        <v>1034</v>
      </c>
      <c r="C1687" t="s">
        <v>753</v>
      </c>
      <c r="D1687">
        <v>0.82</v>
      </c>
      <c r="E1687" t="s">
        <v>978</v>
      </c>
      <c r="F1687" t="s">
        <v>754</v>
      </c>
      <c r="G1687" t="s">
        <v>2123</v>
      </c>
      <c r="H1687" t="s">
        <v>30</v>
      </c>
      <c r="I1687" s="28" t="s">
        <v>27</v>
      </c>
    </row>
    <row r="1688" spans="1:9" x14ac:dyDescent="0.3">
      <c r="A1688" s="26">
        <v>45330</v>
      </c>
      <c r="B1688" t="s">
        <v>1034</v>
      </c>
      <c r="C1688" t="s">
        <v>771</v>
      </c>
      <c r="D1688">
        <v>0.5</v>
      </c>
      <c r="E1688" t="s">
        <v>7</v>
      </c>
      <c r="F1688" t="s">
        <v>772</v>
      </c>
      <c r="G1688" t="s">
        <v>820</v>
      </c>
      <c r="H1688" t="s">
        <v>30</v>
      </c>
      <c r="I1688" s="28" t="s">
        <v>27</v>
      </c>
    </row>
    <row r="1689" spans="1:9" x14ac:dyDescent="0.3">
      <c r="A1689" s="26">
        <v>45330</v>
      </c>
      <c r="B1689" t="s">
        <v>1034</v>
      </c>
      <c r="C1689" t="s">
        <v>874</v>
      </c>
      <c r="D1689">
        <v>0.57999999999999996</v>
      </c>
      <c r="E1689" t="s">
        <v>7</v>
      </c>
      <c r="F1689" t="s">
        <v>772</v>
      </c>
      <c r="G1689" t="s">
        <v>2124</v>
      </c>
      <c r="H1689" t="s">
        <v>30</v>
      </c>
      <c r="I1689" s="28" t="s">
        <v>27</v>
      </c>
    </row>
    <row r="1690" spans="1:9" x14ac:dyDescent="0.3">
      <c r="A1690" s="26">
        <v>45330</v>
      </c>
      <c r="B1690" t="s">
        <v>1034</v>
      </c>
      <c r="C1690" t="s">
        <v>874</v>
      </c>
      <c r="D1690">
        <v>0.63</v>
      </c>
      <c r="E1690" t="s">
        <v>7</v>
      </c>
      <c r="F1690" t="s">
        <v>772</v>
      </c>
      <c r="G1690" t="s">
        <v>1210</v>
      </c>
      <c r="H1690" t="s">
        <v>30</v>
      </c>
      <c r="I1690" s="28" t="s">
        <v>27</v>
      </c>
    </row>
    <row r="1691" spans="1:9" x14ac:dyDescent="0.3">
      <c r="A1691" s="26">
        <v>45330</v>
      </c>
      <c r="B1691" t="s">
        <v>1034</v>
      </c>
      <c r="C1691" t="s">
        <v>776</v>
      </c>
      <c r="D1691">
        <v>7.0000000000000007E-2</v>
      </c>
      <c r="E1691" t="s">
        <v>288</v>
      </c>
      <c r="F1691" t="s">
        <v>754</v>
      </c>
      <c r="G1691" t="s">
        <v>2125</v>
      </c>
      <c r="H1691" t="s">
        <v>30</v>
      </c>
      <c r="I1691" s="28" t="s">
        <v>27</v>
      </c>
    </row>
    <row r="1692" spans="1:9" x14ac:dyDescent="0.3">
      <c r="A1692" s="26">
        <v>45330</v>
      </c>
      <c r="B1692" t="s">
        <v>1034</v>
      </c>
      <c r="C1692" t="s">
        <v>776</v>
      </c>
      <c r="D1692">
        <v>0.4</v>
      </c>
      <c r="E1692" t="s">
        <v>879</v>
      </c>
      <c r="F1692" t="s">
        <v>754</v>
      </c>
      <c r="G1692" t="s">
        <v>2126</v>
      </c>
      <c r="H1692" t="s">
        <v>30</v>
      </c>
      <c r="I1692" s="28" t="s">
        <v>27</v>
      </c>
    </row>
    <row r="1693" spans="1:9" x14ac:dyDescent="0.3">
      <c r="A1693" s="26">
        <v>45330</v>
      </c>
      <c r="B1693" t="s">
        <v>1034</v>
      </c>
      <c r="C1693" t="s">
        <v>776</v>
      </c>
      <c r="D1693">
        <v>0.43</v>
      </c>
      <c r="E1693" t="s">
        <v>879</v>
      </c>
      <c r="F1693" t="s">
        <v>754</v>
      </c>
      <c r="G1693" t="s">
        <v>2127</v>
      </c>
      <c r="H1693" t="s">
        <v>30</v>
      </c>
      <c r="I1693" s="28" t="s">
        <v>27</v>
      </c>
    </row>
    <row r="1694" spans="1:9" x14ac:dyDescent="0.3">
      <c r="A1694" s="26">
        <v>45330</v>
      </c>
      <c r="B1694" t="s">
        <v>1034</v>
      </c>
      <c r="C1694" t="s">
        <v>776</v>
      </c>
      <c r="D1694">
        <v>0.55000000000000004</v>
      </c>
      <c r="E1694" t="s">
        <v>790</v>
      </c>
      <c r="F1694" t="s">
        <v>754</v>
      </c>
      <c r="G1694" t="s">
        <v>2128</v>
      </c>
      <c r="H1694" t="s">
        <v>30</v>
      </c>
      <c r="I1694" s="28" t="s">
        <v>27</v>
      </c>
    </row>
    <row r="1695" spans="1:9" x14ac:dyDescent="0.3">
      <c r="A1695" s="26">
        <v>45330</v>
      </c>
      <c r="B1695" t="s">
        <v>1034</v>
      </c>
      <c r="C1695" t="s">
        <v>776</v>
      </c>
      <c r="D1695">
        <v>2.92</v>
      </c>
      <c r="E1695" t="s">
        <v>790</v>
      </c>
      <c r="F1695" t="s">
        <v>754</v>
      </c>
      <c r="G1695" t="s">
        <v>1040</v>
      </c>
      <c r="H1695" t="s">
        <v>30</v>
      </c>
      <c r="I1695" s="28" t="s">
        <v>27</v>
      </c>
    </row>
    <row r="1696" spans="1:9" x14ac:dyDescent="0.3">
      <c r="A1696" s="26">
        <v>45330</v>
      </c>
      <c r="B1696" t="s">
        <v>1043</v>
      </c>
      <c r="C1696" t="s">
        <v>919</v>
      </c>
      <c r="D1696">
        <v>0.25</v>
      </c>
      <c r="E1696" t="s">
        <v>161</v>
      </c>
      <c r="F1696" t="s">
        <v>754</v>
      </c>
      <c r="G1696" t="s">
        <v>2129</v>
      </c>
      <c r="H1696" t="s">
        <v>30</v>
      </c>
      <c r="I1696" s="28" t="s">
        <v>27</v>
      </c>
    </row>
    <row r="1697" spans="1:9" x14ac:dyDescent="0.3">
      <c r="A1697" s="26">
        <v>45330</v>
      </c>
      <c r="B1697" t="s">
        <v>1043</v>
      </c>
      <c r="C1697" t="s">
        <v>954</v>
      </c>
      <c r="D1697">
        <v>0.12</v>
      </c>
      <c r="E1697" t="s">
        <v>7</v>
      </c>
      <c r="F1697" t="s">
        <v>772</v>
      </c>
      <c r="G1697" t="s">
        <v>2130</v>
      </c>
      <c r="H1697" t="s">
        <v>30</v>
      </c>
      <c r="I1697" s="28" t="s">
        <v>27</v>
      </c>
    </row>
    <row r="1698" spans="1:9" x14ac:dyDescent="0.3">
      <c r="A1698" s="26">
        <v>45330</v>
      </c>
      <c r="B1698" t="s">
        <v>1049</v>
      </c>
      <c r="C1698" t="s">
        <v>753</v>
      </c>
      <c r="D1698">
        <v>0.25</v>
      </c>
      <c r="E1698" t="s">
        <v>10</v>
      </c>
      <c r="F1698" t="s">
        <v>754</v>
      </c>
      <c r="G1698" t="s">
        <v>2131</v>
      </c>
      <c r="H1698" t="s">
        <v>30</v>
      </c>
      <c r="I1698" s="28" t="s">
        <v>27</v>
      </c>
    </row>
    <row r="1699" spans="1:9" x14ac:dyDescent="0.3">
      <c r="A1699" s="26">
        <v>45330</v>
      </c>
      <c r="B1699" t="s">
        <v>1049</v>
      </c>
      <c r="C1699" t="s">
        <v>753</v>
      </c>
      <c r="D1699">
        <v>0.6</v>
      </c>
      <c r="E1699" t="s">
        <v>10</v>
      </c>
      <c r="F1699" t="s">
        <v>754</v>
      </c>
      <c r="G1699" t="s">
        <v>1052</v>
      </c>
      <c r="H1699" t="s">
        <v>30</v>
      </c>
      <c r="I1699" s="28" t="s">
        <v>27</v>
      </c>
    </row>
    <row r="1700" spans="1:9" x14ac:dyDescent="0.3">
      <c r="A1700" s="26">
        <v>45330</v>
      </c>
      <c r="B1700" t="s">
        <v>1049</v>
      </c>
      <c r="C1700" t="s">
        <v>753</v>
      </c>
      <c r="D1700">
        <v>0.75</v>
      </c>
      <c r="E1700" t="s">
        <v>964</v>
      </c>
      <c r="F1700" t="s">
        <v>754</v>
      </c>
      <c r="G1700" t="s">
        <v>2132</v>
      </c>
      <c r="H1700" t="s">
        <v>30</v>
      </c>
      <c r="I1700" s="28" t="s">
        <v>27</v>
      </c>
    </row>
    <row r="1701" spans="1:9" x14ac:dyDescent="0.3">
      <c r="A1701" s="26">
        <v>45330</v>
      </c>
      <c r="B1701" t="s">
        <v>1049</v>
      </c>
      <c r="C1701" t="s">
        <v>753</v>
      </c>
      <c r="D1701">
        <v>0.93</v>
      </c>
      <c r="E1701" t="s">
        <v>316</v>
      </c>
      <c r="F1701" t="s">
        <v>754</v>
      </c>
      <c r="G1701" t="s">
        <v>2133</v>
      </c>
      <c r="H1701" t="s">
        <v>30</v>
      </c>
      <c r="I1701" s="28" t="s">
        <v>27</v>
      </c>
    </row>
    <row r="1702" spans="1:9" x14ac:dyDescent="0.3">
      <c r="A1702" s="26">
        <v>45330</v>
      </c>
      <c r="B1702" t="s">
        <v>1049</v>
      </c>
      <c r="C1702" t="s">
        <v>753</v>
      </c>
      <c r="D1702">
        <v>1.1200000000000001</v>
      </c>
      <c r="E1702" t="s">
        <v>316</v>
      </c>
      <c r="F1702" t="s">
        <v>754</v>
      </c>
      <c r="G1702" t="s">
        <v>2134</v>
      </c>
      <c r="H1702" t="s">
        <v>30</v>
      </c>
      <c r="I1702" s="28" t="s">
        <v>27</v>
      </c>
    </row>
    <row r="1703" spans="1:9" x14ac:dyDescent="0.3">
      <c r="A1703" s="26">
        <v>45330</v>
      </c>
      <c r="B1703" t="s">
        <v>1049</v>
      </c>
      <c r="C1703" t="s">
        <v>771</v>
      </c>
      <c r="D1703">
        <v>0.5</v>
      </c>
      <c r="E1703" t="s">
        <v>7</v>
      </c>
      <c r="F1703" t="s">
        <v>772</v>
      </c>
      <c r="G1703" t="s">
        <v>1058</v>
      </c>
      <c r="H1703" t="s">
        <v>30</v>
      </c>
      <c r="I1703" s="28" t="s">
        <v>27</v>
      </c>
    </row>
    <row r="1704" spans="1:9" x14ac:dyDescent="0.3">
      <c r="A1704" s="26">
        <v>45330</v>
      </c>
      <c r="B1704" t="s">
        <v>1049</v>
      </c>
      <c r="C1704" t="s">
        <v>835</v>
      </c>
      <c r="D1704">
        <v>1.73</v>
      </c>
      <c r="E1704" t="s">
        <v>507</v>
      </c>
      <c r="F1704" t="s">
        <v>754</v>
      </c>
      <c r="G1704" t="s">
        <v>2135</v>
      </c>
      <c r="H1704" t="s">
        <v>30</v>
      </c>
      <c r="I1704" s="28" t="s">
        <v>27</v>
      </c>
    </row>
    <row r="1705" spans="1:9" x14ac:dyDescent="0.3">
      <c r="A1705" s="26">
        <v>45330</v>
      </c>
      <c r="B1705" t="s">
        <v>1049</v>
      </c>
      <c r="C1705" t="s">
        <v>874</v>
      </c>
      <c r="D1705">
        <v>0.6</v>
      </c>
      <c r="E1705" t="s">
        <v>7</v>
      </c>
      <c r="F1705" t="s">
        <v>772</v>
      </c>
      <c r="G1705" t="s">
        <v>2136</v>
      </c>
      <c r="H1705" t="s">
        <v>30</v>
      </c>
      <c r="I1705" s="28" t="s">
        <v>27</v>
      </c>
    </row>
    <row r="1706" spans="1:9" x14ac:dyDescent="0.3">
      <c r="A1706" s="26">
        <v>45330</v>
      </c>
      <c r="B1706" t="s">
        <v>1049</v>
      </c>
      <c r="C1706" t="s">
        <v>874</v>
      </c>
      <c r="D1706">
        <v>0.67</v>
      </c>
      <c r="E1706" t="s">
        <v>7</v>
      </c>
      <c r="F1706" t="s">
        <v>772</v>
      </c>
      <c r="G1706" t="s">
        <v>2137</v>
      </c>
      <c r="H1706" t="s">
        <v>30</v>
      </c>
      <c r="I1706" s="28" t="s">
        <v>27</v>
      </c>
    </row>
    <row r="1707" spans="1:9" x14ac:dyDescent="0.3">
      <c r="A1707" s="26">
        <v>45330</v>
      </c>
      <c r="B1707" t="s">
        <v>1049</v>
      </c>
      <c r="C1707" t="s">
        <v>776</v>
      </c>
      <c r="D1707">
        <v>0.85</v>
      </c>
      <c r="E1707" t="s">
        <v>813</v>
      </c>
      <c r="F1707" t="s">
        <v>754</v>
      </c>
      <c r="G1707" t="s">
        <v>2138</v>
      </c>
      <c r="H1707" t="s">
        <v>30</v>
      </c>
      <c r="I1707" s="28" t="s">
        <v>27</v>
      </c>
    </row>
    <row r="1708" spans="1:9" x14ac:dyDescent="0.3">
      <c r="A1708" s="26">
        <v>45330</v>
      </c>
      <c r="B1708" t="s">
        <v>1060</v>
      </c>
      <c r="C1708" t="s">
        <v>909</v>
      </c>
      <c r="D1708">
        <v>0.5</v>
      </c>
      <c r="E1708" t="s">
        <v>717</v>
      </c>
      <c r="F1708" t="s">
        <v>754</v>
      </c>
      <c r="G1708" t="s">
        <v>2139</v>
      </c>
      <c r="H1708" t="s">
        <v>30</v>
      </c>
      <c r="I1708" s="28" t="s">
        <v>27</v>
      </c>
    </row>
    <row r="1709" spans="1:9" x14ac:dyDescent="0.3">
      <c r="A1709" s="26">
        <v>45330</v>
      </c>
      <c r="B1709" t="s">
        <v>1060</v>
      </c>
      <c r="C1709" t="s">
        <v>909</v>
      </c>
      <c r="D1709">
        <v>1</v>
      </c>
      <c r="E1709" t="s">
        <v>201</v>
      </c>
      <c r="F1709" t="s">
        <v>754</v>
      </c>
      <c r="G1709" t="s">
        <v>2140</v>
      </c>
      <c r="H1709" t="s">
        <v>30</v>
      </c>
      <c r="I1709" s="28" t="s">
        <v>27</v>
      </c>
    </row>
    <row r="1710" spans="1:9" x14ac:dyDescent="0.3">
      <c r="A1710" s="26">
        <v>45330</v>
      </c>
      <c r="B1710" t="s">
        <v>1060</v>
      </c>
      <c r="C1710" t="s">
        <v>771</v>
      </c>
      <c r="D1710">
        <v>0.75</v>
      </c>
      <c r="E1710" t="s">
        <v>7</v>
      </c>
      <c r="F1710" t="s">
        <v>772</v>
      </c>
      <c r="G1710" t="s">
        <v>2141</v>
      </c>
      <c r="H1710" t="s">
        <v>30</v>
      </c>
      <c r="I1710" s="28" t="s">
        <v>27</v>
      </c>
    </row>
    <row r="1711" spans="1:9" x14ac:dyDescent="0.3">
      <c r="A1711" s="26">
        <v>45330</v>
      </c>
      <c r="B1711" t="s">
        <v>1060</v>
      </c>
      <c r="C1711" t="s">
        <v>1441</v>
      </c>
      <c r="D1711">
        <v>0.17</v>
      </c>
      <c r="E1711" t="s">
        <v>715</v>
      </c>
      <c r="F1711" t="s">
        <v>754</v>
      </c>
      <c r="G1711" t="s">
        <v>1927</v>
      </c>
      <c r="H1711" t="s">
        <v>30</v>
      </c>
      <c r="I1711" s="28" t="s">
        <v>27</v>
      </c>
    </row>
    <row r="1712" spans="1:9" x14ac:dyDescent="0.3">
      <c r="A1712" s="26">
        <v>45330</v>
      </c>
      <c r="B1712" t="s">
        <v>1060</v>
      </c>
      <c r="C1712" t="s">
        <v>1441</v>
      </c>
      <c r="D1712">
        <v>0.17</v>
      </c>
      <c r="E1712" t="s">
        <v>964</v>
      </c>
      <c r="F1712" t="s">
        <v>754</v>
      </c>
      <c r="G1712" t="s">
        <v>1927</v>
      </c>
      <c r="H1712" t="s">
        <v>30</v>
      </c>
      <c r="I1712" s="28" t="s">
        <v>27</v>
      </c>
    </row>
    <row r="1713" spans="1:9" x14ac:dyDescent="0.3">
      <c r="A1713" s="26">
        <v>45330</v>
      </c>
      <c r="B1713" t="s">
        <v>1060</v>
      </c>
      <c r="C1713" t="s">
        <v>1441</v>
      </c>
      <c r="D1713">
        <v>0.17</v>
      </c>
      <c r="E1713" t="s">
        <v>1709</v>
      </c>
      <c r="F1713" t="s">
        <v>754</v>
      </c>
      <c r="G1713" t="s">
        <v>1927</v>
      </c>
      <c r="H1713" t="s">
        <v>30</v>
      </c>
      <c r="I1713" s="28" t="s">
        <v>27</v>
      </c>
    </row>
    <row r="1714" spans="1:9" x14ac:dyDescent="0.3">
      <c r="A1714" s="26">
        <v>45330</v>
      </c>
      <c r="B1714" t="s">
        <v>1060</v>
      </c>
      <c r="C1714" t="s">
        <v>1441</v>
      </c>
      <c r="D1714">
        <v>0.17</v>
      </c>
      <c r="E1714" t="s">
        <v>1096</v>
      </c>
      <c r="F1714" t="s">
        <v>754</v>
      </c>
      <c r="G1714" t="s">
        <v>1927</v>
      </c>
      <c r="H1714" t="s">
        <v>30</v>
      </c>
      <c r="I1714" s="28" t="s">
        <v>27</v>
      </c>
    </row>
    <row r="1715" spans="1:9" x14ac:dyDescent="0.3">
      <c r="A1715" s="26">
        <v>45330</v>
      </c>
      <c r="B1715" t="s">
        <v>1060</v>
      </c>
      <c r="C1715" t="s">
        <v>1441</v>
      </c>
      <c r="D1715">
        <v>0.17</v>
      </c>
      <c r="E1715" t="s">
        <v>161</v>
      </c>
      <c r="F1715" t="s">
        <v>754</v>
      </c>
      <c r="G1715" t="s">
        <v>1927</v>
      </c>
      <c r="H1715" t="s">
        <v>30</v>
      </c>
      <c r="I1715" s="28" t="s">
        <v>27</v>
      </c>
    </row>
    <row r="1716" spans="1:9" x14ac:dyDescent="0.3">
      <c r="A1716" s="26">
        <v>45330</v>
      </c>
      <c r="B1716" t="s">
        <v>1060</v>
      </c>
      <c r="C1716" t="s">
        <v>1441</v>
      </c>
      <c r="D1716">
        <v>0.17</v>
      </c>
      <c r="E1716" t="s">
        <v>173</v>
      </c>
      <c r="F1716" t="s">
        <v>754</v>
      </c>
      <c r="G1716" t="s">
        <v>1927</v>
      </c>
      <c r="H1716" t="s">
        <v>30</v>
      </c>
      <c r="I1716" s="28" t="s">
        <v>27</v>
      </c>
    </row>
    <row r="1717" spans="1:9" x14ac:dyDescent="0.3">
      <c r="A1717" s="26">
        <v>45330</v>
      </c>
      <c r="B1717" t="s">
        <v>1060</v>
      </c>
      <c r="C1717" t="s">
        <v>1441</v>
      </c>
      <c r="D1717">
        <v>0.17</v>
      </c>
      <c r="E1717" t="s">
        <v>7</v>
      </c>
      <c r="F1717" t="s">
        <v>772</v>
      </c>
      <c r="G1717" t="s">
        <v>1927</v>
      </c>
      <c r="H1717" t="s">
        <v>30</v>
      </c>
      <c r="I1717" s="28" t="s">
        <v>27</v>
      </c>
    </row>
    <row r="1718" spans="1:9" x14ac:dyDescent="0.3">
      <c r="A1718" s="26">
        <v>45330</v>
      </c>
      <c r="B1718" t="s">
        <v>1060</v>
      </c>
      <c r="C1718" t="s">
        <v>1441</v>
      </c>
      <c r="D1718">
        <v>0.17</v>
      </c>
      <c r="E1718" t="s">
        <v>234</v>
      </c>
      <c r="F1718" t="s">
        <v>754</v>
      </c>
      <c r="G1718" t="s">
        <v>1927</v>
      </c>
      <c r="H1718" t="s">
        <v>30</v>
      </c>
      <c r="I1718" s="28" t="s">
        <v>27</v>
      </c>
    </row>
    <row r="1719" spans="1:9" x14ac:dyDescent="0.3">
      <c r="A1719" s="26">
        <v>45330</v>
      </c>
      <c r="B1719" t="s">
        <v>1060</v>
      </c>
      <c r="C1719" t="s">
        <v>1441</v>
      </c>
      <c r="D1719">
        <v>0.17</v>
      </c>
      <c r="E1719" t="s">
        <v>237</v>
      </c>
      <c r="F1719" t="s">
        <v>754</v>
      </c>
      <c r="G1719" t="s">
        <v>1927</v>
      </c>
      <c r="H1719" t="s">
        <v>30</v>
      </c>
      <c r="I1719" s="28" t="s">
        <v>27</v>
      </c>
    </row>
    <row r="1720" spans="1:9" x14ac:dyDescent="0.3">
      <c r="A1720" s="26">
        <v>45330</v>
      </c>
      <c r="B1720" t="s">
        <v>1060</v>
      </c>
      <c r="C1720" t="s">
        <v>1441</v>
      </c>
      <c r="D1720">
        <v>0.17</v>
      </c>
      <c r="E1720" t="s">
        <v>857</v>
      </c>
      <c r="F1720" t="s">
        <v>754</v>
      </c>
      <c r="G1720" t="s">
        <v>1927</v>
      </c>
      <c r="H1720" t="s">
        <v>30</v>
      </c>
      <c r="I1720" s="28" t="s">
        <v>27</v>
      </c>
    </row>
    <row r="1721" spans="1:9" x14ac:dyDescent="0.3">
      <c r="A1721" s="26">
        <v>45330</v>
      </c>
      <c r="B1721" t="s">
        <v>1060</v>
      </c>
      <c r="C1721" t="s">
        <v>1441</v>
      </c>
      <c r="D1721">
        <v>0.17</v>
      </c>
      <c r="E1721" t="s">
        <v>316</v>
      </c>
      <c r="F1721" t="s">
        <v>754</v>
      </c>
      <c r="G1721" t="s">
        <v>1927</v>
      </c>
      <c r="H1721" t="s">
        <v>30</v>
      </c>
      <c r="I1721" s="28" t="s">
        <v>27</v>
      </c>
    </row>
    <row r="1722" spans="1:9" x14ac:dyDescent="0.3">
      <c r="A1722" s="26">
        <v>45330</v>
      </c>
      <c r="B1722" t="s">
        <v>1060</v>
      </c>
      <c r="C1722" t="s">
        <v>1441</v>
      </c>
      <c r="D1722">
        <v>0.17</v>
      </c>
      <c r="E1722" t="s">
        <v>375</v>
      </c>
      <c r="F1722" t="s">
        <v>754</v>
      </c>
      <c r="G1722" t="s">
        <v>1927</v>
      </c>
      <c r="H1722" t="s">
        <v>30</v>
      </c>
      <c r="I1722" s="28" t="s">
        <v>27</v>
      </c>
    </row>
    <row r="1723" spans="1:9" x14ac:dyDescent="0.3">
      <c r="A1723" s="26">
        <v>45330</v>
      </c>
      <c r="B1723" t="s">
        <v>1060</v>
      </c>
      <c r="C1723" t="s">
        <v>1441</v>
      </c>
      <c r="D1723">
        <v>0.17</v>
      </c>
      <c r="E1723" t="s">
        <v>1273</v>
      </c>
      <c r="F1723" t="s">
        <v>754</v>
      </c>
      <c r="G1723" t="s">
        <v>1927</v>
      </c>
      <c r="H1723" t="s">
        <v>30</v>
      </c>
      <c r="I1723" s="28" t="s">
        <v>27</v>
      </c>
    </row>
    <row r="1724" spans="1:9" x14ac:dyDescent="0.3">
      <c r="A1724" s="26">
        <v>45330</v>
      </c>
      <c r="B1724" t="s">
        <v>1060</v>
      </c>
      <c r="C1724" t="s">
        <v>1441</v>
      </c>
      <c r="D1724">
        <v>0.17</v>
      </c>
      <c r="E1724" t="s">
        <v>479</v>
      </c>
      <c r="F1724" t="s">
        <v>754</v>
      </c>
      <c r="G1724" t="s">
        <v>1927</v>
      </c>
      <c r="H1724" t="s">
        <v>30</v>
      </c>
      <c r="I1724" s="28" t="s">
        <v>27</v>
      </c>
    </row>
    <row r="1725" spans="1:9" x14ac:dyDescent="0.3">
      <c r="A1725" s="26">
        <v>45330</v>
      </c>
      <c r="B1725" t="s">
        <v>1060</v>
      </c>
      <c r="C1725" t="s">
        <v>1441</v>
      </c>
      <c r="D1725">
        <v>0.17</v>
      </c>
      <c r="E1725" t="s">
        <v>814</v>
      </c>
      <c r="F1725" t="s">
        <v>754</v>
      </c>
      <c r="G1725" t="s">
        <v>1927</v>
      </c>
      <c r="H1725" t="s">
        <v>30</v>
      </c>
      <c r="I1725" s="28" t="s">
        <v>27</v>
      </c>
    </row>
    <row r="1726" spans="1:9" x14ac:dyDescent="0.3">
      <c r="A1726" s="26">
        <v>45330</v>
      </c>
      <c r="B1726" t="s">
        <v>1060</v>
      </c>
      <c r="C1726" t="s">
        <v>1441</v>
      </c>
      <c r="D1726">
        <v>0.17</v>
      </c>
      <c r="E1726" t="s">
        <v>815</v>
      </c>
      <c r="F1726" t="s">
        <v>754</v>
      </c>
      <c r="G1726" t="s">
        <v>1927</v>
      </c>
      <c r="H1726" t="s">
        <v>30</v>
      </c>
      <c r="I1726" s="28" t="s">
        <v>27</v>
      </c>
    </row>
    <row r="1727" spans="1:9" x14ac:dyDescent="0.3">
      <c r="A1727" s="26">
        <v>45330</v>
      </c>
      <c r="B1727" t="s">
        <v>1060</v>
      </c>
      <c r="C1727" t="s">
        <v>1441</v>
      </c>
      <c r="D1727">
        <v>0.17</v>
      </c>
      <c r="E1727" t="s">
        <v>811</v>
      </c>
      <c r="F1727" t="s">
        <v>754</v>
      </c>
      <c r="G1727" t="s">
        <v>1927</v>
      </c>
      <c r="H1727" t="s">
        <v>30</v>
      </c>
      <c r="I1727" s="28" t="s">
        <v>27</v>
      </c>
    </row>
    <row r="1728" spans="1:9" x14ac:dyDescent="0.3">
      <c r="A1728" s="26">
        <v>45330</v>
      </c>
      <c r="B1728" t="s">
        <v>1060</v>
      </c>
      <c r="C1728" t="s">
        <v>1441</v>
      </c>
      <c r="D1728">
        <v>0.17</v>
      </c>
      <c r="E1728" t="s">
        <v>813</v>
      </c>
      <c r="F1728" t="s">
        <v>754</v>
      </c>
      <c r="G1728" t="s">
        <v>1927</v>
      </c>
      <c r="H1728" t="s">
        <v>30</v>
      </c>
      <c r="I1728" s="28" t="s">
        <v>27</v>
      </c>
    </row>
    <row r="1729" spans="1:9" x14ac:dyDescent="0.3">
      <c r="A1729" s="26">
        <v>45330</v>
      </c>
      <c r="B1729" t="s">
        <v>1060</v>
      </c>
      <c r="C1729" t="s">
        <v>1441</v>
      </c>
      <c r="D1729">
        <v>0.17</v>
      </c>
      <c r="E1729" t="s">
        <v>1069</v>
      </c>
      <c r="F1729" t="s">
        <v>754</v>
      </c>
      <c r="G1729" t="s">
        <v>1927</v>
      </c>
      <c r="H1729" t="s">
        <v>30</v>
      </c>
      <c r="I1729" s="28" t="s">
        <v>27</v>
      </c>
    </row>
    <row r="1730" spans="1:9" x14ac:dyDescent="0.3">
      <c r="A1730" s="26">
        <v>45330</v>
      </c>
      <c r="B1730" t="s">
        <v>1060</v>
      </c>
      <c r="C1730" t="s">
        <v>1441</v>
      </c>
      <c r="D1730">
        <v>0.17</v>
      </c>
      <c r="E1730" t="s">
        <v>985</v>
      </c>
      <c r="F1730" t="s">
        <v>754</v>
      </c>
      <c r="G1730" t="s">
        <v>1927</v>
      </c>
      <c r="H1730" t="s">
        <v>30</v>
      </c>
      <c r="I1730" s="28" t="s">
        <v>27</v>
      </c>
    </row>
    <row r="1731" spans="1:9" x14ac:dyDescent="0.3">
      <c r="A1731" s="26">
        <v>45330</v>
      </c>
      <c r="B1731" t="s">
        <v>1060</v>
      </c>
      <c r="C1731" t="s">
        <v>1441</v>
      </c>
      <c r="D1731">
        <v>0.17</v>
      </c>
      <c r="E1731" t="s">
        <v>519</v>
      </c>
      <c r="F1731" t="s">
        <v>754</v>
      </c>
      <c r="G1731" t="s">
        <v>1927</v>
      </c>
      <c r="H1731" t="s">
        <v>30</v>
      </c>
      <c r="I1731" s="28" t="s">
        <v>27</v>
      </c>
    </row>
    <row r="1732" spans="1:9" x14ac:dyDescent="0.3">
      <c r="A1732" s="26">
        <v>45330</v>
      </c>
      <c r="B1732" t="s">
        <v>1060</v>
      </c>
      <c r="C1732" t="s">
        <v>1441</v>
      </c>
      <c r="D1732">
        <v>0.17</v>
      </c>
      <c r="E1732" t="s">
        <v>885</v>
      </c>
      <c r="F1732" t="s">
        <v>754</v>
      </c>
      <c r="G1732" t="s">
        <v>1927</v>
      </c>
      <c r="H1732" t="s">
        <v>30</v>
      </c>
      <c r="I1732" s="28" t="s">
        <v>27</v>
      </c>
    </row>
    <row r="1733" spans="1:9" x14ac:dyDescent="0.3">
      <c r="A1733" s="26">
        <v>45330</v>
      </c>
      <c r="B1733" t="s">
        <v>1060</v>
      </c>
      <c r="C1733" t="s">
        <v>1441</v>
      </c>
      <c r="D1733">
        <v>0.17</v>
      </c>
      <c r="E1733" t="s">
        <v>910</v>
      </c>
      <c r="F1733" t="s">
        <v>754</v>
      </c>
      <c r="G1733" t="s">
        <v>1927</v>
      </c>
      <c r="H1733" t="s">
        <v>30</v>
      </c>
      <c r="I1733" s="28" t="s">
        <v>27</v>
      </c>
    </row>
    <row r="1734" spans="1:9" x14ac:dyDescent="0.3">
      <c r="A1734" s="26">
        <v>45330</v>
      </c>
      <c r="B1734" t="s">
        <v>1060</v>
      </c>
      <c r="C1734" t="s">
        <v>1441</v>
      </c>
      <c r="D1734">
        <v>0.17</v>
      </c>
      <c r="E1734" t="s">
        <v>589</v>
      </c>
      <c r="F1734" t="s">
        <v>754</v>
      </c>
      <c r="G1734" t="s">
        <v>1927</v>
      </c>
      <c r="H1734" t="s">
        <v>30</v>
      </c>
      <c r="I1734" s="28" t="s">
        <v>27</v>
      </c>
    </row>
    <row r="1735" spans="1:9" x14ac:dyDescent="0.3">
      <c r="A1735" s="26">
        <v>45330</v>
      </c>
      <c r="B1735" t="s">
        <v>1060</v>
      </c>
      <c r="C1735" t="s">
        <v>1441</v>
      </c>
      <c r="D1735">
        <v>0.17</v>
      </c>
      <c r="E1735" t="s">
        <v>626</v>
      </c>
      <c r="F1735" t="s">
        <v>754</v>
      </c>
      <c r="G1735" t="s">
        <v>1927</v>
      </c>
      <c r="H1735" t="s">
        <v>30</v>
      </c>
      <c r="I1735" s="28" t="s">
        <v>27</v>
      </c>
    </row>
    <row r="1736" spans="1:9" x14ac:dyDescent="0.3">
      <c r="A1736" s="26">
        <v>45330</v>
      </c>
      <c r="B1736" t="s">
        <v>1060</v>
      </c>
      <c r="C1736" t="s">
        <v>1441</v>
      </c>
      <c r="D1736">
        <v>0.17</v>
      </c>
      <c r="E1736" t="s">
        <v>630</v>
      </c>
      <c r="F1736" t="s">
        <v>754</v>
      </c>
      <c r="G1736" t="s">
        <v>1927</v>
      </c>
      <c r="H1736" t="s">
        <v>30</v>
      </c>
      <c r="I1736" s="28" t="s">
        <v>27</v>
      </c>
    </row>
    <row r="1737" spans="1:9" x14ac:dyDescent="0.3">
      <c r="A1737" s="26">
        <v>45330</v>
      </c>
      <c r="B1737" t="s">
        <v>1060</v>
      </c>
      <c r="C1737" t="s">
        <v>1441</v>
      </c>
      <c r="D1737">
        <v>0.17</v>
      </c>
      <c r="E1737" t="s">
        <v>657</v>
      </c>
      <c r="F1737" t="s">
        <v>754</v>
      </c>
      <c r="G1737" t="s">
        <v>1927</v>
      </c>
      <c r="H1737" t="s">
        <v>30</v>
      </c>
      <c r="I1737" s="28" t="s">
        <v>27</v>
      </c>
    </row>
    <row r="1738" spans="1:9" x14ac:dyDescent="0.3">
      <c r="A1738" s="26">
        <v>45330</v>
      </c>
      <c r="B1738" t="s">
        <v>1060</v>
      </c>
      <c r="C1738" t="s">
        <v>1441</v>
      </c>
      <c r="D1738">
        <v>0.17</v>
      </c>
      <c r="E1738" t="s">
        <v>659</v>
      </c>
      <c r="F1738" t="s">
        <v>754</v>
      </c>
      <c r="G1738" t="s">
        <v>1927</v>
      </c>
      <c r="H1738" t="s">
        <v>30</v>
      </c>
      <c r="I1738" s="28" t="s">
        <v>27</v>
      </c>
    </row>
    <row r="1739" spans="1:9" x14ac:dyDescent="0.3">
      <c r="A1739" s="26">
        <v>45330</v>
      </c>
      <c r="B1739" t="s">
        <v>1060</v>
      </c>
      <c r="C1739" t="s">
        <v>1441</v>
      </c>
      <c r="D1739">
        <v>0.25</v>
      </c>
      <c r="E1739" t="s">
        <v>288</v>
      </c>
      <c r="F1739" t="s">
        <v>772</v>
      </c>
      <c r="G1739" t="s">
        <v>2142</v>
      </c>
      <c r="H1739" t="s">
        <v>30</v>
      </c>
      <c r="I1739" s="28" t="s">
        <v>27</v>
      </c>
    </row>
    <row r="1740" spans="1:9" x14ac:dyDescent="0.3">
      <c r="A1740" s="26">
        <v>45330</v>
      </c>
      <c r="B1740" t="s">
        <v>1060</v>
      </c>
      <c r="C1740" t="s">
        <v>1441</v>
      </c>
      <c r="D1740">
        <v>0.33</v>
      </c>
      <c r="E1740" t="s">
        <v>713</v>
      </c>
      <c r="F1740" t="s">
        <v>754</v>
      </c>
      <c r="G1740" t="s">
        <v>1927</v>
      </c>
      <c r="H1740" t="s">
        <v>30</v>
      </c>
      <c r="I1740" s="28" t="s">
        <v>27</v>
      </c>
    </row>
    <row r="1741" spans="1:9" x14ac:dyDescent="0.3">
      <c r="A1741" s="26">
        <v>45330</v>
      </c>
      <c r="B1741" t="s">
        <v>1060</v>
      </c>
      <c r="C1741" t="s">
        <v>874</v>
      </c>
      <c r="D1741">
        <v>0.5</v>
      </c>
      <c r="E1741" t="s">
        <v>7</v>
      </c>
      <c r="F1741" t="s">
        <v>772</v>
      </c>
      <c r="G1741" t="s">
        <v>2143</v>
      </c>
      <c r="H1741" t="s">
        <v>30</v>
      </c>
      <c r="I1741" s="28" t="s">
        <v>27</v>
      </c>
    </row>
    <row r="1742" spans="1:9" x14ac:dyDescent="0.3">
      <c r="A1742" s="26">
        <v>45330</v>
      </c>
      <c r="B1742" t="s">
        <v>1074</v>
      </c>
      <c r="C1742" t="s">
        <v>753</v>
      </c>
      <c r="D1742">
        <v>0.6</v>
      </c>
      <c r="E1742" t="s">
        <v>1096</v>
      </c>
      <c r="F1742" t="s">
        <v>754</v>
      </c>
      <c r="G1742" t="s">
        <v>2144</v>
      </c>
      <c r="H1742" t="s">
        <v>30</v>
      </c>
      <c r="I1742" s="28" t="s">
        <v>27</v>
      </c>
    </row>
    <row r="1743" spans="1:9" x14ac:dyDescent="0.3">
      <c r="A1743" s="26">
        <v>45330</v>
      </c>
      <c r="B1743" t="s">
        <v>1074</v>
      </c>
      <c r="C1743" t="s">
        <v>753</v>
      </c>
      <c r="D1743">
        <v>0.6</v>
      </c>
      <c r="E1743" t="s">
        <v>1096</v>
      </c>
      <c r="F1743" t="s">
        <v>754</v>
      </c>
      <c r="G1743" t="s">
        <v>2145</v>
      </c>
      <c r="H1743" t="s">
        <v>30</v>
      </c>
      <c r="I1743" s="28" t="s">
        <v>27</v>
      </c>
    </row>
    <row r="1744" spans="1:9" x14ac:dyDescent="0.3">
      <c r="A1744" s="26">
        <v>45330</v>
      </c>
      <c r="B1744" t="s">
        <v>1074</v>
      </c>
      <c r="C1744" t="s">
        <v>753</v>
      </c>
      <c r="D1744">
        <v>0.8</v>
      </c>
      <c r="E1744" t="s">
        <v>964</v>
      </c>
      <c r="F1744" t="s">
        <v>754</v>
      </c>
      <c r="G1744" t="s">
        <v>2146</v>
      </c>
      <c r="H1744" t="s">
        <v>30</v>
      </c>
      <c r="I1744" s="28" t="s">
        <v>27</v>
      </c>
    </row>
    <row r="1745" spans="1:9" x14ac:dyDescent="0.3">
      <c r="A1745" s="26">
        <v>45330</v>
      </c>
      <c r="B1745" t="s">
        <v>1074</v>
      </c>
      <c r="C1745" t="s">
        <v>753</v>
      </c>
      <c r="D1745">
        <v>1</v>
      </c>
      <c r="E1745" t="s">
        <v>964</v>
      </c>
      <c r="F1745" t="s">
        <v>754</v>
      </c>
      <c r="G1745" t="s">
        <v>2147</v>
      </c>
      <c r="H1745" t="s">
        <v>30</v>
      </c>
      <c r="I1745" s="28" t="s">
        <v>27</v>
      </c>
    </row>
    <row r="1746" spans="1:9" x14ac:dyDescent="0.3">
      <c r="A1746" s="26">
        <v>45330</v>
      </c>
      <c r="B1746" t="s">
        <v>1074</v>
      </c>
      <c r="C1746" t="s">
        <v>906</v>
      </c>
      <c r="D1746">
        <v>0.2</v>
      </c>
      <c r="E1746" t="s">
        <v>7</v>
      </c>
      <c r="F1746" t="s">
        <v>772</v>
      </c>
      <c r="G1746" t="s">
        <v>2148</v>
      </c>
      <c r="H1746" t="s">
        <v>30</v>
      </c>
      <c r="I1746" s="28" t="s">
        <v>27</v>
      </c>
    </row>
    <row r="1747" spans="1:9" x14ac:dyDescent="0.3">
      <c r="A1747" s="26">
        <v>45330</v>
      </c>
      <c r="B1747" t="s">
        <v>1074</v>
      </c>
      <c r="C1747" t="s">
        <v>909</v>
      </c>
      <c r="D1747">
        <v>0.5</v>
      </c>
      <c r="E1747" t="s">
        <v>964</v>
      </c>
      <c r="F1747" t="s">
        <v>754</v>
      </c>
      <c r="G1747" t="s">
        <v>2149</v>
      </c>
      <c r="H1747" t="s">
        <v>30</v>
      </c>
      <c r="I1747" s="28" t="s">
        <v>27</v>
      </c>
    </row>
    <row r="1748" spans="1:9" x14ac:dyDescent="0.3">
      <c r="A1748" s="26">
        <v>45330</v>
      </c>
      <c r="B1748" t="s">
        <v>1074</v>
      </c>
      <c r="C1748" t="s">
        <v>909</v>
      </c>
      <c r="D1748">
        <v>0.5</v>
      </c>
      <c r="E1748" t="s">
        <v>561</v>
      </c>
      <c r="F1748" t="s">
        <v>754</v>
      </c>
      <c r="G1748" t="s">
        <v>2150</v>
      </c>
      <c r="H1748" t="s">
        <v>30</v>
      </c>
      <c r="I1748" s="28" t="s">
        <v>27</v>
      </c>
    </row>
    <row r="1749" spans="1:9" x14ac:dyDescent="0.3">
      <c r="A1749" s="26">
        <v>45330</v>
      </c>
      <c r="B1749" t="s">
        <v>1074</v>
      </c>
      <c r="C1749" t="s">
        <v>909</v>
      </c>
      <c r="D1749">
        <v>0.7</v>
      </c>
      <c r="E1749" t="s">
        <v>964</v>
      </c>
      <c r="F1749" t="s">
        <v>754</v>
      </c>
      <c r="G1749" t="s">
        <v>2151</v>
      </c>
      <c r="H1749" t="s">
        <v>30</v>
      </c>
      <c r="I1749" s="28" t="s">
        <v>27</v>
      </c>
    </row>
    <row r="1750" spans="1:9" x14ac:dyDescent="0.3">
      <c r="A1750" s="26">
        <v>45330</v>
      </c>
      <c r="B1750" t="s">
        <v>1074</v>
      </c>
      <c r="C1750" t="s">
        <v>909</v>
      </c>
      <c r="D1750">
        <v>0.7</v>
      </c>
      <c r="E1750" t="s">
        <v>1096</v>
      </c>
      <c r="F1750" t="s">
        <v>754</v>
      </c>
      <c r="G1750" t="s">
        <v>2152</v>
      </c>
      <c r="H1750" t="s">
        <v>30</v>
      </c>
      <c r="I1750" s="28" t="s">
        <v>27</v>
      </c>
    </row>
    <row r="1751" spans="1:9" x14ac:dyDescent="0.3">
      <c r="A1751" s="26">
        <v>45330</v>
      </c>
      <c r="B1751" t="s">
        <v>1074</v>
      </c>
      <c r="C1751" t="s">
        <v>909</v>
      </c>
      <c r="D1751">
        <v>0.8</v>
      </c>
      <c r="E1751" t="s">
        <v>1096</v>
      </c>
      <c r="F1751" t="s">
        <v>754</v>
      </c>
      <c r="G1751" t="s">
        <v>2153</v>
      </c>
      <c r="H1751" t="s">
        <v>30</v>
      </c>
      <c r="I1751" s="28" t="s">
        <v>27</v>
      </c>
    </row>
    <row r="1752" spans="1:9" x14ac:dyDescent="0.3">
      <c r="A1752" s="26">
        <v>45330</v>
      </c>
      <c r="B1752" t="s">
        <v>1074</v>
      </c>
      <c r="C1752" t="s">
        <v>909</v>
      </c>
      <c r="D1752">
        <v>0.8</v>
      </c>
      <c r="E1752" t="s">
        <v>1096</v>
      </c>
      <c r="F1752" t="s">
        <v>754</v>
      </c>
      <c r="G1752" t="s">
        <v>2154</v>
      </c>
      <c r="H1752" t="s">
        <v>30</v>
      </c>
      <c r="I1752" s="28" t="s">
        <v>27</v>
      </c>
    </row>
    <row r="1753" spans="1:9" x14ac:dyDescent="0.3">
      <c r="A1753" s="26">
        <v>45330</v>
      </c>
      <c r="B1753" t="s">
        <v>1074</v>
      </c>
      <c r="C1753" t="s">
        <v>771</v>
      </c>
      <c r="D1753">
        <v>0.7</v>
      </c>
      <c r="E1753" t="s">
        <v>7</v>
      </c>
      <c r="F1753" t="s">
        <v>772</v>
      </c>
      <c r="G1753" t="s">
        <v>2155</v>
      </c>
      <c r="H1753" t="s">
        <v>30</v>
      </c>
      <c r="I1753" s="28" t="s">
        <v>27</v>
      </c>
    </row>
    <row r="1754" spans="1:9" x14ac:dyDescent="0.3">
      <c r="A1754" s="26">
        <v>45330</v>
      </c>
      <c r="B1754" t="s">
        <v>1074</v>
      </c>
      <c r="C1754" t="s">
        <v>835</v>
      </c>
      <c r="D1754">
        <v>1.5</v>
      </c>
      <c r="E1754" t="s">
        <v>964</v>
      </c>
      <c r="F1754" t="s">
        <v>754</v>
      </c>
      <c r="G1754" t="s">
        <v>1237</v>
      </c>
      <c r="H1754" t="s">
        <v>30</v>
      </c>
      <c r="I1754" s="28" t="s">
        <v>27</v>
      </c>
    </row>
    <row r="1755" spans="1:9" x14ac:dyDescent="0.3">
      <c r="A1755" s="26">
        <v>45330</v>
      </c>
      <c r="B1755" t="s">
        <v>1505</v>
      </c>
      <c r="C1755" t="s">
        <v>802</v>
      </c>
      <c r="D1755">
        <v>3</v>
      </c>
      <c r="E1755" t="s">
        <v>7</v>
      </c>
      <c r="F1755" t="s">
        <v>772</v>
      </c>
      <c r="G1755" t="s">
        <v>1506</v>
      </c>
      <c r="H1755" t="s">
        <v>30</v>
      </c>
      <c r="I1755" s="28" t="s">
        <v>27</v>
      </c>
    </row>
    <row r="1756" spans="1:9" x14ac:dyDescent="0.3">
      <c r="A1756" s="26">
        <v>45330</v>
      </c>
      <c r="B1756" t="s">
        <v>1081</v>
      </c>
      <c r="C1756" t="s">
        <v>771</v>
      </c>
      <c r="D1756">
        <v>4</v>
      </c>
      <c r="E1756" t="s">
        <v>7</v>
      </c>
      <c r="F1756" t="s">
        <v>772</v>
      </c>
      <c r="G1756" t="s">
        <v>2156</v>
      </c>
      <c r="H1756" t="s">
        <v>30</v>
      </c>
      <c r="I1756" s="28" t="s">
        <v>27</v>
      </c>
    </row>
    <row r="1757" spans="1:9" x14ac:dyDescent="0.3">
      <c r="A1757" s="26">
        <v>45330</v>
      </c>
      <c r="B1757" t="s">
        <v>1081</v>
      </c>
      <c r="C1757" t="s">
        <v>942</v>
      </c>
      <c r="D1757">
        <v>3</v>
      </c>
      <c r="E1757" t="s">
        <v>7</v>
      </c>
      <c r="F1757" t="s">
        <v>772</v>
      </c>
      <c r="G1757" t="s">
        <v>2157</v>
      </c>
      <c r="H1757" t="s">
        <v>30</v>
      </c>
      <c r="I1757" s="28" t="s">
        <v>27</v>
      </c>
    </row>
    <row r="1758" spans="1:9" x14ac:dyDescent="0.3">
      <c r="A1758" s="26">
        <v>45330</v>
      </c>
      <c r="B1758" t="s">
        <v>1081</v>
      </c>
      <c r="C1758" t="s">
        <v>874</v>
      </c>
      <c r="D1758">
        <v>1</v>
      </c>
      <c r="E1758" t="s">
        <v>7</v>
      </c>
      <c r="F1758" t="s">
        <v>772</v>
      </c>
      <c r="G1758" t="e">
        <f>- check engagement piece - facilitate engagement</f>
        <v>#NAME?</v>
      </c>
      <c r="H1758" t="s">
        <v>30</v>
      </c>
      <c r="I1758" s="28" t="s">
        <v>27</v>
      </c>
    </row>
    <row r="1759" spans="1:9" x14ac:dyDescent="0.3">
      <c r="A1759" s="26">
        <v>45331</v>
      </c>
      <c r="B1759" t="s">
        <v>752</v>
      </c>
      <c r="C1759" t="s">
        <v>2158</v>
      </c>
      <c r="D1759">
        <v>8</v>
      </c>
      <c r="E1759" t="s">
        <v>7</v>
      </c>
      <c r="F1759" t="s">
        <v>772</v>
      </c>
      <c r="G1759" t="s">
        <v>2159</v>
      </c>
      <c r="H1759" t="s">
        <v>30</v>
      </c>
      <c r="I1759" s="28" t="s">
        <v>28</v>
      </c>
    </row>
    <row r="1760" spans="1:9" x14ac:dyDescent="0.3">
      <c r="A1760" s="26">
        <v>45331</v>
      </c>
      <c r="B1760" t="s">
        <v>1093</v>
      </c>
      <c r="C1760" t="s">
        <v>1522</v>
      </c>
      <c r="D1760">
        <v>1.42</v>
      </c>
      <c r="E1760" t="s">
        <v>455</v>
      </c>
      <c r="F1760" t="s">
        <v>754</v>
      </c>
      <c r="G1760" t="s">
        <v>2160</v>
      </c>
      <c r="H1760" t="s">
        <v>30</v>
      </c>
      <c r="I1760" s="28" t="s">
        <v>28</v>
      </c>
    </row>
    <row r="1761" spans="1:9" x14ac:dyDescent="0.3">
      <c r="A1761" s="26">
        <v>45331</v>
      </c>
      <c r="B1761" t="s">
        <v>1093</v>
      </c>
      <c r="C1761" t="s">
        <v>1309</v>
      </c>
      <c r="D1761">
        <v>0.42</v>
      </c>
      <c r="E1761" t="s">
        <v>455</v>
      </c>
      <c r="F1761" t="s">
        <v>754</v>
      </c>
      <c r="G1761" t="s">
        <v>2161</v>
      </c>
      <c r="H1761" t="s">
        <v>30</v>
      </c>
      <c r="I1761" s="28" t="s">
        <v>28</v>
      </c>
    </row>
    <row r="1762" spans="1:9" x14ac:dyDescent="0.3">
      <c r="A1762" s="26">
        <v>45331</v>
      </c>
      <c r="B1762" t="s">
        <v>1093</v>
      </c>
      <c r="C1762" t="s">
        <v>1094</v>
      </c>
      <c r="D1762">
        <v>0.33</v>
      </c>
      <c r="E1762" t="s">
        <v>455</v>
      </c>
      <c r="F1762" t="s">
        <v>754</v>
      </c>
      <c r="G1762" t="s">
        <v>2162</v>
      </c>
      <c r="H1762" t="s">
        <v>30</v>
      </c>
      <c r="I1762" s="28" t="s">
        <v>28</v>
      </c>
    </row>
    <row r="1763" spans="1:9" x14ac:dyDescent="0.3">
      <c r="A1763" s="26">
        <v>45331</v>
      </c>
      <c r="B1763" t="s">
        <v>21</v>
      </c>
      <c r="C1763" t="s">
        <v>2158</v>
      </c>
      <c r="D1763">
        <v>8</v>
      </c>
      <c r="E1763" t="s">
        <v>7</v>
      </c>
      <c r="F1763" t="s">
        <v>772</v>
      </c>
      <c r="G1763" t="s">
        <v>2163</v>
      </c>
      <c r="H1763" t="s">
        <v>30</v>
      </c>
      <c r="I1763" s="28" t="s">
        <v>28</v>
      </c>
    </row>
    <row r="1764" spans="1:9" x14ac:dyDescent="0.3">
      <c r="A1764" s="26">
        <v>45331</v>
      </c>
      <c r="B1764" t="s">
        <v>783</v>
      </c>
      <c r="C1764" t="s">
        <v>2158</v>
      </c>
      <c r="D1764">
        <v>8</v>
      </c>
      <c r="E1764" t="s">
        <v>7</v>
      </c>
      <c r="F1764" t="s">
        <v>772</v>
      </c>
      <c r="H1764" t="s">
        <v>30</v>
      </c>
      <c r="I1764" s="28" t="s">
        <v>28</v>
      </c>
    </row>
    <row r="1765" spans="1:9" x14ac:dyDescent="0.3">
      <c r="A1765" s="26">
        <v>45331</v>
      </c>
      <c r="B1765" t="s">
        <v>785</v>
      </c>
      <c r="C1765" t="s">
        <v>2158</v>
      </c>
      <c r="D1765">
        <v>8</v>
      </c>
      <c r="E1765" t="s">
        <v>7</v>
      </c>
      <c r="F1765" t="s">
        <v>772</v>
      </c>
      <c r="G1765" t="s">
        <v>2164</v>
      </c>
      <c r="H1765" t="s">
        <v>30</v>
      </c>
      <c r="I1765" s="28" t="s">
        <v>28</v>
      </c>
    </row>
    <row r="1766" spans="1:9" x14ac:dyDescent="0.3">
      <c r="A1766" s="26">
        <v>45331</v>
      </c>
      <c r="B1766" t="s">
        <v>788</v>
      </c>
      <c r="C1766" t="s">
        <v>786</v>
      </c>
      <c r="D1766">
        <v>8</v>
      </c>
      <c r="E1766" t="s">
        <v>7</v>
      </c>
      <c r="F1766" t="s">
        <v>772</v>
      </c>
      <c r="H1766" t="s">
        <v>30</v>
      </c>
      <c r="I1766" s="28" t="s">
        <v>28</v>
      </c>
    </row>
    <row r="1767" spans="1:9" x14ac:dyDescent="0.3">
      <c r="A1767" s="26">
        <v>45331</v>
      </c>
      <c r="B1767" t="s">
        <v>792</v>
      </c>
      <c r="C1767" t="s">
        <v>2158</v>
      </c>
      <c r="D1767">
        <v>8</v>
      </c>
      <c r="E1767" t="s">
        <v>7</v>
      </c>
      <c r="F1767" t="s">
        <v>772</v>
      </c>
      <c r="H1767" t="s">
        <v>30</v>
      </c>
      <c r="I1767" s="28" t="s">
        <v>28</v>
      </c>
    </row>
    <row r="1768" spans="1:9" x14ac:dyDescent="0.3">
      <c r="A1768" s="26">
        <v>45331</v>
      </c>
      <c r="B1768" t="s">
        <v>796</v>
      </c>
      <c r="C1768" t="s">
        <v>2158</v>
      </c>
      <c r="D1768">
        <v>8</v>
      </c>
      <c r="E1768" t="s">
        <v>7</v>
      </c>
      <c r="F1768" t="s">
        <v>772</v>
      </c>
      <c r="H1768" t="s">
        <v>30</v>
      </c>
      <c r="I1768" s="28" t="s">
        <v>28</v>
      </c>
    </row>
    <row r="1769" spans="1:9" x14ac:dyDescent="0.3">
      <c r="A1769" s="26">
        <v>45331</v>
      </c>
      <c r="B1769" t="s">
        <v>801</v>
      </c>
      <c r="C1769" t="s">
        <v>2158</v>
      </c>
      <c r="D1769">
        <v>8</v>
      </c>
      <c r="E1769" t="s">
        <v>7</v>
      </c>
      <c r="F1769" t="s">
        <v>772</v>
      </c>
      <c r="H1769" t="s">
        <v>30</v>
      </c>
      <c r="I1769" s="28" t="s">
        <v>28</v>
      </c>
    </row>
    <row r="1770" spans="1:9" x14ac:dyDescent="0.3">
      <c r="A1770" s="26">
        <v>45331</v>
      </c>
      <c r="B1770" t="s">
        <v>806</v>
      </c>
      <c r="C1770" t="s">
        <v>802</v>
      </c>
      <c r="D1770">
        <v>2</v>
      </c>
      <c r="E1770" t="s">
        <v>7</v>
      </c>
      <c r="F1770" t="s">
        <v>772</v>
      </c>
      <c r="G1770" t="s">
        <v>2165</v>
      </c>
      <c r="H1770" t="s">
        <v>30</v>
      </c>
      <c r="I1770" s="28" t="s">
        <v>28</v>
      </c>
    </row>
    <row r="1771" spans="1:9" x14ac:dyDescent="0.3">
      <c r="A1771" s="26">
        <v>45331</v>
      </c>
      <c r="B1771" t="s">
        <v>808</v>
      </c>
      <c r="C1771" t="s">
        <v>2158</v>
      </c>
      <c r="D1771">
        <v>9</v>
      </c>
      <c r="E1771" t="s">
        <v>7</v>
      </c>
      <c r="F1771" t="s">
        <v>772</v>
      </c>
      <c r="H1771" t="s">
        <v>30</v>
      </c>
      <c r="I1771" s="28" t="s">
        <v>28</v>
      </c>
    </row>
    <row r="1772" spans="1:9" x14ac:dyDescent="0.3">
      <c r="A1772" s="26">
        <v>45331</v>
      </c>
      <c r="B1772" t="s">
        <v>810</v>
      </c>
      <c r="C1772" t="s">
        <v>2158</v>
      </c>
      <c r="D1772">
        <v>8</v>
      </c>
      <c r="E1772" t="s">
        <v>7</v>
      </c>
      <c r="F1772" t="s">
        <v>772</v>
      </c>
      <c r="G1772" t="s">
        <v>2166</v>
      </c>
      <c r="H1772" t="s">
        <v>30</v>
      </c>
      <c r="I1772" s="28" t="s">
        <v>28</v>
      </c>
    </row>
    <row r="1773" spans="1:9" x14ac:dyDescent="0.3">
      <c r="A1773" s="26">
        <v>45331</v>
      </c>
      <c r="B1773" t="s">
        <v>829</v>
      </c>
      <c r="C1773" t="s">
        <v>2158</v>
      </c>
      <c r="D1773">
        <v>8</v>
      </c>
      <c r="E1773" t="s">
        <v>7</v>
      </c>
      <c r="F1773" t="s">
        <v>772</v>
      </c>
      <c r="H1773" t="s">
        <v>30</v>
      </c>
      <c r="I1773" s="28" t="s">
        <v>28</v>
      </c>
    </row>
    <row r="1774" spans="1:9" x14ac:dyDescent="0.3">
      <c r="A1774" s="26">
        <v>45331</v>
      </c>
      <c r="B1774" t="s">
        <v>840</v>
      </c>
      <c r="C1774" t="s">
        <v>2158</v>
      </c>
      <c r="D1774">
        <v>8</v>
      </c>
      <c r="E1774" t="s">
        <v>7</v>
      </c>
      <c r="F1774" t="s">
        <v>772</v>
      </c>
      <c r="H1774" t="s">
        <v>30</v>
      </c>
      <c r="I1774" s="28" t="s">
        <v>28</v>
      </c>
    </row>
    <row r="1775" spans="1:9" x14ac:dyDescent="0.3">
      <c r="A1775" s="26">
        <v>45331</v>
      </c>
      <c r="B1775" t="s">
        <v>843</v>
      </c>
      <c r="C1775" t="s">
        <v>753</v>
      </c>
      <c r="D1775">
        <v>0.8</v>
      </c>
      <c r="E1775" t="s">
        <v>234</v>
      </c>
      <c r="F1775" t="s">
        <v>754</v>
      </c>
      <c r="G1775" t="s">
        <v>2167</v>
      </c>
      <c r="H1775" t="s">
        <v>30</v>
      </c>
      <c r="I1775" s="28" t="s">
        <v>28</v>
      </c>
    </row>
    <row r="1776" spans="1:9" x14ac:dyDescent="0.3">
      <c r="A1776" s="26">
        <v>45331</v>
      </c>
      <c r="B1776" t="s">
        <v>843</v>
      </c>
      <c r="C1776" t="s">
        <v>853</v>
      </c>
      <c r="D1776">
        <v>3.2</v>
      </c>
      <c r="E1776" t="s">
        <v>259</v>
      </c>
      <c r="F1776" t="s">
        <v>754</v>
      </c>
      <c r="G1776" t="s">
        <v>2168</v>
      </c>
      <c r="H1776" t="s">
        <v>30</v>
      </c>
      <c r="I1776" s="28" t="s">
        <v>28</v>
      </c>
    </row>
    <row r="1777" spans="1:9" x14ac:dyDescent="0.3">
      <c r="A1777" s="26">
        <v>45331</v>
      </c>
      <c r="B1777" t="s">
        <v>843</v>
      </c>
      <c r="C1777" t="s">
        <v>2158</v>
      </c>
      <c r="D1777">
        <v>4</v>
      </c>
      <c r="E1777" t="s">
        <v>7</v>
      </c>
      <c r="F1777" t="s">
        <v>772</v>
      </c>
      <c r="H1777" t="s">
        <v>30</v>
      </c>
      <c r="I1777" s="28" t="s">
        <v>28</v>
      </c>
    </row>
    <row r="1778" spans="1:9" x14ac:dyDescent="0.3">
      <c r="A1778" s="26">
        <v>45331</v>
      </c>
      <c r="B1778" t="s">
        <v>856</v>
      </c>
      <c r="C1778" t="s">
        <v>2158</v>
      </c>
      <c r="D1778">
        <v>8</v>
      </c>
      <c r="E1778" t="s">
        <v>7</v>
      </c>
      <c r="F1778" t="s">
        <v>772</v>
      </c>
      <c r="G1778" t="s">
        <v>2169</v>
      </c>
      <c r="H1778" t="s">
        <v>30</v>
      </c>
      <c r="I1778" s="28" t="s">
        <v>28</v>
      </c>
    </row>
    <row r="1779" spans="1:9" x14ac:dyDescent="0.3">
      <c r="A1779" s="26">
        <v>45331</v>
      </c>
      <c r="B1779" t="s">
        <v>33</v>
      </c>
      <c r="C1779" t="s">
        <v>2158</v>
      </c>
      <c r="D1779">
        <v>8</v>
      </c>
      <c r="E1779" t="s">
        <v>7</v>
      </c>
      <c r="F1779" t="s">
        <v>772</v>
      </c>
      <c r="G1779" t="s">
        <v>2170</v>
      </c>
      <c r="H1779" t="s">
        <v>30</v>
      </c>
      <c r="I1779" s="28" t="s">
        <v>28</v>
      </c>
    </row>
    <row r="1780" spans="1:9" x14ac:dyDescent="0.3">
      <c r="A1780" s="26">
        <v>45331</v>
      </c>
      <c r="B1780" t="s">
        <v>876</v>
      </c>
      <c r="C1780" t="s">
        <v>2158</v>
      </c>
      <c r="D1780">
        <v>8</v>
      </c>
      <c r="E1780" t="s">
        <v>7</v>
      </c>
      <c r="F1780" t="s">
        <v>772</v>
      </c>
      <c r="G1780" t="s">
        <v>2171</v>
      </c>
      <c r="H1780" t="s">
        <v>30</v>
      </c>
      <c r="I1780" s="28" t="s">
        <v>28</v>
      </c>
    </row>
    <row r="1781" spans="1:9" x14ac:dyDescent="0.3">
      <c r="A1781" s="26">
        <v>45331</v>
      </c>
      <c r="B1781" t="s">
        <v>884</v>
      </c>
      <c r="C1781" t="s">
        <v>2158</v>
      </c>
      <c r="D1781">
        <v>8</v>
      </c>
      <c r="E1781" t="s">
        <v>7</v>
      </c>
      <c r="F1781" t="s">
        <v>772</v>
      </c>
      <c r="G1781" t="s">
        <v>2171</v>
      </c>
      <c r="H1781" t="s">
        <v>30</v>
      </c>
      <c r="I1781" s="28" t="s">
        <v>28</v>
      </c>
    </row>
    <row r="1782" spans="1:9" x14ac:dyDescent="0.3">
      <c r="A1782" s="26">
        <v>45331</v>
      </c>
      <c r="B1782" t="s">
        <v>891</v>
      </c>
      <c r="C1782" t="s">
        <v>2158</v>
      </c>
      <c r="D1782">
        <v>8</v>
      </c>
      <c r="E1782" t="s">
        <v>7</v>
      </c>
      <c r="F1782" t="s">
        <v>772</v>
      </c>
      <c r="G1782" t="s">
        <v>2172</v>
      </c>
      <c r="H1782" t="s">
        <v>30</v>
      </c>
      <c r="I1782" s="28" t="s">
        <v>28</v>
      </c>
    </row>
    <row r="1783" spans="1:9" x14ac:dyDescent="0.3">
      <c r="A1783" s="26">
        <v>45331</v>
      </c>
      <c r="B1783" t="s">
        <v>34</v>
      </c>
      <c r="C1783" t="s">
        <v>2158</v>
      </c>
      <c r="D1783">
        <v>8</v>
      </c>
      <c r="E1783" t="s">
        <v>7</v>
      </c>
      <c r="F1783" t="s">
        <v>772</v>
      </c>
      <c r="H1783" t="s">
        <v>30</v>
      </c>
      <c r="I1783" s="28" t="s">
        <v>28</v>
      </c>
    </row>
    <row r="1784" spans="1:9" x14ac:dyDescent="0.3">
      <c r="A1784" s="26">
        <v>45331</v>
      </c>
      <c r="B1784" t="s">
        <v>893</v>
      </c>
      <c r="C1784" t="s">
        <v>2158</v>
      </c>
      <c r="D1784">
        <v>8</v>
      </c>
      <c r="E1784" t="s">
        <v>7</v>
      </c>
      <c r="F1784" t="s">
        <v>772</v>
      </c>
      <c r="G1784" t="s">
        <v>2173</v>
      </c>
      <c r="H1784" t="s">
        <v>30</v>
      </c>
      <c r="I1784" s="28" t="s">
        <v>28</v>
      </c>
    </row>
    <row r="1785" spans="1:9" x14ac:dyDescent="0.3">
      <c r="A1785" s="26">
        <v>45331</v>
      </c>
      <c r="B1785" t="s">
        <v>895</v>
      </c>
      <c r="C1785" t="s">
        <v>753</v>
      </c>
      <c r="D1785">
        <v>0.47</v>
      </c>
      <c r="E1785" t="s">
        <v>770</v>
      </c>
      <c r="F1785" t="s">
        <v>772</v>
      </c>
      <c r="G1785" t="s">
        <v>2174</v>
      </c>
      <c r="H1785" t="s">
        <v>30</v>
      </c>
      <c r="I1785" s="28" t="s">
        <v>28</v>
      </c>
    </row>
    <row r="1786" spans="1:9" x14ac:dyDescent="0.3">
      <c r="A1786" s="26">
        <v>45331</v>
      </c>
      <c r="B1786" t="s">
        <v>895</v>
      </c>
      <c r="C1786" t="s">
        <v>753</v>
      </c>
      <c r="D1786">
        <v>0.56999999999999995</v>
      </c>
      <c r="E1786" t="s">
        <v>770</v>
      </c>
      <c r="F1786" t="s">
        <v>754</v>
      </c>
      <c r="G1786" t="s">
        <v>2175</v>
      </c>
      <c r="H1786" t="s">
        <v>30</v>
      </c>
      <c r="I1786" s="28" t="s">
        <v>28</v>
      </c>
    </row>
    <row r="1787" spans="1:9" x14ac:dyDescent="0.3">
      <c r="A1787" s="26">
        <v>45331</v>
      </c>
      <c r="B1787" t="s">
        <v>895</v>
      </c>
      <c r="C1787" t="s">
        <v>753</v>
      </c>
      <c r="D1787">
        <v>0.78</v>
      </c>
      <c r="E1787" t="s">
        <v>898</v>
      </c>
      <c r="F1787" t="s">
        <v>754</v>
      </c>
      <c r="G1787" t="s">
        <v>2176</v>
      </c>
      <c r="H1787" t="s">
        <v>30</v>
      </c>
      <c r="I1787" s="28" t="s">
        <v>28</v>
      </c>
    </row>
    <row r="1788" spans="1:9" x14ac:dyDescent="0.3">
      <c r="A1788" s="26">
        <v>45331</v>
      </c>
      <c r="B1788" t="s">
        <v>895</v>
      </c>
      <c r="C1788" t="s">
        <v>753</v>
      </c>
      <c r="D1788">
        <v>0.9</v>
      </c>
      <c r="E1788" t="s">
        <v>898</v>
      </c>
      <c r="F1788" t="s">
        <v>754</v>
      </c>
      <c r="G1788" t="s">
        <v>2177</v>
      </c>
      <c r="H1788" t="s">
        <v>30</v>
      </c>
      <c r="I1788" s="28" t="s">
        <v>28</v>
      </c>
    </row>
    <row r="1789" spans="1:9" x14ac:dyDescent="0.3">
      <c r="A1789" s="26">
        <v>45331</v>
      </c>
      <c r="B1789" t="s">
        <v>895</v>
      </c>
      <c r="C1789" t="s">
        <v>753</v>
      </c>
      <c r="D1789">
        <v>1</v>
      </c>
      <c r="E1789" t="s">
        <v>898</v>
      </c>
      <c r="F1789" t="s">
        <v>754</v>
      </c>
      <c r="H1789" t="s">
        <v>30</v>
      </c>
      <c r="I1789" s="28" t="s">
        <v>28</v>
      </c>
    </row>
    <row r="1790" spans="1:9" x14ac:dyDescent="0.3">
      <c r="A1790" s="26">
        <v>45331</v>
      </c>
      <c r="B1790" t="s">
        <v>895</v>
      </c>
      <c r="C1790" t="s">
        <v>786</v>
      </c>
      <c r="D1790">
        <v>0.57999999999999996</v>
      </c>
      <c r="E1790" t="s">
        <v>7</v>
      </c>
      <c r="F1790" t="s">
        <v>754</v>
      </c>
      <c r="G1790" t="s">
        <v>2178</v>
      </c>
      <c r="H1790" t="s">
        <v>30</v>
      </c>
      <c r="I1790" s="28" t="s">
        <v>28</v>
      </c>
    </row>
    <row r="1791" spans="1:9" x14ac:dyDescent="0.3">
      <c r="A1791" s="26">
        <v>45331</v>
      </c>
      <c r="B1791" t="s">
        <v>895</v>
      </c>
      <c r="C1791" t="s">
        <v>786</v>
      </c>
      <c r="D1791">
        <v>0.67</v>
      </c>
      <c r="E1791" t="s">
        <v>7</v>
      </c>
      <c r="F1791" t="s">
        <v>754</v>
      </c>
      <c r="G1791" t="s">
        <v>2179</v>
      </c>
      <c r="H1791" t="s">
        <v>30</v>
      </c>
      <c r="I1791" s="28" t="s">
        <v>28</v>
      </c>
    </row>
    <row r="1792" spans="1:9" x14ac:dyDescent="0.3">
      <c r="A1792" s="26">
        <v>45331</v>
      </c>
      <c r="B1792" t="s">
        <v>895</v>
      </c>
      <c r="C1792" t="s">
        <v>771</v>
      </c>
      <c r="D1792">
        <v>0.18</v>
      </c>
      <c r="E1792" t="s">
        <v>7</v>
      </c>
      <c r="F1792" t="s">
        <v>772</v>
      </c>
      <c r="G1792" t="s">
        <v>2180</v>
      </c>
      <c r="H1792" t="s">
        <v>30</v>
      </c>
      <c r="I1792" s="28" t="s">
        <v>28</v>
      </c>
    </row>
    <row r="1793" spans="1:9" x14ac:dyDescent="0.3">
      <c r="A1793" s="26">
        <v>45331</v>
      </c>
      <c r="B1793" t="s">
        <v>895</v>
      </c>
      <c r="C1793" t="s">
        <v>771</v>
      </c>
      <c r="D1793">
        <v>0.25</v>
      </c>
      <c r="E1793" t="s">
        <v>7</v>
      </c>
      <c r="F1793" t="s">
        <v>772</v>
      </c>
      <c r="G1793" t="s">
        <v>2181</v>
      </c>
      <c r="H1793" t="s">
        <v>30</v>
      </c>
      <c r="I1793" s="28" t="s">
        <v>28</v>
      </c>
    </row>
    <row r="1794" spans="1:9" x14ac:dyDescent="0.3">
      <c r="A1794" s="26">
        <v>45331</v>
      </c>
      <c r="B1794" t="s">
        <v>895</v>
      </c>
      <c r="C1794" t="s">
        <v>771</v>
      </c>
      <c r="D1794">
        <v>0.52</v>
      </c>
      <c r="E1794" t="s">
        <v>7</v>
      </c>
      <c r="F1794" t="s">
        <v>772</v>
      </c>
      <c r="G1794" t="s">
        <v>2182</v>
      </c>
      <c r="H1794" t="s">
        <v>30</v>
      </c>
      <c r="I1794" s="28" t="s">
        <v>28</v>
      </c>
    </row>
    <row r="1795" spans="1:9" x14ac:dyDescent="0.3">
      <c r="A1795" s="26">
        <v>45331</v>
      </c>
      <c r="B1795" t="s">
        <v>895</v>
      </c>
      <c r="C1795" t="s">
        <v>1068</v>
      </c>
      <c r="D1795">
        <v>0.55000000000000004</v>
      </c>
      <c r="E1795" t="s">
        <v>898</v>
      </c>
      <c r="F1795" t="s">
        <v>754</v>
      </c>
      <c r="G1795" t="s">
        <v>2183</v>
      </c>
      <c r="H1795" t="s">
        <v>30</v>
      </c>
      <c r="I1795" s="28" t="s">
        <v>28</v>
      </c>
    </row>
    <row r="1796" spans="1:9" x14ac:dyDescent="0.3">
      <c r="A1796" s="26">
        <v>45331</v>
      </c>
      <c r="B1796" t="s">
        <v>895</v>
      </c>
      <c r="C1796" t="s">
        <v>1441</v>
      </c>
      <c r="D1796">
        <v>0.08</v>
      </c>
      <c r="E1796" t="s">
        <v>910</v>
      </c>
      <c r="F1796" t="s">
        <v>754</v>
      </c>
      <c r="G1796" t="s">
        <v>2184</v>
      </c>
      <c r="H1796" t="s">
        <v>30</v>
      </c>
      <c r="I1796" s="28" t="s">
        <v>28</v>
      </c>
    </row>
    <row r="1797" spans="1:9" x14ac:dyDescent="0.3">
      <c r="A1797" s="26">
        <v>45331</v>
      </c>
      <c r="B1797" t="s">
        <v>895</v>
      </c>
      <c r="C1797" t="s">
        <v>1441</v>
      </c>
      <c r="D1797">
        <v>0.15</v>
      </c>
      <c r="E1797" t="s">
        <v>985</v>
      </c>
      <c r="F1797" t="s">
        <v>754</v>
      </c>
      <c r="G1797" t="s">
        <v>2185</v>
      </c>
      <c r="H1797" t="s">
        <v>30</v>
      </c>
      <c r="I1797" s="28" t="s">
        <v>28</v>
      </c>
    </row>
    <row r="1798" spans="1:9" x14ac:dyDescent="0.3">
      <c r="A1798" s="26">
        <v>45331</v>
      </c>
      <c r="B1798" t="s">
        <v>895</v>
      </c>
      <c r="C1798" t="s">
        <v>916</v>
      </c>
      <c r="D1798">
        <v>0.1</v>
      </c>
      <c r="E1798" t="s">
        <v>985</v>
      </c>
      <c r="F1798" t="s">
        <v>754</v>
      </c>
      <c r="G1798" t="s">
        <v>2186</v>
      </c>
      <c r="H1798" t="s">
        <v>30</v>
      </c>
      <c r="I1798" s="28" t="s">
        <v>28</v>
      </c>
    </row>
    <row r="1799" spans="1:9" x14ac:dyDescent="0.3">
      <c r="A1799" s="26">
        <v>45331</v>
      </c>
      <c r="B1799" t="s">
        <v>1391</v>
      </c>
      <c r="C1799" t="s">
        <v>1094</v>
      </c>
      <c r="D1799">
        <v>0.17</v>
      </c>
      <c r="E1799" t="s">
        <v>455</v>
      </c>
      <c r="F1799" t="s">
        <v>754</v>
      </c>
      <c r="G1799" t="s">
        <v>2187</v>
      </c>
      <c r="H1799" t="s">
        <v>30</v>
      </c>
      <c r="I1799" s="28" t="s">
        <v>28</v>
      </c>
    </row>
    <row r="1800" spans="1:9" x14ac:dyDescent="0.3">
      <c r="A1800" s="26">
        <v>45331</v>
      </c>
      <c r="B1800" t="s">
        <v>929</v>
      </c>
      <c r="C1800" t="s">
        <v>789</v>
      </c>
      <c r="D1800">
        <v>0.08</v>
      </c>
      <c r="E1800" t="s">
        <v>7</v>
      </c>
      <c r="F1800" t="s">
        <v>772</v>
      </c>
      <c r="G1800" t="s">
        <v>2188</v>
      </c>
      <c r="H1800" t="s">
        <v>30</v>
      </c>
      <c r="I1800" s="28" t="s">
        <v>28</v>
      </c>
    </row>
    <row r="1801" spans="1:9" x14ac:dyDescent="0.3">
      <c r="A1801" s="26">
        <v>45331</v>
      </c>
      <c r="B1801" t="s">
        <v>929</v>
      </c>
      <c r="C1801" t="s">
        <v>789</v>
      </c>
      <c r="D1801">
        <v>0.2</v>
      </c>
      <c r="E1801" t="s">
        <v>985</v>
      </c>
      <c r="F1801" t="s">
        <v>754</v>
      </c>
      <c r="G1801" t="s">
        <v>2189</v>
      </c>
      <c r="H1801" t="s">
        <v>30</v>
      </c>
      <c r="I1801" s="28" t="s">
        <v>28</v>
      </c>
    </row>
    <row r="1802" spans="1:9" x14ac:dyDescent="0.3">
      <c r="A1802" s="26">
        <v>45331</v>
      </c>
      <c r="B1802" t="s">
        <v>929</v>
      </c>
      <c r="C1802" t="s">
        <v>771</v>
      </c>
      <c r="D1802">
        <v>0.25</v>
      </c>
      <c r="E1802" t="s">
        <v>7</v>
      </c>
      <c r="F1802" t="s">
        <v>772</v>
      </c>
      <c r="G1802" t="s">
        <v>940</v>
      </c>
      <c r="H1802" t="s">
        <v>30</v>
      </c>
      <c r="I1802" s="28" t="s">
        <v>28</v>
      </c>
    </row>
    <row r="1803" spans="1:9" x14ac:dyDescent="0.3">
      <c r="A1803" s="26">
        <v>45331</v>
      </c>
      <c r="B1803" t="s">
        <v>929</v>
      </c>
      <c r="C1803" t="s">
        <v>771</v>
      </c>
      <c r="D1803">
        <v>0.25</v>
      </c>
      <c r="E1803" t="s">
        <v>7</v>
      </c>
      <c r="F1803" t="s">
        <v>772</v>
      </c>
      <c r="G1803" t="s">
        <v>2054</v>
      </c>
      <c r="H1803" t="s">
        <v>30</v>
      </c>
      <c r="I1803" s="28" t="s">
        <v>28</v>
      </c>
    </row>
    <row r="1804" spans="1:9" x14ac:dyDescent="0.3">
      <c r="A1804" s="26">
        <v>45331</v>
      </c>
      <c r="B1804" t="s">
        <v>929</v>
      </c>
      <c r="C1804" t="s">
        <v>771</v>
      </c>
      <c r="D1804">
        <v>0.37</v>
      </c>
      <c r="E1804" t="s">
        <v>7</v>
      </c>
      <c r="F1804" t="s">
        <v>772</v>
      </c>
      <c r="G1804" t="s">
        <v>2190</v>
      </c>
      <c r="H1804" t="s">
        <v>30</v>
      </c>
      <c r="I1804" s="28" t="s">
        <v>28</v>
      </c>
    </row>
    <row r="1805" spans="1:9" x14ac:dyDescent="0.3">
      <c r="A1805" s="26">
        <v>45331</v>
      </c>
      <c r="B1805" t="s">
        <v>929</v>
      </c>
      <c r="C1805" t="s">
        <v>771</v>
      </c>
      <c r="D1805">
        <v>1.05</v>
      </c>
      <c r="E1805" t="s">
        <v>7</v>
      </c>
      <c r="F1805" t="s">
        <v>772</v>
      </c>
      <c r="G1805" t="s">
        <v>2191</v>
      </c>
      <c r="H1805" t="s">
        <v>30</v>
      </c>
      <c r="I1805" s="28" t="s">
        <v>28</v>
      </c>
    </row>
    <row r="1806" spans="1:9" x14ac:dyDescent="0.3">
      <c r="A1806" s="26">
        <v>45331</v>
      </c>
      <c r="B1806" t="s">
        <v>929</v>
      </c>
      <c r="C1806" t="s">
        <v>1441</v>
      </c>
      <c r="D1806">
        <v>0.05</v>
      </c>
      <c r="E1806" t="s">
        <v>813</v>
      </c>
      <c r="F1806" t="s">
        <v>772</v>
      </c>
      <c r="G1806" t="s">
        <v>2192</v>
      </c>
      <c r="H1806" t="s">
        <v>30</v>
      </c>
      <c r="I1806" s="28" t="s">
        <v>28</v>
      </c>
    </row>
    <row r="1807" spans="1:9" x14ac:dyDescent="0.3">
      <c r="A1807" s="26">
        <v>45331</v>
      </c>
      <c r="B1807" t="s">
        <v>929</v>
      </c>
      <c r="C1807" t="s">
        <v>1441</v>
      </c>
      <c r="D1807">
        <v>0.08</v>
      </c>
      <c r="E1807" t="s">
        <v>813</v>
      </c>
      <c r="F1807" t="s">
        <v>754</v>
      </c>
      <c r="G1807" t="s">
        <v>1621</v>
      </c>
      <c r="H1807" t="s">
        <v>30</v>
      </c>
      <c r="I1807" s="28" t="s">
        <v>28</v>
      </c>
    </row>
    <row r="1808" spans="1:9" x14ac:dyDescent="0.3">
      <c r="A1808" s="26">
        <v>45331</v>
      </c>
      <c r="B1808" t="s">
        <v>929</v>
      </c>
      <c r="C1808" t="s">
        <v>916</v>
      </c>
      <c r="D1808">
        <v>0.05</v>
      </c>
      <c r="E1808" t="s">
        <v>813</v>
      </c>
      <c r="F1808" t="s">
        <v>754</v>
      </c>
      <c r="G1808" t="s">
        <v>2193</v>
      </c>
      <c r="H1808" t="s">
        <v>30</v>
      </c>
      <c r="I1808" s="28" t="s">
        <v>28</v>
      </c>
    </row>
    <row r="1809" spans="1:9" x14ac:dyDescent="0.3">
      <c r="A1809" s="26">
        <v>45331</v>
      </c>
      <c r="B1809" t="s">
        <v>929</v>
      </c>
      <c r="C1809" t="s">
        <v>916</v>
      </c>
      <c r="D1809">
        <v>0.35</v>
      </c>
      <c r="E1809" t="s">
        <v>715</v>
      </c>
      <c r="F1809" t="s">
        <v>772</v>
      </c>
      <c r="G1809" t="s">
        <v>2194</v>
      </c>
      <c r="H1809" t="s">
        <v>30</v>
      </c>
      <c r="I1809" s="28" t="s">
        <v>28</v>
      </c>
    </row>
    <row r="1810" spans="1:9" x14ac:dyDescent="0.3">
      <c r="A1810" s="26">
        <v>45331</v>
      </c>
      <c r="B1810" t="s">
        <v>929</v>
      </c>
      <c r="C1810" t="s">
        <v>916</v>
      </c>
      <c r="D1810">
        <v>0.37</v>
      </c>
      <c r="E1810" t="s">
        <v>985</v>
      </c>
      <c r="F1810" t="s">
        <v>754</v>
      </c>
      <c r="G1810" t="s">
        <v>2195</v>
      </c>
      <c r="H1810" t="s">
        <v>30</v>
      </c>
      <c r="I1810" s="28" t="s">
        <v>28</v>
      </c>
    </row>
    <row r="1811" spans="1:9" x14ac:dyDescent="0.3">
      <c r="A1811" s="26">
        <v>45331</v>
      </c>
      <c r="B1811" t="s">
        <v>929</v>
      </c>
      <c r="C1811" t="s">
        <v>916</v>
      </c>
      <c r="D1811">
        <v>0.47</v>
      </c>
      <c r="E1811" t="s">
        <v>964</v>
      </c>
      <c r="F1811" t="s">
        <v>754</v>
      </c>
      <c r="H1811" t="s">
        <v>30</v>
      </c>
      <c r="I1811" s="28" t="s">
        <v>28</v>
      </c>
    </row>
    <row r="1812" spans="1:9" x14ac:dyDescent="0.3">
      <c r="A1812" s="26">
        <v>45331</v>
      </c>
      <c r="B1812" t="s">
        <v>929</v>
      </c>
      <c r="C1812" t="s">
        <v>916</v>
      </c>
      <c r="D1812">
        <v>0.52</v>
      </c>
      <c r="E1812" t="s">
        <v>602</v>
      </c>
      <c r="F1812" t="s">
        <v>772</v>
      </c>
      <c r="G1812" t="s">
        <v>2196</v>
      </c>
      <c r="H1812" t="s">
        <v>30</v>
      </c>
      <c r="I1812" s="28" t="s">
        <v>28</v>
      </c>
    </row>
    <row r="1813" spans="1:9" x14ac:dyDescent="0.3">
      <c r="A1813" s="26">
        <v>45331</v>
      </c>
      <c r="B1813" t="s">
        <v>929</v>
      </c>
      <c r="C1813" t="s">
        <v>916</v>
      </c>
      <c r="D1813">
        <v>0.52</v>
      </c>
      <c r="E1813" t="s">
        <v>602</v>
      </c>
      <c r="F1813" t="s">
        <v>754</v>
      </c>
      <c r="H1813" t="s">
        <v>30</v>
      </c>
      <c r="I1813" s="28" t="s">
        <v>28</v>
      </c>
    </row>
    <row r="1814" spans="1:9" x14ac:dyDescent="0.3">
      <c r="A1814" s="26">
        <v>45331</v>
      </c>
      <c r="B1814" t="s">
        <v>929</v>
      </c>
      <c r="C1814" t="s">
        <v>916</v>
      </c>
      <c r="D1814">
        <v>0.88</v>
      </c>
      <c r="E1814" t="s">
        <v>655</v>
      </c>
      <c r="F1814" t="s">
        <v>754</v>
      </c>
      <c r="G1814" t="s">
        <v>1853</v>
      </c>
      <c r="H1814" t="s">
        <v>30</v>
      </c>
      <c r="I1814" s="28" t="s">
        <v>28</v>
      </c>
    </row>
    <row r="1815" spans="1:9" x14ac:dyDescent="0.3">
      <c r="A1815" s="26">
        <v>45331</v>
      </c>
      <c r="B1815" t="s">
        <v>929</v>
      </c>
      <c r="C1815" t="s">
        <v>916</v>
      </c>
      <c r="D1815">
        <v>1.02</v>
      </c>
      <c r="E1815" t="s">
        <v>715</v>
      </c>
      <c r="F1815" t="s">
        <v>754</v>
      </c>
      <c r="G1815" t="s">
        <v>1853</v>
      </c>
      <c r="H1815" t="s">
        <v>30</v>
      </c>
      <c r="I1815" s="28" t="s">
        <v>28</v>
      </c>
    </row>
    <row r="1816" spans="1:9" x14ac:dyDescent="0.3">
      <c r="A1816" s="26">
        <v>45331</v>
      </c>
      <c r="B1816" t="s">
        <v>929</v>
      </c>
      <c r="C1816" t="s">
        <v>916</v>
      </c>
      <c r="D1816">
        <v>1.03</v>
      </c>
      <c r="E1816" t="s">
        <v>714</v>
      </c>
      <c r="F1816" t="s">
        <v>754</v>
      </c>
      <c r="G1816" t="s">
        <v>2197</v>
      </c>
      <c r="H1816" t="s">
        <v>30</v>
      </c>
      <c r="I1816" s="28" t="s">
        <v>28</v>
      </c>
    </row>
    <row r="1817" spans="1:9" x14ac:dyDescent="0.3">
      <c r="A1817" s="26">
        <v>45331</v>
      </c>
      <c r="B1817" t="s">
        <v>929</v>
      </c>
      <c r="C1817" t="s">
        <v>954</v>
      </c>
      <c r="D1817">
        <v>0.47</v>
      </c>
      <c r="E1817" t="s">
        <v>7</v>
      </c>
      <c r="F1817" t="s">
        <v>772</v>
      </c>
      <c r="G1817" t="s">
        <v>2198</v>
      </c>
      <c r="H1817" t="s">
        <v>30</v>
      </c>
      <c r="I1817" s="28" t="s">
        <v>28</v>
      </c>
    </row>
    <row r="1818" spans="1:9" x14ac:dyDescent="0.3">
      <c r="A1818" s="26">
        <v>45331</v>
      </c>
      <c r="B1818" t="s">
        <v>961</v>
      </c>
      <c r="C1818" t="s">
        <v>2158</v>
      </c>
      <c r="D1818">
        <v>8</v>
      </c>
      <c r="E1818" t="s">
        <v>7</v>
      </c>
      <c r="F1818" t="s">
        <v>772</v>
      </c>
      <c r="H1818" t="s">
        <v>30</v>
      </c>
      <c r="I1818" s="28" t="s">
        <v>28</v>
      </c>
    </row>
    <row r="1819" spans="1:9" x14ac:dyDescent="0.3">
      <c r="A1819" s="26">
        <v>45331</v>
      </c>
      <c r="B1819" t="s">
        <v>966</v>
      </c>
      <c r="C1819" t="s">
        <v>2158</v>
      </c>
      <c r="D1819">
        <v>8</v>
      </c>
      <c r="E1819" t="s">
        <v>7</v>
      </c>
      <c r="F1819" t="s">
        <v>772</v>
      </c>
      <c r="H1819" t="s">
        <v>30</v>
      </c>
      <c r="I1819" s="28" t="s">
        <v>28</v>
      </c>
    </row>
    <row r="1820" spans="1:9" x14ac:dyDescent="0.3">
      <c r="A1820" s="26">
        <v>45331</v>
      </c>
      <c r="B1820" t="s">
        <v>969</v>
      </c>
      <c r="C1820" t="s">
        <v>789</v>
      </c>
      <c r="D1820">
        <v>0.4</v>
      </c>
      <c r="E1820" t="s">
        <v>7</v>
      </c>
      <c r="F1820" t="s">
        <v>772</v>
      </c>
      <c r="G1820" t="s">
        <v>1012</v>
      </c>
      <c r="H1820" t="s">
        <v>30</v>
      </c>
      <c r="I1820" s="28" t="s">
        <v>28</v>
      </c>
    </row>
    <row r="1821" spans="1:9" x14ac:dyDescent="0.3">
      <c r="A1821" s="26">
        <v>45331</v>
      </c>
      <c r="B1821" t="s">
        <v>969</v>
      </c>
      <c r="C1821" t="s">
        <v>789</v>
      </c>
      <c r="D1821">
        <v>0.42</v>
      </c>
      <c r="E1821" t="s">
        <v>790</v>
      </c>
      <c r="F1821" t="s">
        <v>754</v>
      </c>
      <c r="G1821" t="s">
        <v>2199</v>
      </c>
      <c r="H1821" t="s">
        <v>30</v>
      </c>
      <c r="I1821" s="28" t="s">
        <v>28</v>
      </c>
    </row>
    <row r="1822" spans="1:9" x14ac:dyDescent="0.3">
      <c r="A1822" s="26">
        <v>45331</v>
      </c>
      <c r="B1822" t="s">
        <v>969</v>
      </c>
      <c r="C1822" t="s">
        <v>789</v>
      </c>
      <c r="D1822">
        <v>0.57999999999999996</v>
      </c>
      <c r="E1822" t="s">
        <v>790</v>
      </c>
      <c r="F1822" t="s">
        <v>754</v>
      </c>
      <c r="G1822" t="s">
        <v>2200</v>
      </c>
      <c r="H1822" t="s">
        <v>30</v>
      </c>
      <c r="I1822" s="28" t="s">
        <v>28</v>
      </c>
    </row>
    <row r="1823" spans="1:9" x14ac:dyDescent="0.3">
      <c r="A1823" s="26">
        <v>45331</v>
      </c>
      <c r="B1823" t="s">
        <v>969</v>
      </c>
      <c r="C1823" t="s">
        <v>835</v>
      </c>
      <c r="D1823">
        <v>1.38</v>
      </c>
      <c r="E1823" t="s">
        <v>790</v>
      </c>
      <c r="F1823" t="s">
        <v>754</v>
      </c>
      <c r="G1823" t="s">
        <v>976</v>
      </c>
      <c r="H1823" t="s">
        <v>30</v>
      </c>
      <c r="I1823" s="28" t="s">
        <v>28</v>
      </c>
    </row>
    <row r="1824" spans="1:9" x14ac:dyDescent="0.3">
      <c r="A1824" s="26">
        <v>45331</v>
      </c>
      <c r="B1824" t="s">
        <v>969</v>
      </c>
      <c r="C1824" t="s">
        <v>835</v>
      </c>
      <c r="D1824">
        <v>2.13</v>
      </c>
      <c r="E1824" t="s">
        <v>790</v>
      </c>
      <c r="F1824" t="s">
        <v>754</v>
      </c>
      <c r="G1824" t="s">
        <v>2201</v>
      </c>
      <c r="H1824" t="s">
        <v>30</v>
      </c>
      <c r="I1824" s="28" t="s">
        <v>28</v>
      </c>
    </row>
    <row r="1825" spans="1:9" x14ac:dyDescent="0.3">
      <c r="A1825" s="26">
        <v>45331</v>
      </c>
      <c r="B1825" t="s">
        <v>969</v>
      </c>
      <c r="C1825" t="s">
        <v>2158</v>
      </c>
      <c r="D1825">
        <v>4</v>
      </c>
      <c r="E1825" t="s">
        <v>7</v>
      </c>
      <c r="F1825" t="s">
        <v>772</v>
      </c>
      <c r="H1825" t="s">
        <v>30</v>
      </c>
      <c r="I1825" s="28" t="s">
        <v>28</v>
      </c>
    </row>
    <row r="1826" spans="1:9" x14ac:dyDescent="0.3">
      <c r="A1826" s="26">
        <v>45331</v>
      </c>
      <c r="B1826" t="s">
        <v>977</v>
      </c>
      <c r="C1826" t="s">
        <v>2158</v>
      </c>
      <c r="D1826">
        <v>8</v>
      </c>
      <c r="E1826" t="s">
        <v>7</v>
      </c>
      <c r="F1826" t="s">
        <v>772</v>
      </c>
      <c r="G1826" t="s">
        <v>2202</v>
      </c>
      <c r="H1826" t="s">
        <v>30</v>
      </c>
      <c r="I1826" s="28" t="s">
        <v>28</v>
      </c>
    </row>
    <row r="1827" spans="1:9" x14ac:dyDescent="0.3">
      <c r="A1827" s="26">
        <v>45331</v>
      </c>
      <c r="B1827" t="s">
        <v>981</v>
      </c>
      <c r="C1827" t="s">
        <v>2158</v>
      </c>
      <c r="D1827">
        <v>9</v>
      </c>
      <c r="E1827" t="s">
        <v>7</v>
      </c>
      <c r="F1827" t="s">
        <v>772</v>
      </c>
      <c r="G1827" t="s">
        <v>2171</v>
      </c>
      <c r="H1827" t="s">
        <v>30</v>
      </c>
      <c r="I1827" s="28" t="s">
        <v>28</v>
      </c>
    </row>
    <row r="1828" spans="1:9" x14ac:dyDescent="0.3">
      <c r="A1828" s="26">
        <v>45331</v>
      </c>
      <c r="B1828" t="s">
        <v>984</v>
      </c>
      <c r="C1828" t="s">
        <v>2158</v>
      </c>
      <c r="D1828">
        <v>8</v>
      </c>
      <c r="E1828" t="s">
        <v>7</v>
      </c>
      <c r="F1828" t="s">
        <v>772</v>
      </c>
      <c r="H1828" t="s">
        <v>30</v>
      </c>
      <c r="I1828" s="28" t="s">
        <v>28</v>
      </c>
    </row>
    <row r="1829" spans="1:9" x14ac:dyDescent="0.3">
      <c r="A1829" s="26">
        <v>45331</v>
      </c>
      <c r="B1829" t="s">
        <v>991</v>
      </c>
      <c r="C1829" t="s">
        <v>776</v>
      </c>
      <c r="D1829">
        <v>2</v>
      </c>
      <c r="E1829" t="s">
        <v>999</v>
      </c>
      <c r="F1829" t="s">
        <v>772</v>
      </c>
      <c r="G1829" t="s">
        <v>2203</v>
      </c>
      <c r="H1829" t="s">
        <v>30</v>
      </c>
      <c r="I1829" s="28" t="s">
        <v>28</v>
      </c>
    </row>
    <row r="1830" spans="1:9" x14ac:dyDescent="0.3">
      <c r="A1830" s="26">
        <v>45331</v>
      </c>
      <c r="B1830" t="s">
        <v>991</v>
      </c>
      <c r="C1830" t="s">
        <v>2158</v>
      </c>
      <c r="D1830">
        <v>6</v>
      </c>
      <c r="E1830" t="s">
        <v>7</v>
      </c>
      <c r="F1830" t="s">
        <v>772</v>
      </c>
      <c r="G1830" t="s">
        <v>2169</v>
      </c>
      <c r="H1830" t="s">
        <v>30</v>
      </c>
      <c r="I1830" s="28" t="s">
        <v>28</v>
      </c>
    </row>
    <row r="1831" spans="1:9" x14ac:dyDescent="0.3">
      <c r="A1831" s="26">
        <v>45331</v>
      </c>
      <c r="B1831" t="s">
        <v>1002</v>
      </c>
      <c r="C1831" t="s">
        <v>2158</v>
      </c>
      <c r="D1831">
        <v>8</v>
      </c>
      <c r="E1831" t="s">
        <v>7</v>
      </c>
      <c r="F1831" t="s">
        <v>772</v>
      </c>
      <c r="H1831" t="s">
        <v>30</v>
      </c>
      <c r="I1831" s="28" t="s">
        <v>28</v>
      </c>
    </row>
    <row r="1832" spans="1:9" x14ac:dyDescent="0.3">
      <c r="A1832" s="26">
        <v>45331</v>
      </c>
      <c r="B1832" t="s">
        <v>1005</v>
      </c>
      <c r="C1832" t="s">
        <v>753</v>
      </c>
      <c r="D1832">
        <v>0.25</v>
      </c>
      <c r="E1832" t="s">
        <v>1876</v>
      </c>
      <c r="F1832" t="s">
        <v>754</v>
      </c>
      <c r="H1832" t="s">
        <v>30</v>
      </c>
      <c r="I1832" s="28" t="s">
        <v>28</v>
      </c>
    </row>
    <row r="1833" spans="1:9" x14ac:dyDescent="0.3">
      <c r="A1833" s="26">
        <v>45331</v>
      </c>
      <c r="B1833" t="s">
        <v>1005</v>
      </c>
      <c r="C1833" t="s">
        <v>753</v>
      </c>
      <c r="D1833">
        <v>0.5</v>
      </c>
      <c r="E1833" t="s">
        <v>1438</v>
      </c>
      <c r="F1833" t="s">
        <v>754</v>
      </c>
      <c r="G1833" t="s">
        <v>2204</v>
      </c>
      <c r="H1833" t="s">
        <v>30</v>
      </c>
      <c r="I1833" s="28" t="s">
        <v>28</v>
      </c>
    </row>
    <row r="1834" spans="1:9" x14ac:dyDescent="0.3">
      <c r="A1834" s="26">
        <v>45331</v>
      </c>
      <c r="B1834" t="s">
        <v>1005</v>
      </c>
      <c r="C1834" t="s">
        <v>753</v>
      </c>
      <c r="D1834">
        <v>0.5</v>
      </c>
      <c r="E1834" t="s">
        <v>471</v>
      </c>
      <c r="F1834" t="s">
        <v>754</v>
      </c>
      <c r="H1834" t="s">
        <v>30</v>
      </c>
      <c r="I1834" s="28" t="s">
        <v>28</v>
      </c>
    </row>
    <row r="1835" spans="1:9" x14ac:dyDescent="0.3">
      <c r="A1835" s="26">
        <v>45331</v>
      </c>
      <c r="B1835" t="s">
        <v>1005</v>
      </c>
      <c r="C1835" t="s">
        <v>753</v>
      </c>
      <c r="D1835">
        <v>0.75</v>
      </c>
      <c r="E1835" t="s">
        <v>1438</v>
      </c>
      <c r="F1835" t="s">
        <v>754</v>
      </c>
      <c r="G1835" t="s">
        <v>2205</v>
      </c>
      <c r="H1835" t="s">
        <v>30</v>
      </c>
      <c r="I1835" s="28" t="s">
        <v>28</v>
      </c>
    </row>
    <row r="1836" spans="1:9" x14ac:dyDescent="0.3">
      <c r="A1836" s="26">
        <v>45331</v>
      </c>
      <c r="B1836" t="s">
        <v>1005</v>
      </c>
      <c r="C1836" t="s">
        <v>753</v>
      </c>
      <c r="D1836">
        <v>1</v>
      </c>
      <c r="E1836" t="s">
        <v>430</v>
      </c>
      <c r="F1836" t="s">
        <v>772</v>
      </c>
      <c r="G1836" t="s">
        <v>2206</v>
      </c>
      <c r="H1836" t="s">
        <v>30</v>
      </c>
      <c r="I1836" s="28" t="s">
        <v>28</v>
      </c>
    </row>
    <row r="1837" spans="1:9" x14ac:dyDescent="0.3">
      <c r="A1837" s="26">
        <v>45331</v>
      </c>
      <c r="B1837" t="s">
        <v>1005</v>
      </c>
      <c r="C1837" t="s">
        <v>771</v>
      </c>
      <c r="D1837">
        <v>0.5</v>
      </c>
      <c r="E1837" t="s">
        <v>7</v>
      </c>
      <c r="F1837" t="s">
        <v>772</v>
      </c>
      <c r="G1837" t="s">
        <v>2207</v>
      </c>
      <c r="H1837" t="s">
        <v>30</v>
      </c>
      <c r="I1837" s="28" t="s">
        <v>28</v>
      </c>
    </row>
    <row r="1838" spans="1:9" x14ac:dyDescent="0.3">
      <c r="A1838" s="26">
        <v>45331</v>
      </c>
      <c r="B1838" t="s">
        <v>1005</v>
      </c>
      <c r="C1838" t="s">
        <v>1441</v>
      </c>
      <c r="D1838">
        <v>0.5</v>
      </c>
      <c r="E1838" t="s">
        <v>161</v>
      </c>
      <c r="F1838" t="s">
        <v>754</v>
      </c>
      <c r="H1838" t="s">
        <v>30</v>
      </c>
      <c r="I1838" s="28" t="s">
        <v>28</v>
      </c>
    </row>
    <row r="1839" spans="1:9" x14ac:dyDescent="0.3">
      <c r="A1839" s="26">
        <v>45331</v>
      </c>
      <c r="B1839" t="s">
        <v>1005</v>
      </c>
      <c r="C1839" t="s">
        <v>776</v>
      </c>
      <c r="D1839">
        <v>0.5</v>
      </c>
      <c r="E1839" t="s">
        <v>141</v>
      </c>
      <c r="F1839" t="s">
        <v>754</v>
      </c>
      <c r="G1839" t="s">
        <v>2208</v>
      </c>
      <c r="H1839" t="s">
        <v>30</v>
      </c>
      <c r="I1839" s="28" t="s">
        <v>28</v>
      </c>
    </row>
    <row r="1840" spans="1:9" x14ac:dyDescent="0.3">
      <c r="A1840" s="26">
        <v>45331</v>
      </c>
      <c r="B1840" t="s">
        <v>1005</v>
      </c>
      <c r="C1840" t="s">
        <v>776</v>
      </c>
      <c r="D1840">
        <v>0.5</v>
      </c>
      <c r="E1840" t="s">
        <v>201</v>
      </c>
      <c r="F1840" t="s">
        <v>754</v>
      </c>
      <c r="H1840" t="s">
        <v>30</v>
      </c>
      <c r="I1840" s="28" t="s">
        <v>28</v>
      </c>
    </row>
    <row r="1841" spans="1:9" x14ac:dyDescent="0.3">
      <c r="A1841" s="26">
        <v>45331</v>
      </c>
      <c r="B1841" t="s">
        <v>1006</v>
      </c>
      <c r="C1841" t="s">
        <v>909</v>
      </c>
      <c r="D1841">
        <v>0.12</v>
      </c>
      <c r="E1841" t="s">
        <v>151</v>
      </c>
      <c r="F1841" t="s">
        <v>754</v>
      </c>
      <c r="G1841" t="s">
        <v>1012</v>
      </c>
      <c r="H1841" t="s">
        <v>30</v>
      </c>
      <c r="I1841" s="28" t="s">
        <v>28</v>
      </c>
    </row>
    <row r="1842" spans="1:9" x14ac:dyDescent="0.3">
      <c r="A1842" s="26">
        <v>45331</v>
      </c>
      <c r="B1842" t="s">
        <v>1006</v>
      </c>
      <c r="C1842" t="s">
        <v>909</v>
      </c>
      <c r="D1842">
        <v>0.78</v>
      </c>
      <c r="E1842" t="s">
        <v>757</v>
      </c>
      <c r="F1842" t="s">
        <v>754</v>
      </c>
      <c r="G1842" t="s">
        <v>2209</v>
      </c>
      <c r="H1842" t="s">
        <v>30</v>
      </c>
      <c r="I1842" s="28" t="s">
        <v>28</v>
      </c>
    </row>
    <row r="1843" spans="1:9" x14ac:dyDescent="0.3">
      <c r="A1843" s="26">
        <v>45331</v>
      </c>
      <c r="B1843" t="s">
        <v>1006</v>
      </c>
      <c r="C1843" t="s">
        <v>909</v>
      </c>
      <c r="D1843">
        <v>0.9</v>
      </c>
      <c r="E1843" t="s">
        <v>583</v>
      </c>
      <c r="F1843" t="s">
        <v>754</v>
      </c>
      <c r="G1843" t="s">
        <v>2210</v>
      </c>
      <c r="H1843" t="s">
        <v>30</v>
      </c>
      <c r="I1843" s="28" t="s">
        <v>28</v>
      </c>
    </row>
    <row r="1844" spans="1:9" x14ac:dyDescent="0.3">
      <c r="A1844" s="26">
        <v>45331</v>
      </c>
      <c r="B1844" t="s">
        <v>1006</v>
      </c>
      <c r="C1844" t="s">
        <v>771</v>
      </c>
      <c r="D1844">
        <v>4.2</v>
      </c>
      <c r="E1844" t="s">
        <v>7</v>
      </c>
      <c r="F1844" t="s">
        <v>772</v>
      </c>
      <c r="G1844" t="s">
        <v>1010</v>
      </c>
      <c r="H1844" t="s">
        <v>30</v>
      </c>
      <c r="I1844" s="28" t="s">
        <v>28</v>
      </c>
    </row>
    <row r="1845" spans="1:9" x14ac:dyDescent="0.3">
      <c r="A1845" s="26">
        <v>45331</v>
      </c>
      <c r="B1845" t="s">
        <v>1011</v>
      </c>
      <c r="C1845" t="s">
        <v>2158</v>
      </c>
      <c r="D1845">
        <v>8</v>
      </c>
      <c r="E1845" t="s">
        <v>7</v>
      </c>
      <c r="F1845" t="s">
        <v>772</v>
      </c>
      <c r="H1845" t="s">
        <v>30</v>
      </c>
      <c r="I1845" s="28" t="s">
        <v>28</v>
      </c>
    </row>
    <row r="1846" spans="1:9" x14ac:dyDescent="0.3">
      <c r="A1846" s="26">
        <v>45331</v>
      </c>
      <c r="B1846" t="s">
        <v>1020</v>
      </c>
      <c r="C1846" t="s">
        <v>753</v>
      </c>
      <c r="D1846">
        <v>1.33</v>
      </c>
      <c r="E1846" t="s">
        <v>964</v>
      </c>
      <c r="F1846" t="s">
        <v>754</v>
      </c>
      <c r="G1846" t="s">
        <v>2211</v>
      </c>
      <c r="H1846" t="s">
        <v>30</v>
      </c>
      <c r="I1846" s="28" t="s">
        <v>28</v>
      </c>
    </row>
    <row r="1847" spans="1:9" x14ac:dyDescent="0.3">
      <c r="A1847" s="26">
        <v>45331</v>
      </c>
      <c r="B1847" t="s">
        <v>1020</v>
      </c>
      <c r="C1847" t="s">
        <v>776</v>
      </c>
      <c r="D1847">
        <v>0.82</v>
      </c>
      <c r="E1847" t="s">
        <v>11</v>
      </c>
      <c r="F1847" t="s">
        <v>754</v>
      </c>
      <c r="H1847" t="s">
        <v>30</v>
      </c>
      <c r="I1847" s="28" t="s">
        <v>28</v>
      </c>
    </row>
    <row r="1848" spans="1:9" x14ac:dyDescent="0.3">
      <c r="A1848" s="26">
        <v>45331</v>
      </c>
      <c r="B1848" t="s">
        <v>1020</v>
      </c>
      <c r="C1848" t="s">
        <v>776</v>
      </c>
      <c r="D1848">
        <v>3.32</v>
      </c>
      <c r="E1848" t="s">
        <v>11</v>
      </c>
      <c r="F1848" t="s">
        <v>754</v>
      </c>
      <c r="G1848" t="s">
        <v>2212</v>
      </c>
      <c r="H1848" t="s">
        <v>30</v>
      </c>
      <c r="I1848" s="28" t="s">
        <v>28</v>
      </c>
    </row>
    <row r="1849" spans="1:9" x14ac:dyDescent="0.3">
      <c r="A1849" s="26">
        <v>45331</v>
      </c>
      <c r="B1849" t="s">
        <v>1026</v>
      </c>
      <c r="C1849" t="s">
        <v>2158</v>
      </c>
      <c r="D1849">
        <v>8</v>
      </c>
      <c r="E1849" t="s">
        <v>7</v>
      </c>
      <c r="F1849" t="s">
        <v>772</v>
      </c>
      <c r="H1849" t="s">
        <v>30</v>
      </c>
      <c r="I1849" s="28" t="s">
        <v>28</v>
      </c>
    </row>
    <row r="1850" spans="1:9" x14ac:dyDescent="0.3">
      <c r="A1850" s="26">
        <v>45331</v>
      </c>
      <c r="B1850" t="s">
        <v>1032</v>
      </c>
      <c r="C1850" t="s">
        <v>753</v>
      </c>
      <c r="D1850">
        <v>8.2200000000000006</v>
      </c>
      <c r="E1850" t="s">
        <v>790</v>
      </c>
      <c r="F1850" t="s">
        <v>754</v>
      </c>
      <c r="H1850" t="s">
        <v>30</v>
      </c>
      <c r="I1850" s="28" t="s">
        <v>28</v>
      </c>
    </row>
    <row r="1851" spans="1:9" x14ac:dyDescent="0.3">
      <c r="A1851" s="26">
        <v>45331</v>
      </c>
      <c r="B1851" t="s">
        <v>1032</v>
      </c>
      <c r="C1851" t="s">
        <v>789</v>
      </c>
      <c r="D1851">
        <v>1.45</v>
      </c>
      <c r="E1851" t="s">
        <v>790</v>
      </c>
      <c r="F1851" t="s">
        <v>754</v>
      </c>
      <c r="G1851" t="s">
        <v>2213</v>
      </c>
      <c r="H1851" t="s">
        <v>30</v>
      </c>
      <c r="I1851" s="28" t="s">
        <v>28</v>
      </c>
    </row>
    <row r="1852" spans="1:9" x14ac:dyDescent="0.3">
      <c r="A1852" s="26">
        <v>45331</v>
      </c>
      <c r="B1852" t="s">
        <v>1034</v>
      </c>
      <c r="C1852" t="s">
        <v>2158</v>
      </c>
      <c r="D1852">
        <v>8</v>
      </c>
      <c r="E1852" t="s">
        <v>7</v>
      </c>
      <c r="F1852" t="s">
        <v>772</v>
      </c>
      <c r="H1852" t="s">
        <v>30</v>
      </c>
      <c r="I1852" s="28" t="s">
        <v>28</v>
      </c>
    </row>
    <row r="1853" spans="1:9" x14ac:dyDescent="0.3">
      <c r="A1853" s="26">
        <v>45331</v>
      </c>
      <c r="B1853" t="s">
        <v>1049</v>
      </c>
      <c r="C1853" t="s">
        <v>2158</v>
      </c>
      <c r="D1853">
        <v>8</v>
      </c>
      <c r="E1853" t="s">
        <v>7</v>
      </c>
      <c r="F1853" t="s">
        <v>772</v>
      </c>
      <c r="H1853" t="s">
        <v>30</v>
      </c>
      <c r="I1853" s="28" t="s">
        <v>28</v>
      </c>
    </row>
    <row r="1854" spans="1:9" x14ac:dyDescent="0.3">
      <c r="A1854" s="26">
        <v>45331</v>
      </c>
      <c r="B1854" t="s">
        <v>1060</v>
      </c>
      <c r="C1854" t="s">
        <v>909</v>
      </c>
      <c r="D1854">
        <v>0.17</v>
      </c>
      <c r="E1854" t="s">
        <v>141</v>
      </c>
      <c r="F1854" t="s">
        <v>754</v>
      </c>
      <c r="G1854" t="s">
        <v>2214</v>
      </c>
      <c r="H1854" t="s">
        <v>30</v>
      </c>
      <c r="I1854" s="28" t="s">
        <v>28</v>
      </c>
    </row>
    <row r="1855" spans="1:9" x14ac:dyDescent="0.3">
      <c r="A1855" s="26">
        <v>45331</v>
      </c>
      <c r="B1855" t="s">
        <v>1060</v>
      </c>
      <c r="C1855" t="s">
        <v>909</v>
      </c>
      <c r="D1855">
        <v>0.17</v>
      </c>
      <c r="E1855" t="s">
        <v>201</v>
      </c>
      <c r="F1855" t="s">
        <v>754</v>
      </c>
      <c r="G1855" t="s">
        <v>2215</v>
      </c>
      <c r="H1855" t="s">
        <v>30</v>
      </c>
      <c r="I1855" s="28" t="s">
        <v>28</v>
      </c>
    </row>
    <row r="1856" spans="1:9" x14ac:dyDescent="0.3">
      <c r="A1856" s="26">
        <v>45331</v>
      </c>
      <c r="B1856" t="s">
        <v>1060</v>
      </c>
      <c r="C1856" t="s">
        <v>909</v>
      </c>
      <c r="D1856">
        <v>0.33</v>
      </c>
      <c r="E1856" t="s">
        <v>562</v>
      </c>
      <c r="F1856" t="s">
        <v>772</v>
      </c>
      <c r="G1856" t="s">
        <v>2216</v>
      </c>
      <c r="H1856" t="s">
        <v>30</v>
      </c>
      <c r="I1856" s="28" t="s">
        <v>28</v>
      </c>
    </row>
    <row r="1857" spans="1:9" x14ac:dyDescent="0.3">
      <c r="A1857" s="26">
        <v>45331</v>
      </c>
      <c r="B1857" t="s">
        <v>1060</v>
      </c>
      <c r="C1857" t="s">
        <v>909</v>
      </c>
      <c r="D1857">
        <v>0.5</v>
      </c>
      <c r="E1857" t="s">
        <v>248</v>
      </c>
      <c r="F1857" t="s">
        <v>754</v>
      </c>
      <c r="G1857" t="s">
        <v>2217</v>
      </c>
      <c r="H1857" t="s">
        <v>30</v>
      </c>
      <c r="I1857" s="28" t="s">
        <v>28</v>
      </c>
    </row>
    <row r="1858" spans="1:9" x14ac:dyDescent="0.3">
      <c r="A1858" s="26">
        <v>45331</v>
      </c>
      <c r="B1858" t="s">
        <v>1060</v>
      </c>
      <c r="C1858" t="s">
        <v>909</v>
      </c>
      <c r="D1858">
        <v>0.5</v>
      </c>
      <c r="E1858" t="s">
        <v>316</v>
      </c>
      <c r="F1858" t="s">
        <v>754</v>
      </c>
      <c r="G1858" t="s">
        <v>2218</v>
      </c>
      <c r="H1858" t="s">
        <v>30</v>
      </c>
      <c r="I1858" s="28" t="s">
        <v>28</v>
      </c>
    </row>
    <row r="1859" spans="1:9" x14ac:dyDescent="0.3">
      <c r="A1859" s="26">
        <v>45331</v>
      </c>
      <c r="B1859" t="s">
        <v>1060</v>
      </c>
      <c r="C1859" t="s">
        <v>909</v>
      </c>
      <c r="D1859">
        <v>0.5</v>
      </c>
      <c r="E1859" t="s">
        <v>375</v>
      </c>
      <c r="F1859" t="s">
        <v>754</v>
      </c>
      <c r="G1859" t="s">
        <v>2217</v>
      </c>
      <c r="H1859" t="s">
        <v>30</v>
      </c>
      <c r="I1859" s="28" t="s">
        <v>28</v>
      </c>
    </row>
    <row r="1860" spans="1:9" x14ac:dyDescent="0.3">
      <c r="A1860" s="26">
        <v>45331</v>
      </c>
      <c r="B1860" t="s">
        <v>1060</v>
      </c>
      <c r="C1860" t="s">
        <v>909</v>
      </c>
      <c r="D1860">
        <v>1</v>
      </c>
      <c r="E1860" t="s">
        <v>1876</v>
      </c>
      <c r="F1860" t="s">
        <v>754</v>
      </c>
      <c r="G1860" t="s">
        <v>2219</v>
      </c>
      <c r="H1860" t="s">
        <v>30</v>
      </c>
      <c r="I1860" s="28" t="s">
        <v>28</v>
      </c>
    </row>
    <row r="1861" spans="1:9" x14ac:dyDescent="0.3">
      <c r="A1861" s="26">
        <v>45331</v>
      </c>
      <c r="B1861" t="s">
        <v>1060</v>
      </c>
      <c r="C1861" t="s">
        <v>771</v>
      </c>
      <c r="D1861">
        <v>0.5</v>
      </c>
      <c r="E1861" t="s">
        <v>7</v>
      </c>
      <c r="F1861" t="s">
        <v>772</v>
      </c>
      <c r="G1861" t="s">
        <v>2220</v>
      </c>
      <c r="H1861" t="s">
        <v>30</v>
      </c>
      <c r="I1861" s="28" t="s">
        <v>28</v>
      </c>
    </row>
    <row r="1862" spans="1:9" x14ac:dyDescent="0.3">
      <c r="A1862" s="26">
        <v>45331</v>
      </c>
      <c r="B1862" t="s">
        <v>1060</v>
      </c>
      <c r="C1862" t="s">
        <v>771</v>
      </c>
      <c r="D1862">
        <v>0.75</v>
      </c>
      <c r="E1862" t="s">
        <v>7</v>
      </c>
      <c r="F1862" t="s">
        <v>772</v>
      </c>
      <c r="G1862" t="s">
        <v>2221</v>
      </c>
      <c r="H1862" t="s">
        <v>30</v>
      </c>
      <c r="I1862" s="28" t="s">
        <v>28</v>
      </c>
    </row>
    <row r="1863" spans="1:9" x14ac:dyDescent="0.3">
      <c r="A1863" s="26">
        <v>45331</v>
      </c>
      <c r="B1863" t="s">
        <v>1060</v>
      </c>
      <c r="C1863" t="s">
        <v>1068</v>
      </c>
      <c r="D1863">
        <v>0.33</v>
      </c>
      <c r="E1863" t="s">
        <v>898</v>
      </c>
      <c r="F1863" t="s">
        <v>754</v>
      </c>
      <c r="G1863" t="s">
        <v>1285</v>
      </c>
      <c r="H1863" t="s">
        <v>30</v>
      </c>
      <c r="I1863" s="28" t="s">
        <v>28</v>
      </c>
    </row>
    <row r="1864" spans="1:9" x14ac:dyDescent="0.3">
      <c r="A1864" s="26">
        <v>45331</v>
      </c>
      <c r="B1864" t="s">
        <v>1060</v>
      </c>
      <c r="C1864" t="s">
        <v>1441</v>
      </c>
      <c r="D1864">
        <v>0.17</v>
      </c>
      <c r="E1864" t="s">
        <v>813</v>
      </c>
      <c r="F1864" t="s">
        <v>754</v>
      </c>
      <c r="G1864" t="s">
        <v>1927</v>
      </c>
      <c r="H1864" t="s">
        <v>30</v>
      </c>
      <c r="I1864" s="28" t="s">
        <v>28</v>
      </c>
    </row>
    <row r="1865" spans="1:9" x14ac:dyDescent="0.3">
      <c r="A1865" s="26">
        <v>45331</v>
      </c>
      <c r="B1865" t="s">
        <v>1060</v>
      </c>
      <c r="C1865" t="s">
        <v>916</v>
      </c>
      <c r="D1865">
        <v>0.33</v>
      </c>
      <c r="E1865" t="s">
        <v>226</v>
      </c>
      <c r="F1865" t="s">
        <v>754</v>
      </c>
      <c r="G1865" t="s">
        <v>1071</v>
      </c>
      <c r="H1865" t="s">
        <v>30</v>
      </c>
      <c r="I1865" s="28" t="s">
        <v>28</v>
      </c>
    </row>
    <row r="1866" spans="1:9" x14ac:dyDescent="0.3">
      <c r="A1866" s="26">
        <v>45331</v>
      </c>
      <c r="B1866" t="s">
        <v>1060</v>
      </c>
      <c r="C1866" t="s">
        <v>916</v>
      </c>
      <c r="D1866">
        <v>0.33</v>
      </c>
      <c r="E1866" t="s">
        <v>1852</v>
      </c>
      <c r="F1866" t="s">
        <v>754</v>
      </c>
      <c r="G1866" t="s">
        <v>1071</v>
      </c>
      <c r="H1866" t="s">
        <v>30</v>
      </c>
      <c r="I1866" s="28" t="s">
        <v>28</v>
      </c>
    </row>
    <row r="1867" spans="1:9" x14ac:dyDescent="0.3">
      <c r="A1867" s="26">
        <v>45331</v>
      </c>
      <c r="B1867" t="s">
        <v>1060</v>
      </c>
      <c r="C1867" t="s">
        <v>916</v>
      </c>
      <c r="D1867">
        <v>0.33</v>
      </c>
      <c r="E1867" t="s">
        <v>659</v>
      </c>
      <c r="F1867" t="s">
        <v>754</v>
      </c>
      <c r="G1867" t="s">
        <v>1071</v>
      </c>
      <c r="H1867" t="s">
        <v>30</v>
      </c>
      <c r="I1867" s="28" t="s">
        <v>28</v>
      </c>
    </row>
    <row r="1868" spans="1:9" x14ac:dyDescent="0.3">
      <c r="A1868" s="26">
        <v>45331</v>
      </c>
      <c r="B1868" t="s">
        <v>1060</v>
      </c>
      <c r="C1868" t="s">
        <v>916</v>
      </c>
      <c r="D1868">
        <v>0.5</v>
      </c>
      <c r="E1868" t="s">
        <v>985</v>
      </c>
      <c r="F1868" t="s">
        <v>754</v>
      </c>
      <c r="G1868" t="s">
        <v>2222</v>
      </c>
      <c r="H1868" t="s">
        <v>30</v>
      </c>
      <c r="I1868" s="28" t="s">
        <v>28</v>
      </c>
    </row>
    <row r="1869" spans="1:9" x14ac:dyDescent="0.3">
      <c r="A1869" s="26">
        <v>45331</v>
      </c>
      <c r="B1869" t="s">
        <v>1060</v>
      </c>
      <c r="C1869" t="s">
        <v>916</v>
      </c>
      <c r="D1869">
        <v>1</v>
      </c>
      <c r="E1869" t="s">
        <v>1273</v>
      </c>
      <c r="F1869" t="s">
        <v>754</v>
      </c>
      <c r="G1869" t="s">
        <v>2223</v>
      </c>
      <c r="H1869" t="s">
        <v>30</v>
      </c>
      <c r="I1869" s="28" t="s">
        <v>28</v>
      </c>
    </row>
    <row r="1870" spans="1:9" x14ac:dyDescent="0.3">
      <c r="A1870" s="26">
        <v>45331</v>
      </c>
      <c r="B1870" t="s">
        <v>1074</v>
      </c>
      <c r="C1870" t="s">
        <v>753</v>
      </c>
      <c r="D1870">
        <v>0.8</v>
      </c>
      <c r="E1870" t="s">
        <v>964</v>
      </c>
      <c r="F1870" t="s">
        <v>754</v>
      </c>
      <c r="G1870" t="s">
        <v>2224</v>
      </c>
      <c r="H1870" t="s">
        <v>30</v>
      </c>
      <c r="I1870" s="28" t="s">
        <v>28</v>
      </c>
    </row>
    <row r="1871" spans="1:9" x14ac:dyDescent="0.3">
      <c r="A1871" s="26">
        <v>45331</v>
      </c>
      <c r="B1871" t="s">
        <v>1074</v>
      </c>
      <c r="C1871" t="s">
        <v>909</v>
      </c>
      <c r="D1871">
        <v>0.2</v>
      </c>
      <c r="E1871" t="s">
        <v>1096</v>
      </c>
      <c r="F1871" t="s">
        <v>754</v>
      </c>
      <c r="G1871" t="s">
        <v>2225</v>
      </c>
      <c r="H1871" t="s">
        <v>30</v>
      </c>
      <c r="I1871" s="28" t="s">
        <v>28</v>
      </c>
    </row>
    <row r="1872" spans="1:9" x14ac:dyDescent="0.3">
      <c r="A1872" s="26">
        <v>45331</v>
      </c>
      <c r="B1872" t="s">
        <v>1074</v>
      </c>
      <c r="C1872" t="s">
        <v>909</v>
      </c>
      <c r="D1872">
        <v>0.5</v>
      </c>
      <c r="E1872" t="s">
        <v>964</v>
      </c>
      <c r="F1872" t="s">
        <v>754</v>
      </c>
      <c r="G1872" t="s">
        <v>2226</v>
      </c>
      <c r="H1872" t="s">
        <v>30</v>
      </c>
      <c r="I1872" s="28" t="s">
        <v>28</v>
      </c>
    </row>
    <row r="1873" spans="1:9" x14ac:dyDescent="0.3">
      <c r="A1873" s="26">
        <v>45331</v>
      </c>
      <c r="B1873" t="s">
        <v>1074</v>
      </c>
      <c r="C1873" t="s">
        <v>909</v>
      </c>
      <c r="D1873">
        <v>0.8</v>
      </c>
      <c r="E1873" t="s">
        <v>964</v>
      </c>
      <c r="F1873" t="s">
        <v>754</v>
      </c>
      <c r="G1873" t="s">
        <v>2227</v>
      </c>
      <c r="H1873" t="s">
        <v>30</v>
      </c>
      <c r="I1873" s="28" t="s">
        <v>28</v>
      </c>
    </row>
    <row r="1874" spans="1:9" x14ac:dyDescent="0.3">
      <c r="A1874" s="26">
        <v>45331</v>
      </c>
      <c r="B1874" t="s">
        <v>1074</v>
      </c>
      <c r="C1874" t="s">
        <v>771</v>
      </c>
      <c r="D1874">
        <v>1</v>
      </c>
      <c r="E1874" t="s">
        <v>7</v>
      </c>
      <c r="F1874" t="s">
        <v>772</v>
      </c>
      <c r="G1874" t="s">
        <v>2228</v>
      </c>
      <c r="H1874" t="s">
        <v>30</v>
      </c>
      <c r="I1874" s="28" t="s">
        <v>28</v>
      </c>
    </row>
    <row r="1875" spans="1:9" x14ac:dyDescent="0.3">
      <c r="A1875" s="26">
        <v>45331</v>
      </c>
      <c r="B1875" t="s">
        <v>1074</v>
      </c>
      <c r="C1875" t="s">
        <v>916</v>
      </c>
      <c r="D1875">
        <v>0.1</v>
      </c>
      <c r="E1875" t="s">
        <v>1096</v>
      </c>
      <c r="F1875" t="s">
        <v>754</v>
      </c>
      <c r="G1875" t="s">
        <v>2229</v>
      </c>
      <c r="H1875" t="s">
        <v>30</v>
      </c>
      <c r="I1875" s="28" t="s">
        <v>28</v>
      </c>
    </row>
    <row r="1876" spans="1:9" x14ac:dyDescent="0.3">
      <c r="A1876" s="26">
        <v>45331</v>
      </c>
      <c r="B1876" t="s">
        <v>1081</v>
      </c>
      <c r="C1876" t="s">
        <v>2158</v>
      </c>
      <c r="D1876">
        <v>8</v>
      </c>
      <c r="E1876" t="s">
        <v>7</v>
      </c>
      <c r="F1876" t="s">
        <v>772</v>
      </c>
      <c r="H1876" t="s">
        <v>30</v>
      </c>
      <c r="I1876" s="28" t="s">
        <v>28</v>
      </c>
    </row>
    <row r="1877" spans="1:9" x14ac:dyDescent="0.3">
      <c r="A1877" s="26">
        <v>45333</v>
      </c>
      <c r="B1877" t="s">
        <v>1043</v>
      </c>
      <c r="C1877" t="s">
        <v>919</v>
      </c>
      <c r="D1877">
        <v>0.2</v>
      </c>
      <c r="E1877" t="s">
        <v>1709</v>
      </c>
      <c r="F1877" t="s">
        <v>754</v>
      </c>
      <c r="G1877" t="s">
        <v>2230</v>
      </c>
      <c r="H1877" t="s">
        <v>31</v>
      </c>
      <c r="I1877" s="28" t="s">
        <v>4521</v>
      </c>
    </row>
    <row r="1878" spans="1:9" x14ac:dyDescent="0.3">
      <c r="A1878" s="26">
        <v>45334</v>
      </c>
      <c r="B1878" t="s">
        <v>752</v>
      </c>
      <c r="C1878" t="s">
        <v>753</v>
      </c>
      <c r="D1878">
        <v>0.05</v>
      </c>
      <c r="E1878" t="s">
        <v>210</v>
      </c>
      <c r="F1878" t="s">
        <v>754</v>
      </c>
      <c r="G1878" t="s">
        <v>760</v>
      </c>
      <c r="H1878" t="s">
        <v>31</v>
      </c>
      <c r="I1878" s="28" t="s">
        <v>24</v>
      </c>
    </row>
    <row r="1879" spans="1:9" x14ac:dyDescent="0.3">
      <c r="A1879" s="26">
        <v>45334</v>
      </c>
      <c r="B1879" t="s">
        <v>752</v>
      </c>
      <c r="C1879" t="s">
        <v>753</v>
      </c>
      <c r="D1879">
        <v>0.05</v>
      </c>
      <c r="E1879" t="s">
        <v>664</v>
      </c>
      <c r="F1879" t="s">
        <v>754</v>
      </c>
      <c r="G1879" t="s">
        <v>755</v>
      </c>
      <c r="H1879" t="s">
        <v>31</v>
      </c>
      <c r="I1879" s="28" t="s">
        <v>24</v>
      </c>
    </row>
    <row r="1880" spans="1:9" x14ac:dyDescent="0.3">
      <c r="A1880" s="26">
        <v>45334</v>
      </c>
      <c r="B1880" t="s">
        <v>752</v>
      </c>
      <c r="C1880" t="s">
        <v>753</v>
      </c>
      <c r="D1880">
        <v>7.0000000000000007E-2</v>
      </c>
      <c r="E1880" t="s">
        <v>757</v>
      </c>
      <c r="F1880" t="s">
        <v>754</v>
      </c>
      <c r="G1880" t="s">
        <v>2231</v>
      </c>
      <c r="H1880" t="s">
        <v>31</v>
      </c>
      <c r="I1880" s="28" t="s">
        <v>24</v>
      </c>
    </row>
    <row r="1881" spans="1:9" x14ac:dyDescent="0.3">
      <c r="A1881" s="26">
        <v>45334</v>
      </c>
      <c r="B1881" t="s">
        <v>752</v>
      </c>
      <c r="C1881" t="s">
        <v>753</v>
      </c>
      <c r="D1881">
        <v>7.0000000000000007E-2</v>
      </c>
      <c r="E1881" t="s">
        <v>602</v>
      </c>
      <c r="F1881" t="s">
        <v>754</v>
      </c>
      <c r="G1881" t="s">
        <v>760</v>
      </c>
      <c r="H1881" t="s">
        <v>31</v>
      </c>
      <c r="I1881" s="28" t="s">
        <v>24</v>
      </c>
    </row>
    <row r="1882" spans="1:9" x14ac:dyDescent="0.3">
      <c r="A1882" s="26">
        <v>45334</v>
      </c>
      <c r="B1882" t="s">
        <v>752</v>
      </c>
      <c r="C1882" t="s">
        <v>753</v>
      </c>
      <c r="D1882">
        <v>0.1</v>
      </c>
      <c r="E1882" t="s">
        <v>458</v>
      </c>
      <c r="F1882" t="s">
        <v>754</v>
      </c>
      <c r="G1882" t="s">
        <v>755</v>
      </c>
      <c r="H1882" t="s">
        <v>31</v>
      </c>
      <c r="I1882" s="28" t="s">
        <v>24</v>
      </c>
    </row>
    <row r="1883" spans="1:9" x14ac:dyDescent="0.3">
      <c r="A1883" s="26">
        <v>45334</v>
      </c>
      <c r="B1883" t="s">
        <v>752</v>
      </c>
      <c r="C1883" t="s">
        <v>753</v>
      </c>
      <c r="D1883">
        <v>0.1</v>
      </c>
      <c r="E1883" t="s">
        <v>561</v>
      </c>
      <c r="F1883" t="s">
        <v>754</v>
      </c>
      <c r="G1883" t="s">
        <v>2232</v>
      </c>
      <c r="H1883" t="s">
        <v>31</v>
      </c>
      <c r="I1883" s="28" t="s">
        <v>24</v>
      </c>
    </row>
    <row r="1884" spans="1:9" x14ac:dyDescent="0.3">
      <c r="A1884" s="26">
        <v>45334</v>
      </c>
      <c r="B1884" t="s">
        <v>752</v>
      </c>
      <c r="C1884" t="s">
        <v>753</v>
      </c>
      <c r="D1884">
        <v>0.17</v>
      </c>
      <c r="E1884" t="s">
        <v>630</v>
      </c>
      <c r="F1884" t="s">
        <v>754</v>
      </c>
      <c r="G1884" t="s">
        <v>765</v>
      </c>
      <c r="H1884" t="s">
        <v>31</v>
      </c>
      <c r="I1884" s="28" t="s">
        <v>24</v>
      </c>
    </row>
    <row r="1885" spans="1:9" x14ac:dyDescent="0.3">
      <c r="A1885" s="26">
        <v>45334</v>
      </c>
      <c r="B1885" t="s">
        <v>752</v>
      </c>
      <c r="C1885" t="s">
        <v>753</v>
      </c>
      <c r="D1885">
        <v>0.43</v>
      </c>
      <c r="E1885" t="s">
        <v>561</v>
      </c>
      <c r="F1885" t="s">
        <v>754</v>
      </c>
      <c r="G1885" t="s">
        <v>2233</v>
      </c>
      <c r="H1885" t="s">
        <v>31</v>
      </c>
      <c r="I1885" s="28" t="s">
        <v>24</v>
      </c>
    </row>
    <row r="1886" spans="1:9" x14ac:dyDescent="0.3">
      <c r="A1886" s="26">
        <v>45334</v>
      </c>
      <c r="B1886" t="s">
        <v>752</v>
      </c>
      <c r="C1886" t="s">
        <v>753</v>
      </c>
      <c r="D1886">
        <v>0.82</v>
      </c>
      <c r="E1886" t="s">
        <v>1084</v>
      </c>
      <c r="F1886" t="s">
        <v>754</v>
      </c>
      <c r="G1886" t="s">
        <v>2234</v>
      </c>
      <c r="H1886" t="s">
        <v>31</v>
      </c>
      <c r="I1886" s="28" t="s">
        <v>24</v>
      </c>
    </row>
    <row r="1887" spans="1:9" x14ac:dyDescent="0.3">
      <c r="A1887" s="26">
        <v>45334</v>
      </c>
      <c r="B1887" t="s">
        <v>752</v>
      </c>
      <c r="C1887" t="s">
        <v>753</v>
      </c>
      <c r="D1887">
        <v>0.95</v>
      </c>
      <c r="E1887" t="s">
        <v>757</v>
      </c>
      <c r="F1887" t="s">
        <v>754</v>
      </c>
      <c r="G1887" t="s">
        <v>2235</v>
      </c>
      <c r="H1887" t="s">
        <v>31</v>
      </c>
      <c r="I1887" s="28" t="s">
        <v>24</v>
      </c>
    </row>
    <row r="1888" spans="1:9" x14ac:dyDescent="0.3">
      <c r="A1888" s="26">
        <v>45334</v>
      </c>
      <c r="B1888" t="s">
        <v>752</v>
      </c>
      <c r="C1888" t="s">
        <v>753</v>
      </c>
      <c r="D1888">
        <v>0.95</v>
      </c>
      <c r="E1888" t="s">
        <v>602</v>
      </c>
      <c r="F1888" t="s">
        <v>754</v>
      </c>
      <c r="G1888" t="s">
        <v>2236</v>
      </c>
      <c r="H1888" t="s">
        <v>31</v>
      </c>
      <c r="I1888" s="28" t="s">
        <v>24</v>
      </c>
    </row>
    <row r="1889" spans="1:9" x14ac:dyDescent="0.3">
      <c r="A1889" s="26">
        <v>45334</v>
      </c>
      <c r="B1889" t="s">
        <v>752</v>
      </c>
      <c r="C1889" t="s">
        <v>753</v>
      </c>
      <c r="D1889">
        <v>2.4</v>
      </c>
      <c r="E1889" t="s">
        <v>757</v>
      </c>
      <c r="F1889" t="s">
        <v>754</v>
      </c>
      <c r="G1889" t="s">
        <v>2237</v>
      </c>
      <c r="H1889" t="s">
        <v>31</v>
      </c>
      <c r="I1889" s="28" t="s">
        <v>24</v>
      </c>
    </row>
    <row r="1890" spans="1:9" x14ac:dyDescent="0.3">
      <c r="A1890" s="26">
        <v>45334</v>
      </c>
      <c r="B1890" t="s">
        <v>752</v>
      </c>
      <c r="C1890" t="s">
        <v>771</v>
      </c>
      <c r="D1890">
        <v>0.25</v>
      </c>
      <c r="E1890" t="s">
        <v>7</v>
      </c>
      <c r="F1890" t="s">
        <v>772</v>
      </c>
      <c r="G1890" t="s">
        <v>774</v>
      </c>
      <c r="H1890" t="s">
        <v>31</v>
      </c>
      <c r="I1890" s="28" t="s">
        <v>24</v>
      </c>
    </row>
    <row r="1891" spans="1:9" x14ac:dyDescent="0.3">
      <c r="A1891" s="26">
        <v>45334</v>
      </c>
      <c r="B1891" t="s">
        <v>752</v>
      </c>
      <c r="C1891" t="s">
        <v>771</v>
      </c>
      <c r="D1891">
        <v>0.25</v>
      </c>
      <c r="E1891" t="s">
        <v>7</v>
      </c>
      <c r="F1891" t="s">
        <v>772</v>
      </c>
      <c r="G1891" t="s">
        <v>775</v>
      </c>
      <c r="H1891" t="s">
        <v>31</v>
      </c>
      <c r="I1891" s="28" t="s">
        <v>24</v>
      </c>
    </row>
    <row r="1892" spans="1:9" x14ac:dyDescent="0.3">
      <c r="A1892" s="26">
        <v>45334</v>
      </c>
      <c r="B1892" t="s">
        <v>752</v>
      </c>
      <c r="C1892" t="s">
        <v>874</v>
      </c>
      <c r="D1892">
        <v>1.1299999999999999</v>
      </c>
      <c r="E1892" t="s">
        <v>7</v>
      </c>
      <c r="F1892" t="s">
        <v>772</v>
      </c>
      <c r="G1892" t="s">
        <v>2238</v>
      </c>
      <c r="H1892" t="s">
        <v>31</v>
      </c>
      <c r="I1892" s="28" t="s">
        <v>24</v>
      </c>
    </row>
    <row r="1893" spans="1:9" x14ac:dyDescent="0.3">
      <c r="A1893" s="26">
        <v>45334</v>
      </c>
      <c r="B1893" t="s">
        <v>752</v>
      </c>
      <c r="C1893" t="s">
        <v>776</v>
      </c>
      <c r="D1893">
        <v>0.22</v>
      </c>
      <c r="E1893" t="s">
        <v>659</v>
      </c>
      <c r="F1893" t="s">
        <v>754</v>
      </c>
      <c r="H1893" t="s">
        <v>31</v>
      </c>
      <c r="I1893" s="28" t="s">
        <v>24</v>
      </c>
    </row>
    <row r="1894" spans="1:9" x14ac:dyDescent="0.3">
      <c r="A1894" s="26">
        <v>45334</v>
      </c>
      <c r="B1894" t="s">
        <v>1093</v>
      </c>
      <c r="C1894" t="s">
        <v>878</v>
      </c>
      <c r="D1894">
        <v>2</v>
      </c>
      <c r="E1894" t="s">
        <v>562</v>
      </c>
      <c r="F1894" t="s">
        <v>754</v>
      </c>
      <c r="G1894" t="s">
        <v>2239</v>
      </c>
      <c r="H1894" t="s">
        <v>31</v>
      </c>
      <c r="I1894" s="28" t="s">
        <v>24</v>
      </c>
    </row>
    <row r="1895" spans="1:9" x14ac:dyDescent="0.3">
      <c r="A1895" s="26">
        <v>45334</v>
      </c>
      <c r="B1895" t="s">
        <v>1093</v>
      </c>
      <c r="C1895" t="s">
        <v>1522</v>
      </c>
      <c r="D1895">
        <v>2.25</v>
      </c>
      <c r="E1895" t="s">
        <v>455</v>
      </c>
      <c r="F1895" t="s">
        <v>754</v>
      </c>
      <c r="G1895" t="s">
        <v>2240</v>
      </c>
      <c r="H1895" t="s">
        <v>31</v>
      </c>
      <c r="I1895" s="28" t="s">
        <v>24</v>
      </c>
    </row>
    <row r="1896" spans="1:9" x14ac:dyDescent="0.3">
      <c r="A1896" s="26">
        <v>45334</v>
      </c>
      <c r="B1896" t="s">
        <v>1093</v>
      </c>
      <c r="C1896" t="s">
        <v>1309</v>
      </c>
      <c r="D1896">
        <v>0.83</v>
      </c>
      <c r="E1896" t="s">
        <v>455</v>
      </c>
      <c r="F1896" t="s">
        <v>754</v>
      </c>
      <c r="G1896" t="s">
        <v>2241</v>
      </c>
      <c r="H1896" t="s">
        <v>31</v>
      </c>
      <c r="I1896" s="28" t="s">
        <v>24</v>
      </c>
    </row>
    <row r="1897" spans="1:9" x14ac:dyDescent="0.3">
      <c r="A1897" s="26">
        <v>45334</v>
      </c>
      <c r="B1897" t="s">
        <v>1093</v>
      </c>
      <c r="C1897" t="s">
        <v>1524</v>
      </c>
      <c r="D1897">
        <v>1</v>
      </c>
      <c r="E1897" t="s">
        <v>455</v>
      </c>
      <c r="F1897" t="s">
        <v>754</v>
      </c>
      <c r="G1897" t="s">
        <v>2242</v>
      </c>
      <c r="H1897" t="s">
        <v>31</v>
      </c>
      <c r="I1897" s="28" t="s">
        <v>24</v>
      </c>
    </row>
    <row r="1898" spans="1:9" x14ac:dyDescent="0.3">
      <c r="A1898" s="26">
        <v>45334</v>
      </c>
      <c r="B1898" t="s">
        <v>1093</v>
      </c>
      <c r="C1898" t="s">
        <v>1094</v>
      </c>
      <c r="D1898">
        <v>1</v>
      </c>
      <c r="E1898" t="s">
        <v>455</v>
      </c>
      <c r="F1898" t="s">
        <v>754</v>
      </c>
      <c r="G1898" t="s">
        <v>2243</v>
      </c>
      <c r="H1898" t="s">
        <v>31</v>
      </c>
      <c r="I1898" s="28" t="s">
        <v>24</v>
      </c>
    </row>
    <row r="1899" spans="1:9" x14ac:dyDescent="0.3">
      <c r="A1899" s="26">
        <v>45334</v>
      </c>
      <c r="B1899" t="s">
        <v>21</v>
      </c>
      <c r="C1899" t="s">
        <v>753</v>
      </c>
      <c r="D1899">
        <v>0.75</v>
      </c>
      <c r="E1899" t="s">
        <v>757</v>
      </c>
      <c r="F1899" t="s">
        <v>772</v>
      </c>
      <c r="G1899" t="s">
        <v>2244</v>
      </c>
      <c r="H1899" t="s">
        <v>31</v>
      </c>
      <c r="I1899" s="28" t="s">
        <v>24</v>
      </c>
    </row>
    <row r="1900" spans="1:9" x14ac:dyDescent="0.3">
      <c r="A1900" s="26">
        <v>45334</v>
      </c>
      <c r="B1900" t="s">
        <v>21</v>
      </c>
      <c r="C1900" t="s">
        <v>753</v>
      </c>
      <c r="D1900">
        <v>0.9</v>
      </c>
      <c r="E1900" t="s">
        <v>13</v>
      </c>
      <c r="F1900" t="s">
        <v>754</v>
      </c>
      <c r="H1900" t="s">
        <v>31</v>
      </c>
      <c r="I1900" s="28" t="s">
        <v>24</v>
      </c>
    </row>
    <row r="1901" spans="1:9" x14ac:dyDescent="0.3">
      <c r="A1901" s="26">
        <v>45334</v>
      </c>
      <c r="B1901" t="s">
        <v>21</v>
      </c>
      <c r="C1901" t="s">
        <v>753</v>
      </c>
      <c r="D1901">
        <v>0.9</v>
      </c>
      <c r="E1901" t="s">
        <v>589</v>
      </c>
      <c r="F1901" t="s">
        <v>754</v>
      </c>
      <c r="H1901" t="s">
        <v>31</v>
      </c>
      <c r="I1901" s="28" t="s">
        <v>24</v>
      </c>
    </row>
    <row r="1902" spans="1:9" x14ac:dyDescent="0.3">
      <c r="A1902" s="26">
        <v>45334</v>
      </c>
      <c r="B1902" t="s">
        <v>21</v>
      </c>
      <c r="C1902" t="s">
        <v>753</v>
      </c>
      <c r="D1902">
        <v>1.77</v>
      </c>
      <c r="E1902" t="s">
        <v>1096</v>
      </c>
      <c r="F1902" t="s">
        <v>754</v>
      </c>
      <c r="H1902" t="s">
        <v>31</v>
      </c>
      <c r="I1902" s="28" t="s">
        <v>24</v>
      </c>
    </row>
    <row r="1903" spans="1:9" x14ac:dyDescent="0.3">
      <c r="A1903" s="26">
        <v>45334</v>
      </c>
      <c r="B1903" t="s">
        <v>21</v>
      </c>
      <c r="C1903" t="s">
        <v>771</v>
      </c>
      <c r="D1903">
        <v>0.18</v>
      </c>
      <c r="E1903" t="s">
        <v>7</v>
      </c>
      <c r="F1903" t="s">
        <v>772</v>
      </c>
      <c r="G1903" t="s">
        <v>2245</v>
      </c>
      <c r="H1903" t="s">
        <v>31</v>
      </c>
      <c r="I1903" s="28" t="s">
        <v>24</v>
      </c>
    </row>
    <row r="1904" spans="1:9" x14ac:dyDescent="0.3">
      <c r="A1904" s="26">
        <v>45334</v>
      </c>
      <c r="B1904" t="s">
        <v>21</v>
      </c>
      <c r="C1904" t="s">
        <v>771</v>
      </c>
      <c r="D1904">
        <v>0.48</v>
      </c>
      <c r="E1904" t="s">
        <v>7</v>
      </c>
      <c r="F1904" t="s">
        <v>772</v>
      </c>
      <c r="G1904" t="s">
        <v>2246</v>
      </c>
      <c r="H1904" t="s">
        <v>31</v>
      </c>
      <c r="I1904" s="28" t="s">
        <v>24</v>
      </c>
    </row>
    <row r="1905" spans="1:9" x14ac:dyDescent="0.3">
      <c r="A1905" s="26">
        <v>45334</v>
      </c>
      <c r="B1905" t="s">
        <v>21</v>
      </c>
      <c r="C1905" t="s">
        <v>771</v>
      </c>
      <c r="D1905">
        <v>0.5</v>
      </c>
      <c r="E1905" t="s">
        <v>7</v>
      </c>
      <c r="F1905" t="s">
        <v>772</v>
      </c>
      <c r="G1905" t="s">
        <v>781</v>
      </c>
      <c r="H1905" t="s">
        <v>31</v>
      </c>
      <c r="I1905" s="28" t="s">
        <v>24</v>
      </c>
    </row>
    <row r="1906" spans="1:9" x14ac:dyDescent="0.3">
      <c r="A1906" s="26">
        <v>45334</v>
      </c>
      <c r="B1906" t="s">
        <v>21</v>
      </c>
      <c r="C1906" t="s">
        <v>771</v>
      </c>
      <c r="D1906">
        <v>0.56999999999999995</v>
      </c>
      <c r="E1906" t="s">
        <v>7</v>
      </c>
      <c r="F1906" t="s">
        <v>772</v>
      </c>
      <c r="G1906" t="s">
        <v>2247</v>
      </c>
      <c r="H1906" t="s">
        <v>31</v>
      </c>
      <c r="I1906" s="28" t="s">
        <v>24</v>
      </c>
    </row>
    <row r="1907" spans="1:9" x14ac:dyDescent="0.3">
      <c r="A1907" s="26">
        <v>45334</v>
      </c>
      <c r="B1907" t="s">
        <v>21</v>
      </c>
      <c r="C1907" t="s">
        <v>771</v>
      </c>
      <c r="D1907">
        <v>0.73</v>
      </c>
      <c r="E1907" t="s">
        <v>7</v>
      </c>
      <c r="F1907" t="s">
        <v>772</v>
      </c>
      <c r="G1907" t="s">
        <v>2248</v>
      </c>
      <c r="H1907" t="s">
        <v>31</v>
      </c>
      <c r="I1907" s="28" t="s">
        <v>24</v>
      </c>
    </row>
    <row r="1908" spans="1:9" x14ac:dyDescent="0.3">
      <c r="A1908" s="26">
        <v>45334</v>
      </c>
      <c r="B1908" t="s">
        <v>21</v>
      </c>
      <c r="C1908" t="s">
        <v>874</v>
      </c>
      <c r="D1908">
        <v>0.3</v>
      </c>
      <c r="E1908" t="s">
        <v>7</v>
      </c>
      <c r="F1908" t="s">
        <v>772</v>
      </c>
      <c r="G1908" t="s">
        <v>2249</v>
      </c>
      <c r="H1908" t="s">
        <v>31</v>
      </c>
      <c r="I1908" s="28" t="s">
        <v>24</v>
      </c>
    </row>
    <row r="1909" spans="1:9" x14ac:dyDescent="0.3">
      <c r="A1909" s="26">
        <v>45334</v>
      </c>
      <c r="B1909" t="s">
        <v>21</v>
      </c>
      <c r="C1909" t="s">
        <v>874</v>
      </c>
      <c r="D1909">
        <v>0.48</v>
      </c>
      <c r="E1909" t="s">
        <v>7</v>
      </c>
      <c r="F1909" t="s">
        <v>772</v>
      </c>
      <c r="G1909" t="s">
        <v>2250</v>
      </c>
      <c r="H1909" t="s">
        <v>31</v>
      </c>
      <c r="I1909" s="28" t="s">
        <v>24</v>
      </c>
    </row>
    <row r="1910" spans="1:9" x14ac:dyDescent="0.3">
      <c r="A1910" s="26">
        <v>45334</v>
      </c>
      <c r="B1910" t="s">
        <v>21</v>
      </c>
      <c r="C1910" t="s">
        <v>874</v>
      </c>
      <c r="D1910">
        <v>0.48</v>
      </c>
      <c r="E1910" t="s">
        <v>7</v>
      </c>
      <c r="F1910" t="s">
        <v>772</v>
      </c>
      <c r="G1910" t="s">
        <v>2251</v>
      </c>
      <c r="H1910" t="s">
        <v>31</v>
      </c>
      <c r="I1910" s="28" t="s">
        <v>24</v>
      </c>
    </row>
    <row r="1911" spans="1:9" x14ac:dyDescent="0.3">
      <c r="A1911" s="26">
        <v>45334</v>
      </c>
      <c r="B1911" t="s">
        <v>783</v>
      </c>
      <c r="C1911" t="s">
        <v>753</v>
      </c>
      <c r="D1911">
        <v>1.75</v>
      </c>
      <c r="E1911" t="s">
        <v>288</v>
      </c>
      <c r="F1911" t="s">
        <v>754</v>
      </c>
      <c r="G1911" t="s">
        <v>2252</v>
      </c>
      <c r="H1911" t="s">
        <v>31</v>
      </c>
      <c r="I1911" s="28" t="s">
        <v>24</v>
      </c>
    </row>
    <row r="1912" spans="1:9" x14ac:dyDescent="0.3">
      <c r="A1912" s="26">
        <v>45334</v>
      </c>
      <c r="B1912" t="s">
        <v>783</v>
      </c>
      <c r="C1912" t="s">
        <v>771</v>
      </c>
      <c r="D1912">
        <v>5</v>
      </c>
      <c r="E1912" t="s">
        <v>7</v>
      </c>
      <c r="F1912" t="s">
        <v>772</v>
      </c>
      <c r="G1912" t="s">
        <v>2253</v>
      </c>
      <c r="H1912" t="s">
        <v>31</v>
      </c>
      <c r="I1912" s="28" t="s">
        <v>24</v>
      </c>
    </row>
    <row r="1913" spans="1:9" x14ac:dyDescent="0.3">
      <c r="A1913" s="26">
        <v>45334</v>
      </c>
      <c r="B1913" t="s">
        <v>783</v>
      </c>
      <c r="C1913" t="s">
        <v>874</v>
      </c>
      <c r="D1913">
        <v>1.28</v>
      </c>
      <c r="E1913" t="s">
        <v>7</v>
      </c>
      <c r="F1913" t="s">
        <v>772</v>
      </c>
      <c r="G1913" t="s">
        <v>2254</v>
      </c>
      <c r="H1913" t="s">
        <v>31</v>
      </c>
      <c r="I1913" s="28" t="s">
        <v>24</v>
      </c>
    </row>
    <row r="1914" spans="1:9" x14ac:dyDescent="0.3">
      <c r="A1914" s="26">
        <v>45334</v>
      </c>
      <c r="B1914" t="s">
        <v>785</v>
      </c>
      <c r="C1914" t="s">
        <v>786</v>
      </c>
      <c r="D1914">
        <v>8</v>
      </c>
      <c r="E1914" t="s">
        <v>7</v>
      </c>
      <c r="F1914" t="s">
        <v>772</v>
      </c>
      <c r="G1914" t="s">
        <v>2255</v>
      </c>
      <c r="H1914" t="s">
        <v>31</v>
      </c>
      <c r="I1914" s="28" t="s">
        <v>24</v>
      </c>
    </row>
    <row r="1915" spans="1:9" x14ac:dyDescent="0.3">
      <c r="A1915" s="26">
        <v>45334</v>
      </c>
      <c r="B1915" t="s">
        <v>788</v>
      </c>
      <c r="C1915" t="s">
        <v>786</v>
      </c>
      <c r="D1915">
        <v>10</v>
      </c>
      <c r="E1915" t="s">
        <v>7</v>
      </c>
      <c r="F1915" t="s">
        <v>772</v>
      </c>
      <c r="H1915" t="s">
        <v>31</v>
      </c>
      <c r="I1915" s="28" t="s">
        <v>24</v>
      </c>
    </row>
    <row r="1916" spans="1:9" x14ac:dyDescent="0.3">
      <c r="A1916" s="26">
        <v>45334</v>
      </c>
      <c r="B1916" t="s">
        <v>792</v>
      </c>
      <c r="C1916" t="s">
        <v>753</v>
      </c>
      <c r="D1916">
        <v>1.83</v>
      </c>
      <c r="E1916" t="s">
        <v>790</v>
      </c>
      <c r="F1916" t="s">
        <v>754</v>
      </c>
      <c r="G1916" t="s">
        <v>793</v>
      </c>
      <c r="H1916" t="s">
        <v>31</v>
      </c>
      <c r="I1916" s="28" t="s">
        <v>24</v>
      </c>
    </row>
    <row r="1917" spans="1:9" x14ac:dyDescent="0.3">
      <c r="A1917" s="26">
        <v>45334</v>
      </c>
      <c r="B1917" t="s">
        <v>792</v>
      </c>
      <c r="C1917" t="s">
        <v>753</v>
      </c>
      <c r="D1917">
        <v>3.22</v>
      </c>
      <c r="E1917" t="s">
        <v>790</v>
      </c>
      <c r="F1917" t="s">
        <v>754</v>
      </c>
      <c r="G1917" t="s">
        <v>2256</v>
      </c>
      <c r="H1917" t="s">
        <v>31</v>
      </c>
      <c r="I1917" s="28" t="s">
        <v>24</v>
      </c>
    </row>
    <row r="1918" spans="1:9" x14ac:dyDescent="0.3">
      <c r="A1918" s="26">
        <v>45334</v>
      </c>
      <c r="B1918" t="s">
        <v>792</v>
      </c>
      <c r="C1918" t="s">
        <v>753</v>
      </c>
      <c r="D1918">
        <v>3.57</v>
      </c>
      <c r="E1918" t="s">
        <v>790</v>
      </c>
      <c r="F1918" t="s">
        <v>754</v>
      </c>
      <c r="G1918" t="s">
        <v>2257</v>
      </c>
      <c r="H1918" t="s">
        <v>31</v>
      </c>
      <c r="I1918" s="28" t="s">
        <v>24</v>
      </c>
    </row>
    <row r="1919" spans="1:9" x14ac:dyDescent="0.3">
      <c r="A1919" s="26">
        <v>45334</v>
      </c>
      <c r="B1919" t="s">
        <v>796</v>
      </c>
      <c r="C1919" t="s">
        <v>753</v>
      </c>
      <c r="D1919">
        <v>0.67</v>
      </c>
      <c r="E1919" t="s">
        <v>655</v>
      </c>
      <c r="F1919" t="s">
        <v>754</v>
      </c>
      <c r="G1919" t="s">
        <v>2258</v>
      </c>
      <c r="H1919" t="s">
        <v>31</v>
      </c>
      <c r="I1919" s="28" t="s">
        <v>24</v>
      </c>
    </row>
    <row r="1920" spans="1:9" x14ac:dyDescent="0.3">
      <c r="A1920" s="26">
        <v>45334</v>
      </c>
      <c r="B1920" t="s">
        <v>796</v>
      </c>
      <c r="C1920" t="s">
        <v>753</v>
      </c>
      <c r="D1920">
        <v>1.25</v>
      </c>
      <c r="E1920" t="s">
        <v>430</v>
      </c>
      <c r="F1920" t="s">
        <v>754</v>
      </c>
      <c r="G1920" t="s">
        <v>2259</v>
      </c>
      <c r="H1920" t="s">
        <v>31</v>
      </c>
      <c r="I1920" s="28" t="s">
        <v>24</v>
      </c>
    </row>
    <row r="1921" spans="1:9" x14ac:dyDescent="0.3">
      <c r="A1921" s="26">
        <v>45334</v>
      </c>
      <c r="B1921" t="s">
        <v>796</v>
      </c>
      <c r="C1921" t="s">
        <v>753</v>
      </c>
      <c r="D1921">
        <v>1.5</v>
      </c>
      <c r="E1921" t="s">
        <v>430</v>
      </c>
      <c r="F1921" t="s">
        <v>772</v>
      </c>
      <c r="H1921" t="s">
        <v>31</v>
      </c>
      <c r="I1921" s="28" t="s">
        <v>24</v>
      </c>
    </row>
    <row r="1922" spans="1:9" x14ac:dyDescent="0.3">
      <c r="A1922" s="26">
        <v>45334</v>
      </c>
      <c r="B1922" t="s">
        <v>796</v>
      </c>
      <c r="C1922" t="s">
        <v>753</v>
      </c>
      <c r="D1922">
        <v>3.67</v>
      </c>
      <c r="E1922" t="s">
        <v>430</v>
      </c>
      <c r="F1922" t="s">
        <v>754</v>
      </c>
      <c r="H1922" t="s">
        <v>31</v>
      </c>
      <c r="I1922" s="28" t="s">
        <v>24</v>
      </c>
    </row>
    <row r="1923" spans="1:9" x14ac:dyDescent="0.3">
      <c r="A1923" s="26">
        <v>45334</v>
      </c>
      <c r="B1923" t="s">
        <v>796</v>
      </c>
      <c r="C1923" t="s">
        <v>771</v>
      </c>
      <c r="D1923">
        <v>0.42</v>
      </c>
      <c r="E1923" t="s">
        <v>7</v>
      </c>
      <c r="F1923" t="s">
        <v>772</v>
      </c>
      <c r="G1923" t="s">
        <v>1332</v>
      </c>
      <c r="H1923" t="s">
        <v>31</v>
      </c>
      <c r="I1923" s="28" t="s">
        <v>24</v>
      </c>
    </row>
    <row r="1924" spans="1:9" x14ac:dyDescent="0.3">
      <c r="A1924" s="26">
        <v>45334</v>
      </c>
      <c r="B1924" t="s">
        <v>796</v>
      </c>
      <c r="C1924" t="s">
        <v>776</v>
      </c>
      <c r="D1924">
        <v>0.5</v>
      </c>
      <c r="E1924" t="s">
        <v>727</v>
      </c>
      <c r="F1924" t="s">
        <v>772</v>
      </c>
      <c r="G1924" t="s">
        <v>2260</v>
      </c>
      <c r="H1924" t="s">
        <v>31</v>
      </c>
      <c r="I1924" s="28" t="s">
        <v>24</v>
      </c>
    </row>
    <row r="1925" spans="1:9" x14ac:dyDescent="0.3">
      <c r="A1925" s="26">
        <v>45334</v>
      </c>
      <c r="B1925" t="s">
        <v>801</v>
      </c>
      <c r="C1925" t="s">
        <v>802</v>
      </c>
      <c r="D1925">
        <v>9.3699999999999992</v>
      </c>
      <c r="E1925" t="s">
        <v>7</v>
      </c>
      <c r="F1925" t="s">
        <v>772</v>
      </c>
      <c r="H1925" t="s">
        <v>31</v>
      </c>
      <c r="I1925" s="28" t="s">
        <v>24</v>
      </c>
    </row>
    <row r="1926" spans="1:9" x14ac:dyDescent="0.3">
      <c r="A1926" s="26">
        <v>45334</v>
      </c>
      <c r="B1926" t="s">
        <v>803</v>
      </c>
      <c r="C1926" t="s">
        <v>804</v>
      </c>
      <c r="D1926">
        <v>0.02</v>
      </c>
      <c r="E1926" t="s">
        <v>2261</v>
      </c>
      <c r="F1926" t="s">
        <v>772</v>
      </c>
      <c r="H1926" t="s">
        <v>31</v>
      </c>
      <c r="I1926" s="28" t="s">
        <v>24</v>
      </c>
    </row>
    <row r="1927" spans="1:9" x14ac:dyDescent="0.3">
      <c r="A1927" s="26">
        <v>45334</v>
      </c>
      <c r="B1927" t="s">
        <v>806</v>
      </c>
      <c r="C1927" t="s">
        <v>802</v>
      </c>
      <c r="D1927">
        <v>2</v>
      </c>
      <c r="E1927" t="s">
        <v>7</v>
      </c>
      <c r="F1927" t="s">
        <v>772</v>
      </c>
      <c r="G1927" t="s">
        <v>2262</v>
      </c>
      <c r="H1927" t="s">
        <v>31</v>
      </c>
      <c r="I1927" s="28" t="s">
        <v>24</v>
      </c>
    </row>
    <row r="1928" spans="1:9" x14ac:dyDescent="0.3">
      <c r="A1928" s="26">
        <v>45334</v>
      </c>
      <c r="B1928" t="s">
        <v>808</v>
      </c>
      <c r="C1928" t="s">
        <v>802</v>
      </c>
      <c r="D1928">
        <v>9.18</v>
      </c>
      <c r="E1928" t="s">
        <v>7</v>
      </c>
      <c r="F1928" t="s">
        <v>772</v>
      </c>
      <c r="G1928" t="s">
        <v>2263</v>
      </c>
      <c r="H1928" t="s">
        <v>31</v>
      </c>
      <c r="I1928" s="28" t="s">
        <v>24</v>
      </c>
    </row>
    <row r="1929" spans="1:9" x14ac:dyDescent="0.3">
      <c r="A1929" s="26">
        <v>45334</v>
      </c>
      <c r="B1929" t="s">
        <v>810</v>
      </c>
      <c r="C1929" t="s">
        <v>753</v>
      </c>
      <c r="D1929">
        <v>0.25</v>
      </c>
      <c r="E1929" t="s">
        <v>815</v>
      </c>
      <c r="F1929" t="s">
        <v>754</v>
      </c>
      <c r="G1929" t="s">
        <v>2264</v>
      </c>
      <c r="H1929" t="s">
        <v>31</v>
      </c>
      <c r="I1929" s="28" t="s">
        <v>24</v>
      </c>
    </row>
    <row r="1930" spans="1:9" x14ac:dyDescent="0.3">
      <c r="A1930" s="26">
        <v>45334</v>
      </c>
      <c r="B1930" t="s">
        <v>810</v>
      </c>
      <c r="C1930" t="s">
        <v>753</v>
      </c>
      <c r="D1930">
        <v>0.25</v>
      </c>
      <c r="E1930" t="s">
        <v>898</v>
      </c>
      <c r="F1930" t="s">
        <v>772</v>
      </c>
      <c r="G1930" t="s">
        <v>1548</v>
      </c>
      <c r="H1930" t="s">
        <v>31</v>
      </c>
      <c r="I1930" s="28" t="s">
        <v>24</v>
      </c>
    </row>
    <row r="1931" spans="1:9" x14ac:dyDescent="0.3">
      <c r="A1931" s="26">
        <v>45334</v>
      </c>
      <c r="B1931" t="s">
        <v>810</v>
      </c>
      <c r="C1931" t="s">
        <v>753</v>
      </c>
      <c r="D1931">
        <v>0.83</v>
      </c>
      <c r="E1931" t="s">
        <v>813</v>
      </c>
      <c r="F1931" t="s">
        <v>754</v>
      </c>
      <c r="G1931" t="s">
        <v>2265</v>
      </c>
      <c r="H1931" t="s">
        <v>31</v>
      </c>
      <c r="I1931" s="28" t="s">
        <v>24</v>
      </c>
    </row>
    <row r="1932" spans="1:9" x14ac:dyDescent="0.3">
      <c r="A1932" s="26">
        <v>45334</v>
      </c>
      <c r="B1932" t="s">
        <v>810</v>
      </c>
      <c r="C1932" t="s">
        <v>753</v>
      </c>
      <c r="D1932">
        <v>2.67</v>
      </c>
      <c r="E1932" t="s">
        <v>811</v>
      </c>
      <c r="F1932" t="s">
        <v>754</v>
      </c>
      <c r="G1932" t="s">
        <v>2265</v>
      </c>
      <c r="H1932" t="s">
        <v>31</v>
      </c>
      <c r="I1932" s="28" t="s">
        <v>24</v>
      </c>
    </row>
    <row r="1933" spans="1:9" x14ac:dyDescent="0.3">
      <c r="A1933" s="26">
        <v>45334</v>
      </c>
      <c r="B1933" t="s">
        <v>810</v>
      </c>
      <c r="C1933" t="s">
        <v>753</v>
      </c>
      <c r="D1933">
        <v>3.33</v>
      </c>
      <c r="E1933" t="s">
        <v>898</v>
      </c>
      <c r="F1933" t="s">
        <v>754</v>
      </c>
      <c r="G1933" t="s">
        <v>2266</v>
      </c>
      <c r="H1933" t="s">
        <v>31</v>
      </c>
      <c r="I1933" s="28" t="s">
        <v>24</v>
      </c>
    </row>
    <row r="1934" spans="1:9" x14ac:dyDescent="0.3">
      <c r="A1934" s="26">
        <v>45334</v>
      </c>
      <c r="B1934" t="s">
        <v>810</v>
      </c>
      <c r="C1934" t="s">
        <v>771</v>
      </c>
      <c r="D1934">
        <v>0.5</v>
      </c>
      <c r="E1934" t="s">
        <v>7</v>
      </c>
      <c r="F1934" t="s">
        <v>772</v>
      </c>
      <c r="G1934" t="s">
        <v>781</v>
      </c>
      <c r="H1934" t="s">
        <v>31</v>
      </c>
      <c r="I1934" s="28" t="s">
        <v>24</v>
      </c>
    </row>
    <row r="1935" spans="1:9" x14ac:dyDescent="0.3">
      <c r="A1935" s="26">
        <v>45334</v>
      </c>
      <c r="B1935" t="s">
        <v>810</v>
      </c>
      <c r="C1935" t="s">
        <v>776</v>
      </c>
      <c r="D1935">
        <v>0.17</v>
      </c>
      <c r="E1935" t="s">
        <v>910</v>
      </c>
      <c r="F1935" t="s">
        <v>754</v>
      </c>
      <c r="G1935" t="s">
        <v>1764</v>
      </c>
      <c r="H1935" t="s">
        <v>31</v>
      </c>
      <c r="I1935" s="28" t="s">
        <v>24</v>
      </c>
    </row>
    <row r="1936" spans="1:9" x14ac:dyDescent="0.3">
      <c r="A1936" s="26">
        <v>45334</v>
      </c>
      <c r="B1936" t="s">
        <v>225</v>
      </c>
      <c r="C1936" t="s">
        <v>821</v>
      </c>
      <c r="D1936">
        <v>0.25</v>
      </c>
      <c r="E1936" t="s">
        <v>857</v>
      </c>
      <c r="F1936" t="s">
        <v>772</v>
      </c>
      <c r="G1936" t="s">
        <v>2267</v>
      </c>
      <c r="H1936" t="s">
        <v>31</v>
      </c>
      <c r="I1936" s="28" t="s">
        <v>24</v>
      </c>
    </row>
    <row r="1937" spans="1:9" x14ac:dyDescent="0.3">
      <c r="A1937" s="26">
        <v>45334</v>
      </c>
      <c r="B1937" t="s">
        <v>225</v>
      </c>
      <c r="C1937" t="s">
        <v>823</v>
      </c>
      <c r="D1937">
        <v>1</v>
      </c>
      <c r="E1937" t="s">
        <v>602</v>
      </c>
      <c r="F1937" t="s">
        <v>754</v>
      </c>
      <c r="G1937" t="s">
        <v>2268</v>
      </c>
      <c r="H1937" t="s">
        <v>31</v>
      </c>
      <c r="I1937" s="28" t="s">
        <v>24</v>
      </c>
    </row>
    <row r="1938" spans="1:9" x14ac:dyDescent="0.3">
      <c r="A1938" s="26">
        <v>45334</v>
      </c>
      <c r="B1938" t="s">
        <v>829</v>
      </c>
      <c r="C1938" t="s">
        <v>753</v>
      </c>
      <c r="D1938">
        <v>0.15</v>
      </c>
      <c r="E1938" t="s">
        <v>857</v>
      </c>
      <c r="F1938" t="s">
        <v>754</v>
      </c>
      <c r="G1938" t="s">
        <v>2269</v>
      </c>
      <c r="H1938" t="s">
        <v>31</v>
      </c>
      <c r="I1938" s="28" t="s">
        <v>24</v>
      </c>
    </row>
    <row r="1939" spans="1:9" x14ac:dyDescent="0.3">
      <c r="A1939" s="26">
        <v>45334</v>
      </c>
      <c r="B1939" t="s">
        <v>829</v>
      </c>
      <c r="C1939" t="s">
        <v>753</v>
      </c>
      <c r="D1939">
        <v>0.48</v>
      </c>
      <c r="E1939" t="s">
        <v>375</v>
      </c>
      <c r="F1939" t="s">
        <v>754</v>
      </c>
      <c r="G1939" t="s">
        <v>2270</v>
      </c>
      <c r="H1939" t="s">
        <v>31</v>
      </c>
      <c r="I1939" s="28" t="s">
        <v>24</v>
      </c>
    </row>
    <row r="1940" spans="1:9" x14ac:dyDescent="0.3">
      <c r="A1940" s="26">
        <v>45334</v>
      </c>
      <c r="B1940" t="s">
        <v>829</v>
      </c>
      <c r="C1940" t="s">
        <v>753</v>
      </c>
      <c r="D1940">
        <v>0.68</v>
      </c>
      <c r="E1940" t="s">
        <v>375</v>
      </c>
      <c r="F1940" t="s">
        <v>754</v>
      </c>
      <c r="G1940" t="s">
        <v>2271</v>
      </c>
      <c r="H1940" t="s">
        <v>31</v>
      </c>
      <c r="I1940" s="28" t="s">
        <v>24</v>
      </c>
    </row>
    <row r="1941" spans="1:9" x14ac:dyDescent="0.3">
      <c r="A1941" s="26">
        <v>45334</v>
      </c>
      <c r="B1941" t="s">
        <v>829</v>
      </c>
      <c r="C1941" t="s">
        <v>753</v>
      </c>
      <c r="D1941">
        <v>0.82</v>
      </c>
      <c r="E1941" t="s">
        <v>857</v>
      </c>
      <c r="F1941" t="s">
        <v>754</v>
      </c>
      <c r="G1941" t="s">
        <v>2272</v>
      </c>
      <c r="H1941" t="s">
        <v>31</v>
      </c>
      <c r="I1941" s="28" t="s">
        <v>24</v>
      </c>
    </row>
    <row r="1942" spans="1:9" x14ac:dyDescent="0.3">
      <c r="A1942" s="26">
        <v>45334</v>
      </c>
      <c r="B1942" t="s">
        <v>829</v>
      </c>
      <c r="C1942" t="s">
        <v>753</v>
      </c>
      <c r="D1942">
        <v>1.73</v>
      </c>
      <c r="E1942" t="s">
        <v>898</v>
      </c>
      <c r="F1942" t="s">
        <v>754</v>
      </c>
      <c r="G1942" t="s">
        <v>1979</v>
      </c>
      <c r="H1942" t="s">
        <v>31</v>
      </c>
      <c r="I1942" s="28" t="s">
        <v>24</v>
      </c>
    </row>
    <row r="1943" spans="1:9" x14ac:dyDescent="0.3">
      <c r="A1943" s="26">
        <v>45334</v>
      </c>
      <c r="B1943" t="s">
        <v>829</v>
      </c>
      <c r="C1943" t="s">
        <v>771</v>
      </c>
      <c r="D1943">
        <v>0.65</v>
      </c>
      <c r="E1943" t="s">
        <v>7</v>
      </c>
      <c r="F1943" t="s">
        <v>772</v>
      </c>
      <c r="G1943" t="s">
        <v>2273</v>
      </c>
      <c r="H1943" t="s">
        <v>31</v>
      </c>
      <c r="I1943" s="28" t="s">
        <v>24</v>
      </c>
    </row>
    <row r="1944" spans="1:9" x14ac:dyDescent="0.3">
      <c r="A1944" s="26">
        <v>45334</v>
      </c>
      <c r="B1944" t="s">
        <v>829</v>
      </c>
      <c r="C1944" t="s">
        <v>771</v>
      </c>
      <c r="D1944">
        <v>0.67</v>
      </c>
      <c r="E1944" t="s">
        <v>7</v>
      </c>
      <c r="F1944" t="s">
        <v>772</v>
      </c>
      <c r="G1944" t="s">
        <v>1559</v>
      </c>
      <c r="H1944" t="s">
        <v>31</v>
      </c>
      <c r="I1944" s="28" t="s">
        <v>24</v>
      </c>
    </row>
    <row r="1945" spans="1:9" x14ac:dyDescent="0.3">
      <c r="A1945" s="26">
        <v>45334</v>
      </c>
      <c r="B1945" t="s">
        <v>829</v>
      </c>
      <c r="C1945" t="s">
        <v>874</v>
      </c>
      <c r="D1945">
        <v>0.35</v>
      </c>
      <c r="E1945" t="s">
        <v>7</v>
      </c>
      <c r="F1945" t="s">
        <v>772</v>
      </c>
      <c r="G1945" t="s">
        <v>2274</v>
      </c>
      <c r="H1945" t="s">
        <v>31</v>
      </c>
      <c r="I1945" s="28" t="s">
        <v>24</v>
      </c>
    </row>
    <row r="1946" spans="1:9" x14ac:dyDescent="0.3">
      <c r="A1946" s="26">
        <v>45334</v>
      </c>
      <c r="B1946" t="s">
        <v>829</v>
      </c>
      <c r="C1946" t="s">
        <v>776</v>
      </c>
      <c r="D1946">
        <v>0.28000000000000003</v>
      </c>
      <c r="E1946" t="s">
        <v>659</v>
      </c>
      <c r="F1946" t="s">
        <v>754</v>
      </c>
      <c r="G1946" t="s">
        <v>838</v>
      </c>
      <c r="H1946" t="s">
        <v>31</v>
      </c>
      <c r="I1946" s="28" t="s">
        <v>24</v>
      </c>
    </row>
    <row r="1947" spans="1:9" x14ac:dyDescent="0.3">
      <c r="A1947" s="26">
        <v>45334</v>
      </c>
      <c r="B1947" t="s">
        <v>829</v>
      </c>
      <c r="C1947" t="s">
        <v>776</v>
      </c>
      <c r="D1947">
        <v>0.67</v>
      </c>
      <c r="E1947" t="s">
        <v>845</v>
      </c>
      <c r="F1947" t="s">
        <v>754</v>
      </c>
      <c r="G1947" t="s">
        <v>838</v>
      </c>
      <c r="H1947" t="s">
        <v>31</v>
      </c>
      <c r="I1947" s="28" t="s">
        <v>24</v>
      </c>
    </row>
    <row r="1948" spans="1:9" x14ac:dyDescent="0.3">
      <c r="A1948" s="26">
        <v>45334</v>
      </c>
      <c r="B1948" t="s">
        <v>829</v>
      </c>
      <c r="C1948" t="s">
        <v>776</v>
      </c>
      <c r="D1948">
        <v>1.55</v>
      </c>
      <c r="E1948" t="s">
        <v>259</v>
      </c>
      <c r="F1948" t="s">
        <v>754</v>
      </c>
      <c r="G1948" t="s">
        <v>838</v>
      </c>
      <c r="H1948" t="s">
        <v>31</v>
      </c>
      <c r="I1948" s="28" t="s">
        <v>24</v>
      </c>
    </row>
    <row r="1949" spans="1:9" x14ac:dyDescent="0.3">
      <c r="A1949" s="26">
        <v>45334</v>
      </c>
      <c r="B1949" t="s">
        <v>840</v>
      </c>
      <c r="C1949" t="s">
        <v>771</v>
      </c>
      <c r="D1949">
        <v>9.75</v>
      </c>
      <c r="E1949" t="s">
        <v>7</v>
      </c>
      <c r="F1949" t="s">
        <v>772</v>
      </c>
      <c r="G1949" t="s">
        <v>2275</v>
      </c>
      <c r="H1949" t="s">
        <v>31</v>
      </c>
      <c r="I1949" s="28" t="s">
        <v>24</v>
      </c>
    </row>
    <row r="1950" spans="1:9" x14ac:dyDescent="0.3">
      <c r="A1950" s="26">
        <v>45334</v>
      </c>
      <c r="B1950" t="s">
        <v>843</v>
      </c>
      <c r="C1950" t="s">
        <v>753</v>
      </c>
      <c r="D1950">
        <v>0.5</v>
      </c>
      <c r="E1950" t="s">
        <v>628</v>
      </c>
      <c r="F1950" t="s">
        <v>754</v>
      </c>
      <c r="G1950" t="s">
        <v>2276</v>
      </c>
      <c r="H1950" t="s">
        <v>31</v>
      </c>
      <c r="I1950" s="28" t="s">
        <v>24</v>
      </c>
    </row>
    <row r="1951" spans="1:9" x14ac:dyDescent="0.3">
      <c r="A1951" s="26">
        <v>45334</v>
      </c>
      <c r="B1951" t="s">
        <v>843</v>
      </c>
      <c r="C1951" t="s">
        <v>753</v>
      </c>
      <c r="D1951">
        <v>0.63</v>
      </c>
      <c r="E1951" t="s">
        <v>845</v>
      </c>
      <c r="F1951" t="s">
        <v>754</v>
      </c>
      <c r="G1951" t="s">
        <v>849</v>
      </c>
      <c r="H1951" t="s">
        <v>31</v>
      </c>
      <c r="I1951" s="28" t="s">
        <v>24</v>
      </c>
    </row>
    <row r="1952" spans="1:9" x14ac:dyDescent="0.3">
      <c r="A1952" s="26">
        <v>45334</v>
      </c>
      <c r="B1952" t="s">
        <v>843</v>
      </c>
      <c r="C1952" t="s">
        <v>753</v>
      </c>
      <c r="D1952">
        <v>0.88</v>
      </c>
      <c r="E1952" t="s">
        <v>234</v>
      </c>
      <c r="F1952" t="s">
        <v>754</v>
      </c>
      <c r="G1952" t="s">
        <v>2277</v>
      </c>
      <c r="H1952" t="s">
        <v>31</v>
      </c>
      <c r="I1952" s="28" t="s">
        <v>24</v>
      </c>
    </row>
    <row r="1953" spans="1:9" x14ac:dyDescent="0.3">
      <c r="A1953" s="26">
        <v>45334</v>
      </c>
      <c r="B1953" t="s">
        <v>843</v>
      </c>
      <c r="C1953" t="s">
        <v>753</v>
      </c>
      <c r="D1953">
        <v>1</v>
      </c>
      <c r="E1953" t="s">
        <v>170</v>
      </c>
      <c r="F1953" t="s">
        <v>754</v>
      </c>
      <c r="G1953" t="s">
        <v>2278</v>
      </c>
      <c r="H1953" t="s">
        <v>31</v>
      </c>
      <c r="I1953" s="28" t="s">
        <v>24</v>
      </c>
    </row>
    <row r="1954" spans="1:9" x14ac:dyDescent="0.3">
      <c r="A1954" s="26">
        <v>45334</v>
      </c>
      <c r="B1954" t="s">
        <v>843</v>
      </c>
      <c r="C1954" t="s">
        <v>753</v>
      </c>
      <c r="D1954">
        <v>1.05</v>
      </c>
      <c r="E1954" t="s">
        <v>690</v>
      </c>
      <c r="F1954" t="s">
        <v>772</v>
      </c>
      <c r="G1954" t="s">
        <v>2279</v>
      </c>
      <c r="H1954" t="s">
        <v>31</v>
      </c>
      <c r="I1954" s="28" t="s">
        <v>24</v>
      </c>
    </row>
    <row r="1955" spans="1:9" x14ac:dyDescent="0.3">
      <c r="A1955" s="26">
        <v>45334</v>
      </c>
      <c r="B1955" t="s">
        <v>843</v>
      </c>
      <c r="C1955" t="s">
        <v>753</v>
      </c>
      <c r="D1955">
        <v>1.27</v>
      </c>
      <c r="E1955" t="s">
        <v>845</v>
      </c>
      <c r="F1955" t="s">
        <v>754</v>
      </c>
      <c r="G1955" t="s">
        <v>846</v>
      </c>
      <c r="H1955" t="s">
        <v>31</v>
      </c>
      <c r="I1955" s="28" t="s">
        <v>24</v>
      </c>
    </row>
    <row r="1956" spans="1:9" x14ac:dyDescent="0.3">
      <c r="A1956" s="26">
        <v>45334</v>
      </c>
      <c r="B1956" t="s">
        <v>843</v>
      </c>
      <c r="C1956" t="s">
        <v>753</v>
      </c>
      <c r="D1956">
        <v>1.35</v>
      </c>
      <c r="E1956" t="s">
        <v>690</v>
      </c>
      <c r="F1956" t="s">
        <v>754</v>
      </c>
      <c r="G1956" t="s">
        <v>2278</v>
      </c>
      <c r="H1956" t="s">
        <v>31</v>
      </c>
      <c r="I1956" s="28" t="s">
        <v>24</v>
      </c>
    </row>
    <row r="1957" spans="1:9" x14ac:dyDescent="0.3">
      <c r="A1957" s="26">
        <v>45334</v>
      </c>
      <c r="B1957" t="s">
        <v>843</v>
      </c>
      <c r="C1957" t="s">
        <v>853</v>
      </c>
      <c r="D1957">
        <v>0.82</v>
      </c>
      <c r="E1957" t="s">
        <v>259</v>
      </c>
      <c r="F1957" t="s">
        <v>754</v>
      </c>
      <c r="G1957" t="s">
        <v>846</v>
      </c>
      <c r="H1957" t="s">
        <v>31</v>
      </c>
      <c r="I1957" s="28" t="s">
        <v>24</v>
      </c>
    </row>
    <row r="1958" spans="1:9" x14ac:dyDescent="0.3">
      <c r="A1958" s="26">
        <v>45334</v>
      </c>
      <c r="B1958" t="s">
        <v>843</v>
      </c>
      <c r="C1958" t="s">
        <v>771</v>
      </c>
      <c r="D1958">
        <v>0.5</v>
      </c>
      <c r="E1958" t="s">
        <v>7</v>
      </c>
      <c r="F1958" t="s">
        <v>772</v>
      </c>
      <c r="G1958" t="s">
        <v>781</v>
      </c>
      <c r="H1958" t="s">
        <v>31</v>
      </c>
      <c r="I1958" s="28" t="s">
        <v>24</v>
      </c>
    </row>
    <row r="1959" spans="1:9" x14ac:dyDescent="0.3">
      <c r="A1959" s="26">
        <v>45334</v>
      </c>
      <c r="B1959" t="s">
        <v>856</v>
      </c>
      <c r="C1959" t="s">
        <v>1163</v>
      </c>
      <c r="D1959">
        <v>8</v>
      </c>
      <c r="E1959" t="s">
        <v>7</v>
      </c>
      <c r="F1959" t="s">
        <v>772</v>
      </c>
      <c r="H1959" t="s">
        <v>31</v>
      </c>
      <c r="I1959" s="28" t="s">
        <v>24</v>
      </c>
    </row>
    <row r="1960" spans="1:9" x14ac:dyDescent="0.3">
      <c r="A1960" s="26">
        <v>45334</v>
      </c>
      <c r="B1960" t="s">
        <v>33</v>
      </c>
      <c r="C1960" t="s">
        <v>771</v>
      </c>
      <c r="D1960">
        <v>0.78</v>
      </c>
      <c r="E1960" t="s">
        <v>7</v>
      </c>
      <c r="F1960" t="s">
        <v>772</v>
      </c>
      <c r="G1960" t="s">
        <v>2280</v>
      </c>
      <c r="H1960" t="s">
        <v>31</v>
      </c>
      <c r="I1960" s="28" t="s">
        <v>24</v>
      </c>
    </row>
    <row r="1961" spans="1:9" x14ac:dyDescent="0.3">
      <c r="A1961" s="26">
        <v>45334</v>
      </c>
      <c r="B1961" t="s">
        <v>33</v>
      </c>
      <c r="C1961" t="s">
        <v>771</v>
      </c>
      <c r="D1961">
        <v>1.02</v>
      </c>
      <c r="E1961" t="s">
        <v>7</v>
      </c>
      <c r="F1961" t="s">
        <v>772</v>
      </c>
      <c r="G1961" t="s">
        <v>2281</v>
      </c>
      <c r="H1961" t="s">
        <v>31</v>
      </c>
      <c r="I1961" s="28" t="s">
        <v>24</v>
      </c>
    </row>
    <row r="1962" spans="1:9" x14ac:dyDescent="0.3">
      <c r="A1962" s="26">
        <v>45334</v>
      </c>
      <c r="B1962" t="s">
        <v>33</v>
      </c>
      <c r="C1962" t="s">
        <v>771</v>
      </c>
      <c r="D1962">
        <v>1.1499999999999999</v>
      </c>
      <c r="E1962" t="s">
        <v>7</v>
      </c>
      <c r="F1962" t="s">
        <v>772</v>
      </c>
      <c r="G1962" t="s">
        <v>2282</v>
      </c>
      <c r="H1962" t="s">
        <v>31</v>
      </c>
      <c r="I1962" s="28" t="s">
        <v>24</v>
      </c>
    </row>
    <row r="1963" spans="1:9" x14ac:dyDescent="0.3">
      <c r="A1963" s="26">
        <v>45334</v>
      </c>
      <c r="B1963" t="s">
        <v>33</v>
      </c>
      <c r="C1963" t="s">
        <v>771</v>
      </c>
      <c r="D1963">
        <v>1.23</v>
      </c>
      <c r="E1963" t="s">
        <v>7</v>
      </c>
      <c r="F1963" t="s">
        <v>772</v>
      </c>
      <c r="G1963" t="s">
        <v>2005</v>
      </c>
      <c r="H1963" t="s">
        <v>31</v>
      </c>
      <c r="I1963" s="28" t="s">
        <v>24</v>
      </c>
    </row>
    <row r="1964" spans="1:9" x14ac:dyDescent="0.3">
      <c r="A1964" s="26">
        <v>45334</v>
      </c>
      <c r="B1964" t="s">
        <v>33</v>
      </c>
      <c r="C1964" t="s">
        <v>771</v>
      </c>
      <c r="D1964">
        <v>1.38</v>
      </c>
      <c r="E1964" t="s">
        <v>7</v>
      </c>
      <c r="F1964" t="s">
        <v>772</v>
      </c>
      <c r="G1964" t="s">
        <v>2283</v>
      </c>
      <c r="H1964" t="s">
        <v>31</v>
      </c>
      <c r="I1964" s="28" t="s">
        <v>24</v>
      </c>
    </row>
    <row r="1965" spans="1:9" x14ac:dyDescent="0.3">
      <c r="A1965" s="26">
        <v>45334</v>
      </c>
      <c r="B1965" t="s">
        <v>33</v>
      </c>
      <c r="C1965" t="s">
        <v>771</v>
      </c>
      <c r="D1965">
        <v>2.5299999999999998</v>
      </c>
      <c r="E1965" t="s">
        <v>7</v>
      </c>
      <c r="F1965" t="s">
        <v>772</v>
      </c>
      <c r="G1965" t="s">
        <v>2284</v>
      </c>
      <c r="H1965" t="s">
        <v>31</v>
      </c>
      <c r="I1965" s="28" t="s">
        <v>24</v>
      </c>
    </row>
    <row r="1966" spans="1:9" x14ac:dyDescent="0.3">
      <c r="A1966" s="26">
        <v>45334</v>
      </c>
      <c r="B1966" t="s">
        <v>33</v>
      </c>
      <c r="C1966" t="s">
        <v>874</v>
      </c>
      <c r="D1966">
        <v>0.2</v>
      </c>
      <c r="E1966" t="s">
        <v>7</v>
      </c>
      <c r="F1966" t="s">
        <v>772</v>
      </c>
      <c r="G1966" t="s">
        <v>2285</v>
      </c>
      <c r="H1966" t="s">
        <v>31</v>
      </c>
      <c r="I1966" s="28" t="s">
        <v>24</v>
      </c>
    </row>
    <row r="1967" spans="1:9" x14ac:dyDescent="0.3">
      <c r="A1967" s="26">
        <v>45334</v>
      </c>
      <c r="B1967" t="s">
        <v>876</v>
      </c>
      <c r="C1967" t="s">
        <v>753</v>
      </c>
      <c r="D1967">
        <v>0.88</v>
      </c>
      <c r="E1967" t="s">
        <v>11</v>
      </c>
      <c r="F1967" t="s">
        <v>754</v>
      </c>
      <c r="H1967" t="s">
        <v>31</v>
      </c>
      <c r="I1967" s="28" t="s">
        <v>24</v>
      </c>
    </row>
    <row r="1968" spans="1:9" x14ac:dyDescent="0.3">
      <c r="A1968" s="26">
        <v>45334</v>
      </c>
      <c r="B1968" t="s">
        <v>876</v>
      </c>
      <c r="C1968" t="s">
        <v>776</v>
      </c>
      <c r="D1968">
        <v>3.18</v>
      </c>
      <c r="E1968" t="s">
        <v>151</v>
      </c>
      <c r="F1968" t="s">
        <v>754</v>
      </c>
      <c r="H1968" t="s">
        <v>31</v>
      </c>
      <c r="I1968" s="28" t="s">
        <v>24</v>
      </c>
    </row>
    <row r="1969" spans="1:9" x14ac:dyDescent="0.3">
      <c r="A1969" s="26">
        <v>45334</v>
      </c>
      <c r="B1969" t="s">
        <v>876</v>
      </c>
      <c r="C1969" t="s">
        <v>784</v>
      </c>
      <c r="D1969">
        <v>4</v>
      </c>
      <c r="E1969" t="s">
        <v>7</v>
      </c>
      <c r="F1969" t="s">
        <v>772</v>
      </c>
      <c r="H1969" t="s">
        <v>31</v>
      </c>
      <c r="I1969" s="28" t="s">
        <v>24</v>
      </c>
    </row>
    <row r="1970" spans="1:9" x14ac:dyDescent="0.3">
      <c r="A1970" s="26">
        <v>45334</v>
      </c>
      <c r="B1970" t="s">
        <v>877</v>
      </c>
      <c r="C1970" t="s">
        <v>878</v>
      </c>
      <c r="D1970">
        <v>3.2</v>
      </c>
      <c r="E1970" t="s">
        <v>879</v>
      </c>
      <c r="F1970" t="s">
        <v>754</v>
      </c>
      <c r="G1970" t="s">
        <v>2286</v>
      </c>
      <c r="H1970" t="s">
        <v>31</v>
      </c>
      <c r="I1970" s="28" t="s">
        <v>24</v>
      </c>
    </row>
    <row r="1971" spans="1:9" x14ac:dyDescent="0.3">
      <c r="A1971" s="26">
        <v>45334</v>
      </c>
      <c r="B1971" t="s">
        <v>877</v>
      </c>
      <c r="C1971" t="s">
        <v>878</v>
      </c>
      <c r="D1971">
        <v>5</v>
      </c>
      <c r="E1971" t="s">
        <v>882</v>
      </c>
      <c r="F1971" t="s">
        <v>754</v>
      </c>
      <c r="G1971" t="s">
        <v>2287</v>
      </c>
      <c r="H1971" t="s">
        <v>31</v>
      </c>
      <c r="I1971" s="28" t="s">
        <v>24</v>
      </c>
    </row>
    <row r="1972" spans="1:9" x14ac:dyDescent="0.3">
      <c r="A1972" s="26">
        <v>45334</v>
      </c>
      <c r="B1972" t="s">
        <v>884</v>
      </c>
      <c r="C1972" t="s">
        <v>753</v>
      </c>
      <c r="D1972">
        <v>0.22</v>
      </c>
      <c r="E1972" t="s">
        <v>288</v>
      </c>
      <c r="F1972" t="s">
        <v>754</v>
      </c>
      <c r="G1972" t="s">
        <v>2288</v>
      </c>
      <c r="H1972" t="s">
        <v>31</v>
      </c>
      <c r="I1972" s="28" t="s">
        <v>24</v>
      </c>
    </row>
    <row r="1973" spans="1:9" x14ac:dyDescent="0.3">
      <c r="A1973" s="26">
        <v>45334</v>
      </c>
      <c r="B1973" t="s">
        <v>884</v>
      </c>
      <c r="C1973" t="s">
        <v>753</v>
      </c>
      <c r="D1973">
        <v>0.25</v>
      </c>
      <c r="E1973" t="s">
        <v>316</v>
      </c>
      <c r="F1973" t="s">
        <v>754</v>
      </c>
      <c r="G1973" t="s">
        <v>2289</v>
      </c>
      <c r="H1973" t="s">
        <v>31</v>
      </c>
      <c r="I1973" s="28" t="s">
        <v>24</v>
      </c>
    </row>
    <row r="1974" spans="1:9" x14ac:dyDescent="0.3">
      <c r="A1974" s="26">
        <v>45334</v>
      </c>
      <c r="B1974" t="s">
        <v>884</v>
      </c>
      <c r="C1974" t="s">
        <v>753</v>
      </c>
      <c r="D1974">
        <v>0.5</v>
      </c>
      <c r="E1974" t="s">
        <v>248</v>
      </c>
      <c r="F1974" t="s">
        <v>754</v>
      </c>
      <c r="G1974" t="s">
        <v>2290</v>
      </c>
      <c r="H1974" t="s">
        <v>31</v>
      </c>
      <c r="I1974" s="28" t="s">
        <v>24</v>
      </c>
    </row>
    <row r="1975" spans="1:9" x14ac:dyDescent="0.3">
      <c r="A1975" s="26">
        <v>45334</v>
      </c>
      <c r="B1975" t="s">
        <v>884</v>
      </c>
      <c r="C1975" t="s">
        <v>753</v>
      </c>
      <c r="D1975">
        <v>0.5</v>
      </c>
      <c r="E1975" t="s">
        <v>885</v>
      </c>
      <c r="F1975" t="s">
        <v>754</v>
      </c>
      <c r="G1975" t="s">
        <v>2291</v>
      </c>
      <c r="H1975" t="s">
        <v>31</v>
      </c>
      <c r="I1975" s="28" t="s">
        <v>24</v>
      </c>
    </row>
    <row r="1976" spans="1:9" x14ac:dyDescent="0.3">
      <c r="A1976" s="26">
        <v>45334</v>
      </c>
      <c r="B1976" t="s">
        <v>884</v>
      </c>
      <c r="C1976" t="s">
        <v>753</v>
      </c>
      <c r="D1976">
        <v>0.87</v>
      </c>
      <c r="E1976" t="s">
        <v>375</v>
      </c>
      <c r="F1976" t="s">
        <v>754</v>
      </c>
      <c r="G1976" t="s">
        <v>2292</v>
      </c>
      <c r="H1976" t="s">
        <v>31</v>
      </c>
      <c r="I1976" s="28" t="s">
        <v>24</v>
      </c>
    </row>
    <row r="1977" spans="1:9" x14ac:dyDescent="0.3">
      <c r="A1977" s="26">
        <v>45334</v>
      </c>
      <c r="B1977" t="s">
        <v>884</v>
      </c>
      <c r="C1977" t="s">
        <v>753</v>
      </c>
      <c r="D1977">
        <v>0.93</v>
      </c>
      <c r="E1977" t="s">
        <v>375</v>
      </c>
      <c r="F1977" t="s">
        <v>754</v>
      </c>
      <c r="G1977" t="s">
        <v>2293</v>
      </c>
      <c r="H1977" t="s">
        <v>31</v>
      </c>
      <c r="I1977" s="28" t="s">
        <v>24</v>
      </c>
    </row>
    <row r="1978" spans="1:9" x14ac:dyDescent="0.3">
      <c r="A1978" s="26">
        <v>45334</v>
      </c>
      <c r="B1978" t="s">
        <v>884</v>
      </c>
      <c r="C1978" t="s">
        <v>753</v>
      </c>
      <c r="D1978">
        <v>0.98</v>
      </c>
      <c r="E1978" t="s">
        <v>562</v>
      </c>
      <c r="F1978" t="s">
        <v>754</v>
      </c>
      <c r="G1978" t="s">
        <v>2294</v>
      </c>
      <c r="H1978" t="s">
        <v>31</v>
      </c>
      <c r="I1978" s="28" t="s">
        <v>24</v>
      </c>
    </row>
    <row r="1979" spans="1:9" x14ac:dyDescent="0.3">
      <c r="A1979" s="26">
        <v>45334</v>
      </c>
      <c r="B1979" t="s">
        <v>884</v>
      </c>
      <c r="C1979" t="s">
        <v>753</v>
      </c>
      <c r="D1979">
        <v>1.37</v>
      </c>
      <c r="E1979" t="s">
        <v>562</v>
      </c>
      <c r="F1979" t="s">
        <v>754</v>
      </c>
      <c r="G1979" t="s">
        <v>2295</v>
      </c>
      <c r="H1979" t="s">
        <v>31</v>
      </c>
      <c r="I1979" s="28" t="s">
        <v>24</v>
      </c>
    </row>
    <row r="1980" spans="1:9" x14ac:dyDescent="0.3">
      <c r="A1980" s="26">
        <v>45334</v>
      </c>
      <c r="B1980" t="s">
        <v>884</v>
      </c>
      <c r="C1980" t="s">
        <v>753</v>
      </c>
      <c r="D1980">
        <v>1.57</v>
      </c>
      <c r="E1980" t="s">
        <v>562</v>
      </c>
      <c r="F1980" t="s">
        <v>754</v>
      </c>
      <c r="H1980" t="s">
        <v>31</v>
      </c>
      <c r="I1980" s="28" t="s">
        <v>24</v>
      </c>
    </row>
    <row r="1981" spans="1:9" x14ac:dyDescent="0.3">
      <c r="A1981" s="26">
        <v>45334</v>
      </c>
      <c r="B1981" t="s">
        <v>884</v>
      </c>
      <c r="C1981" t="s">
        <v>874</v>
      </c>
      <c r="D1981">
        <v>0.85</v>
      </c>
      <c r="E1981" t="s">
        <v>7</v>
      </c>
      <c r="F1981" t="s">
        <v>772</v>
      </c>
      <c r="G1981" t="s">
        <v>2296</v>
      </c>
      <c r="H1981" t="s">
        <v>31</v>
      </c>
      <c r="I1981" s="28" t="s">
        <v>24</v>
      </c>
    </row>
    <row r="1982" spans="1:9" x14ac:dyDescent="0.3">
      <c r="A1982" s="26">
        <v>45334</v>
      </c>
      <c r="B1982" t="s">
        <v>891</v>
      </c>
      <c r="C1982" t="s">
        <v>802</v>
      </c>
      <c r="D1982">
        <v>8</v>
      </c>
      <c r="E1982" t="s">
        <v>7</v>
      </c>
      <c r="F1982" t="s">
        <v>772</v>
      </c>
      <c r="G1982" t="s">
        <v>2297</v>
      </c>
      <c r="H1982" t="s">
        <v>31</v>
      </c>
      <c r="I1982" s="28" t="s">
        <v>24</v>
      </c>
    </row>
    <row r="1983" spans="1:9" x14ac:dyDescent="0.3">
      <c r="A1983" s="26">
        <v>45334</v>
      </c>
      <c r="B1983" t="s">
        <v>34</v>
      </c>
      <c r="C1983" t="s">
        <v>802</v>
      </c>
      <c r="D1983">
        <v>8</v>
      </c>
      <c r="E1983" t="s">
        <v>7</v>
      </c>
      <c r="F1983" t="s">
        <v>772</v>
      </c>
      <c r="H1983" t="s">
        <v>31</v>
      </c>
      <c r="I1983" s="28" t="s">
        <v>24</v>
      </c>
    </row>
    <row r="1984" spans="1:9" x14ac:dyDescent="0.3">
      <c r="A1984" s="26">
        <v>45334</v>
      </c>
      <c r="B1984" t="s">
        <v>893</v>
      </c>
      <c r="C1984" t="s">
        <v>802</v>
      </c>
      <c r="D1984">
        <v>8</v>
      </c>
      <c r="E1984" t="s">
        <v>7</v>
      </c>
      <c r="F1984" t="s">
        <v>772</v>
      </c>
      <c r="G1984" t="s">
        <v>2298</v>
      </c>
      <c r="H1984" t="s">
        <v>31</v>
      </c>
      <c r="I1984" s="28" t="s">
        <v>24</v>
      </c>
    </row>
    <row r="1985" spans="1:9" x14ac:dyDescent="0.3">
      <c r="A1985" s="26">
        <v>45334</v>
      </c>
      <c r="B1985" t="s">
        <v>895</v>
      </c>
      <c r="C1985" t="s">
        <v>753</v>
      </c>
      <c r="D1985">
        <v>0.15</v>
      </c>
      <c r="E1985" t="s">
        <v>770</v>
      </c>
      <c r="F1985" t="s">
        <v>772</v>
      </c>
      <c r="G1985" t="s">
        <v>2299</v>
      </c>
      <c r="H1985" t="s">
        <v>31</v>
      </c>
      <c r="I1985" s="28" t="s">
        <v>24</v>
      </c>
    </row>
    <row r="1986" spans="1:9" x14ac:dyDescent="0.3">
      <c r="A1986" s="26">
        <v>45334</v>
      </c>
      <c r="B1986" t="s">
        <v>895</v>
      </c>
      <c r="C1986" t="s">
        <v>753</v>
      </c>
      <c r="D1986">
        <v>0.25</v>
      </c>
      <c r="E1986" t="s">
        <v>1172</v>
      </c>
      <c r="F1986" t="s">
        <v>754</v>
      </c>
      <c r="G1986" t="s">
        <v>2300</v>
      </c>
      <c r="H1986" t="s">
        <v>31</v>
      </c>
      <c r="I1986" s="28" t="s">
        <v>24</v>
      </c>
    </row>
    <row r="1987" spans="1:9" x14ac:dyDescent="0.3">
      <c r="A1987" s="26">
        <v>45334</v>
      </c>
      <c r="B1987" t="s">
        <v>895</v>
      </c>
      <c r="C1987" t="s">
        <v>753</v>
      </c>
      <c r="D1987">
        <v>0.4</v>
      </c>
      <c r="E1987" t="s">
        <v>815</v>
      </c>
      <c r="F1987" t="s">
        <v>754</v>
      </c>
      <c r="G1987" t="s">
        <v>2301</v>
      </c>
      <c r="H1987" t="s">
        <v>31</v>
      </c>
      <c r="I1987" s="28" t="s">
        <v>24</v>
      </c>
    </row>
    <row r="1988" spans="1:9" x14ac:dyDescent="0.3">
      <c r="A1988" s="26">
        <v>45334</v>
      </c>
      <c r="B1988" t="s">
        <v>895</v>
      </c>
      <c r="C1988" t="s">
        <v>753</v>
      </c>
      <c r="D1988">
        <v>0.42</v>
      </c>
      <c r="E1988" t="s">
        <v>898</v>
      </c>
      <c r="F1988" t="s">
        <v>754</v>
      </c>
      <c r="G1988" t="s">
        <v>2302</v>
      </c>
      <c r="H1988" t="s">
        <v>31</v>
      </c>
      <c r="I1988" s="28" t="s">
        <v>24</v>
      </c>
    </row>
    <row r="1989" spans="1:9" x14ac:dyDescent="0.3">
      <c r="A1989" s="26">
        <v>45334</v>
      </c>
      <c r="B1989" t="s">
        <v>895</v>
      </c>
      <c r="C1989" t="s">
        <v>786</v>
      </c>
      <c r="D1989">
        <v>0.33</v>
      </c>
      <c r="E1989" t="s">
        <v>7</v>
      </c>
      <c r="F1989" t="s">
        <v>754</v>
      </c>
      <c r="G1989" t="s">
        <v>2303</v>
      </c>
      <c r="H1989" t="s">
        <v>31</v>
      </c>
      <c r="I1989" s="28" t="s">
        <v>24</v>
      </c>
    </row>
    <row r="1990" spans="1:9" x14ac:dyDescent="0.3">
      <c r="A1990" s="26">
        <v>45334</v>
      </c>
      <c r="B1990" t="s">
        <v>895</v>
      </c>
      <c r="C1990" t="s">
        <v>906</v>
      </c>
      <c r="D1990">
        <v>0.47</v>
      </c>
      <c r="E1990" t="s">
        <v>7</v>
      </c>
      <c r="F1990" t="s">
        <v>772</v>
      </c>
      <c r="G1990" t="s">
        <v>2304</v>
      </c>
      <c r="H1990" t="s">
        <v>31</v>
      </c>
      <c r="I1990" s="28" t="s">
        <v>24</v>
      </c>
    </row>
    <row r="1991" spans="1:9" x14ac:dyDescent="0.3">
      <c r="A1991" s="26">
        <v>45334</v>
      </c>
      <c r="B1991" t="s">
        <v>895</v>
      </c>
      <c r="C1991" t="s">
        <v>906</v>
      </c>
      <c r="D1991">
        <v>0.75</v>
      </c>
      <c r="E1991" t="s">
        <v>7</v>
      </c>
      <c r="F1991" t="s">
        <v>772</v>
      </c>
      <c r="G1991" t="s">
        <v>2305</v>
      </c>
      <c r="H1991" t="s">
        <v>31</v>
      </c>
      <c r="I1991" s="28" t="s">
        <v>24</v>
      </c>
    </row>
    <row r="1992" spans="1:9" x14ac:dyDescent="0.3">
      <c r="A1992" s="26">
        <v>45334</v>
      </c>
      <c r="B1992" t="s">
        <v>895</v>
      </c>
      <c r="C1992" t="s">
        <v>909</v>
      </c>
      <c r="D1992">
        <v>0.42</v>
      </c>
      <c r="E1992" t="s">
        <v>898</v>
      </c>
      <c r="F1992" t="s">
        <v>772</v>
      </c>
      <c r="G1992" t="s">
        <v>2306</v>
      </c>
      <c r="H1992" t="s">
        <v>31</v>
      </c>
      <c r="I1992" s="28" t="s">
        <v>24</v>
      </c>
    </row>
    <row r="1993" spans="1:9" x14ac:dyDescent="0.3">
      <c r="A1993" s="26">
        <v>45334</v>
      </c>
      <c r="B1993" t="s">
        <v>895</v>
      </c>
      <c r="C1993" t="s">
        <v>789</v>
      </c>
      <c r="D1993">
        <v>0.23</v>
      </c>
      <c r="E1993" t="s">
        <v>903</v>
      </c>
      <c r="F1993" t="s">
        <v>754</v>
      </c>
      <c r="G1993" t="s">
        <v>2307</v>
      </c>
      <c r="H1993" t="s">
        <v>31</v>
      </c>
      <c r="I1993" s="28" t="s">
        <v>24</v>
      </c>
    </row>
    <row r="1994" spans="1:9" x14ac:dyDescent="0.3">
      <c r="A1994" s="26">
        <v>45334</v>
      </c>
      <c r="B1994" t="s">
        <v>895</v>
      </c>
      <c r="C1994" t="s">
        <v>789</v>
      </c>
      <c r="D1994">
        <v>1</v>
      </c>
      <c r="E1994" t="s">
        <v>879</v>
      </c>
      <c r="F1994" t="s">
        <v>754</v>
      </c>
      <c r="G1994" t="s">
        <v>2308</v>
      </c>
      <c r="H1994" t="s">
        <v>31</v>
      </c>
      <c r="I1994" s="28" t="s">
        <v>24</v>
      </c>
    </row>
    <row r="1995" spans="1:9" x14ac:dyDescent="0.3">
      <c r="A1995" s="26">
        <v>45334</v>
      </c>
      <c r="B1995" t="s">
        <v>895</v>
      </c>
      <c r="C1995" t="s">
        <v>771</v>
      </c>
      <c r="D1995">
        <v>0.08</v>
      </c>
      <c r="E1995" t="s">
        <v>7</v>
      </c>
      <c r="F1995" t="s">
        <v>772</v>
      </c>
      <c r="G1995" t="s">
        <v>2309</v>
      </c>
      <c r="H1995" t="s">
        <v>31</v>
      </c>
      <c r="I1995" s="28" t="s">
        <v>24</v>
      </c>
    </row>
    <row r="1996" spans="1:9" x14ac:dyDescent="0.3">
      <c r="A1996" s="26">
        <v>45334</v>
      </c>
      <c r="B1996" t="s">
        <v>895</v>
      </c>
      <c r="C1996" t="s">
        <v>771</v>
      </c>
      <c r="D1996">
        <v>0.15</v>
      </c>
      <c r="E1996" t="s">
        <v>7</v>
      </c>
      <c r="F1996" t="s">
        <v>772</v>
      </c>
      <c r="G1996" t="s">
        <v>2310</v>
      </c>
      <c r="H1996" t="s">
        <v>31</v>
      </c>
      <c r="I1996" s="28" t="s">
        <v>24</v>
      </c>
    </row>
    <row r="1997" spans="1:9" x14ac:dyDescent="0.3">
      <c r="A1997" s="26">
        <v>45334</v>
      </c>
      <c r="B1997" t="s">
        <v>895</v>
      </c>
      <c r="C1997" t="s">
        <v>771</v>
      </c>
      <c r="D1997">
        <v>0.42</v>
      </c>
      <c r="E1997" t="s">
        <v>7</v>
      </c>
      <c r="F1997" t="s">
        <v>772</v>
      </c>
      <c r="G1997" t="s">
        <v>760</v>
      </c>
      <c r="H1997" t="s">
        <v>31</v>
      </c>
      <c r="I1997" s="28" t="s">
        <v>24</v>
      </c>
    </row>
    <row r="1998" spans="1:9" x14ac:dyDescent="0.3">
      <c r="A1998" s="26">
        <v>45334</v>
      </c>
      <c r="B1998" t="s">
        <v>895</v>
      </c>
      <c r="C1998" t="s">
        <v>874</v>
      </c>
      <c r="D1998">
        <v>0.73</v>
      </c>
      <c r="E1998" t="s">
        <v>7</v>
      </c>
      <c r="F1998" t="s">
        <v>772</v>
      </c>
      <c r="G1998" t="s">
        <v>2311</v>
      </c>
      <c r="H1998" t="s">
        <v>31</v>
      </c>
      <c r="I1998" s="28" t="s">
        <v>24</v>
      </c>
    </row>
    <row r="1999" spans="1:9" x14ac:dyDescent="0.3">
      <c r="A1999" s="26">
        <v>45334</v>
      </c>
      <c r="B1999" t="s">
        <v>895</v>
      </c>
      <c r="C1999" t="s">
        <v>776</v>
      </c>
      <c r="D1999">
        <v>0.13</v>
      </c>
      <c r="E1999" t="s">
        <v>879</v>
      </c>
      <c r="F1999" t="s">
        <v>754</v>
      </c>
      <c r="G1999" t="s">
        <v>2312</v>
      </c>
      <c r="H1999" t="s">
        <v>31</v>
      </c>
      <c r="I1999" s="28" t="s">
        <v>24</v>
      </c>
    </row>
    <row r="2000" spans="1:9" x14ac:dyDescent="0.3">
      <c r="A2000" s="26">
        <v>45334</v>
      </c>
      <c r="B2000" t="s">
        <v>895</v>
      </c>
      <c r="C2000" t="s">
        <v>776</v>
      </c>
      <c r="D2000">
        <v>0.2</v>
      </c>
      <c r="E2000" t="s">
        <v>922</v>
      </c>
      <c r="F2000" t="s">
        <v>754</v>
      </c>
      <c r="G2000" t="s">
        <v>2313</v>
      </c>
      <c r="H2000" t="s">
        <v>31</v>
      </c>
      <c r="I2000" s="28" t="s">
        <v>24</v>
      </c>
    </row>
    <row r="2001" spans="1:9" x14ac:dyDescent="0.3">
      <c r="A2001" s="26">
        <v>45334</v>
      </c>
      <c r="B2001" t="s">
        <v>895</v>
      </c>
      <c r="C2001" t="s">
        <v>776</v>
      </c>
      <c r="D2001">
        <v>0.25</v>
      </c>
      <c r="E2001" t="s">
        <v>879</v>
      </c>
      <c r="F2001" t="s">
        <v>754</v>
      </c>
      <c r="G2001" t="s">
        <v>2314</v>
      </c>
      <c r="H2001" t="s">
        <v>31</v>
      </c>
      <c r="I2001" s="28" t="s">
        <v>24</v>
      </c>
    </row>
    <row r="2002" spans="1:9" x14ac:dyDescent="0.3">
      <c r="A2002" s="26">
        <v>45334</v>
      </c>
      <c r="B2002" t="s">
        <v>895</v>
      </c>
      <c r="C2002" t="s">
        <v>776</v>
      </c>
      <c r="D2002">
        <v>0.28000000000000003</v>
      </c>
      <c r="E2002" t="s">
        <v>879</v>
      </c>
      <c r="F2002" t="s">
        <v>754</v>
      </c>
      <c r="G2002" t="s">
        <v>2315</v>
      </c>
      <c r="H2002" t="s">
        <v>31</v>
      </c>
      <c r="I2002" s="28" t="s">
        <v>24</v>
      </c>
    </row>
    <row r="2003" spans="1:9" x14ac:dyDescent="0.3">
      <c r="A2003" s="26">
        <v>45334</v>
      </c>
      <c r="B2003" t="s">
        <v>895</v>
      </c>
      <c r="C2003" t="s">
        <v>776</v>
      </c>
      <c r="D2003">
        <v>0.37</v>
      </c>
      <c r="E2003" t="s">
        <v>922</v>
      </c>
      <c r="F2003" t="s">
        <v>754</v>
      </c>
      <c r="G2003" t="s">
        <v>2316</v>
      </c>
      <c r="H2003" t="s">
        <v>31</v>
      </c>
      <c r="I2003" s="28" t="s">
        <v>24</v>
      </c>
    </row>
    <row r="2004" spans="1:9" x14ac:dyDescent="0.3">
      <c r="A2004" s="26">
        <v>45334</v>
      </c>
      <c r="B2004" t="s">
        <v>895</v>
      </c>
      <c r="C2004" t="s">
        <v>776</v>
      </c>
      <c r="D2004">
        <v>0.45</v>
      </c>
      <c r="E2004" t="s">
        <v>879</v>
      </c>
      <c r="F2004" t="s">
        <v>754</v>
      </c>
      <c r="G2004" t="s">
        <v>2317</v>
      </c>
      <c r="H2004" t="s">
        <v>31</v>
      </c>
      <c r="I2004" s="28" t="s">
        <v>24</v>
      </c>
    </row>
    <row r="2005" spans="1:9" x14ac:dyDescent="0.3">
      <c r="A2005" s="26">
        <v>45334</v>
      </c>
      <c r="B2005" t="s">
        <v>895</v>
      </c>
      <c r="C2005" t="s">
        <v>776</v>
      </c>
      <c r="D2005">
        <v>0.92</v>
      </c>
      <c r="E2005" t="s">
        <v>879</v>
      </c>
      <c r="F2005" t="s">
        <v>754</v>
      </c>
      <c r="G2005" t="s">
        <v>2318</v>
      </c>
      <c r="H2005" t="s">
        <v>31</v>
      </c>
      <c r="I2005" s="28" t="s">
        <v>24</v>
      </c>
    </row>
    <row r="2006" spans="1:9" x14ac:dyDescent="0.3">
      <c r="A2006" s="26">
        <v>45334</v>
      </c>
      <c r="B2006" t="s">
        <v>1391</v>
      </c>
      <c r="C2006" t="s">
        <v>771</v>
      </c>
      <c r="D2006">
        <v>0.5</v>
      </c>
      <c r="E2006" t="s">
        <v>7</v>
      </c>
      <c r="F2006" t="s">
        <v>772</v>
      </c>
      <c r="G2006" t="s">
        <v>2319</v>
      </c>
      <c r="H2006" t="s">
        <v>31</v>
      </c>
      <c r="I2006" s="28" t="s">
        <v>24</v>
      </c>
    </row>
    <row r="2007" spans="1:9" x14ac:dyDescent="0.3">
      <c r="A2007" s="26">
        <v>45334</v>
      </c>
      <c r="B2007" t="s">
        <v>1391</v>
      </c>
      <c r="C2007" t="s">
        <v>874</v>
      </c>
      <c r="D2007">
        <v>0.5</v>
      </c>
      <c r="E2007" t="s">
        <v>7</v>
      </c>
      <c r="F2007" t="s">
        <v>772</v>
      </c>
      <c r="G2007" t="s">
        <v>1393</v>
      </c>
      <c r="H2007" t="s">
        <v>31</v>
      </c>
      <c r="I2007" s="28" t="s">
        <v>24</v>
      </c>
    </row>
    <row r="2008" spans="1:9" x14ac:dyDescent="0.3">
      <c r="A2008" s="26">
        <v>45334</v>
      </c>
      <c r="B2008" t="s">
        <v>1391</v>
      </c>
      <c r="C2008" t="s">
        <v>1094</v>
      </c>
      <c r="D2008">
        <v>1.25</v>
      </c>
      <c r="E2008" t="s">
        <v>455</v>
      </c>
      <c r="F2008" t="s">
        <v>754</v>
      </c>
      <c r="G2008" t="s">
        <v>2320</v>
      </c>
      <c r="H2008" t="s">
        <v>31</v>
      </c>
      <c r="I2008" s="28" t="s">
        <v>24</v>
      </c>
    </row>
    <row r="2009" spans="1:9" x14ac:dyDescent="0.3">
      <c r="A2009" s="26">
        <v>45334</v>
      </c>
      <c r="B2009" t="s">
        <v>1391</v>
      </c>
      <c r="C2009" t="s">
        <v>1094</v>
      </c>
      <c r="D2009">
        <v>1.5</v>
      </c>
      <c r="E2009" t="s">
        <v>455</v>
      </c>
      <c r="F2009" t="s">
        <v>754</v>
      </c>
      <c r="G2009" t="s">
        <v>2321</v>
      </c>
      <c r="H2009" t="s">
        <v>31</v>
      </c>
      <c r="I2009" s="28" t="s">
        <v>24</v>
      </c>
    </row>
    <row r="2010" spans="1:9" x14ac:dyDescent="0.3">
      <c r="A2010" s="26">
        <v>45334</v>
      </c>
      <c r="B2010" t="s">
        <v>929</v>
      </c>
      <c r="C2010" t="s">
        <v>789</v>
      </c>
      <c r="D2010">
        <v>0.32</v>
      </c>
      <c r="E2010" t="s">
        <v>790</v>
      </c>
      <c r="F2010" t="s">
        <v>772</v>
      </c>
      <c r="G2010" t="s">
        <v>2322</v>
      </c>
      <c r="H2010" t="s">
        <v>31</v>
      </c>
      <c r="I2010" s="28" t="s">
        <v>24</v>
      </c>
    </row>
    <row r="2011" spans="1:9" x14ac:dyDescent="0.3">
      <c r="A2011" s="26">
        <v>45334</v>
      </c>
      <c r="B2011" t="s">
        <v>929</v>
      </c>
      <c r="C2011" t="s">
        <v>771</v>
      </c>
      <c r="D2011">
        <v>0.25</v>
      </c>
      <c r="E2011" t="s">
        <v>7</v>
      </c>
      <c r="F2011" t="s">
        <v>772</v>
      </c>
      <c r="G2011" t="s">
        <v>2053</v>
      </c>
      <c r="H2011" t="s">
        <v>31</v>
      </c>
      <c r="I2011" s="28" t="s">
        <v>24</v>
      </c>
    </row>
    <row r="2012" spans="1:9" x14ac:dyDescent="0.3">
      <c r="A2012" s="26">
        <v>45334</v>
      </c>
      <c r="B2012" t="s">
        <v>929</v>
      </c>
      <c r="C2012" t="s">
        <v>771</v>
      </c>
      <c r="D2012">
        <v>0.25</v>
      </c>
      <c r="E2012" t="s">
        <v>7</v>
      </c>
      <c r="F2012" t="s">
        <v>772</v>
      </c>
      <c r="G2012" t="s">
        <v>2054</v>
      </c>
      <c r="H2012" t="s">
        <v>31</v>
      </c>
      <c r="I2012" s="28" t="s">
        <v>24</v>
      </c>
    </row>
    <row r="2013" spans="1:9" x14ac:dyDescent="0.3">
      <c r="A2013" s="26">
        <v>45334</v>
      </c>
      <c r="B2013" t="s">
        <v>929</v>
      </c>
      <c r="C2013" t="s">
        <v>771</v>
      </c>
      <c r="D2013">
        <v>1.1299999999999999</v>
      </c>
      <c r="E2013" t="s">
        <v>7</v>
      </c>
      <c r="F2013" t="s">
        <v>772</v>
      </c>
      <c r="G2013" t="s">
        <v>2323</v>
      </c>
      <c r="H2013" t="s">
        <v>31</v>
      </c>
      <c r="I2013" s="28" t="s">
        <v>24</v>
      </c>
    </row>
    <row r="2014" spans="1:9" x14ac:dyDescent="0.3">
      <c r="A2014" s="26">
        <v>45334</v>
      </c>
      <c r="B2014" t="s">
        <v>929</v>
      </c>
      <c r="C2014" t="s">
        <v>942</v>
      </c>
      <c r="D2014">
        <v>0.53</v>
      </c>
      <c r="E2014" t="s">
        <v>7</v>
      </c>
      <c r="F2014" t="s">
        <v>772</v>
      </c>
      <c r="G2014" t="s">
        <v>2324</v>
      </c>
      <c r="H2014" t="s">
        <v>31</v>
      </c>
      <c r="I2014" s="28" t="s">
        <v>24</v>
      </c>
    </row>
    <row r="2015" spans="1:9" x14ac:dyDescent="0.3">
      <c r="A2015" s="26">
        <v>45334</v>
      </c>
      <c r="B2015" t="s">
        <v>929</v>
      </c>
      <c r="C2015" t="s">
        <v>1441</v>
      </c>
      <c r="D2015">
        <v>0.93</v>
      </c>
      <c r="E2015" t="s">
        <v>458</v>
      </c>
      <c r="F2015" t="s">
        <v>754</v>
      </c>
      <c r="G2015" t="s">
        <v>2325</v>
      </c>
      <c r="H2015" t="s">
        <v>31</v>
      </c>
      <c r="I2015" s="28" t="s">
        <v>24</v>
      </c>
    </row>
    <row r="2016" spans="1:9" x14ac:dyDescent="0.3">
      <c r="A2016" s="26">
        <v>45334</v>
      </c>
      <c r="B2016" t="s">
        <v>929</v>
      </c>
      <c r="C2016" t="s">
        <v>1441</v>
      </c>
      <c r="D2016">
        <v>0.95</v>
      </c>
      <c r="E2016" t="s">
        <v>790</v>
      </c>
      <c r="F2016" t="s">
        <v>754</v>
      </c>
      <c r="G2016" t="s">
        <v>2326</v>
      </c>
      <c r="H2016" t="s">
        <v>31</v>
      </c>
      <c r="I2016" s="28" t="s">
        <v>24</v>
      </c>
    </row>
    <row r="2017" spans="1:9" x14ac:dyDescent="0.3">
      <c r="A2017" s="26">
        <v>45334</v>
      </c>
      <c r="B2017" t="s">
        <v>929</v>
      </c>
      <c r="C2017" t="s">
        <v>1441</v>
      </c>
      <c r="D2017">
        <v>1.03</v>
      </c>
      <c r="E2017" t="s">
        <v>790</v>
      </c>
      <c r="F2017" t="s">
        <v>754</v>
      </c>
      <c r="H2017" t="s">
        <v>31</v>
      </c>
      <c r="I2017" s="28" t="s">
        <v>24</v>
      </c>
    </row>
    <row r="2018" spans="1:9" x14ac:dyDescent="0.3">
      <c r="A2018" s="26">
        <v>45334</v>
      </c>
      <c r="B2018" t="s">
        <v>929</v>
      </c>
      <c r="C2018" t="s">
        <v>916</v>
      </c>
      <c r="D2018">
        <v>0.47</v>
      </c>
      <c r="E2018" t="s">
        <v>602</v>
      </c>
      <c r="F2018" t="s">
        <v>754</v>
      </c>
      <c r="G2018" t="s">
        <v>2327</v>
      </c>
      <c r="H2018" t="s">
        <v>31</v>
      </c>
      <c r="I2018" s="28" t="s">
        <v>24</v>
      </c>
    </row>
    <row r="2019" spans="1:9" x14ac:dyDescent="0.3">
      <c r="A2019" s="26">
        <v>45334</v>
      </c>
      <c r="B2019" t="s">
        <v>929</v>
      </c>
      <c r="C2019" t="s">
        <v>982</v>
      </c>
      <c r="D2019">
        <v>0.25</v>
      </c>
      <c r="E2019" t="s">
        <v>7</v>
      </c>
      <c r="F2019" t="s">
        <v>772</v>
      </c>
      <c r="G2019" t="s">
        <v>2328</v>
      </c>
      <c r="H2019" t="s">
        <v>31</v>
      </c>
      <c r="I2019" s="28" t="s">
        <v>24</v>
      </c>
    </row>
    <row r="2020" spans="1:9" x14ac:dyDescent="0.3">
      <c r="A2020" s="26">
        <v>45334</v>
      </c>
      <c r="B2020" t="s">
        <v>929</v>
      </c>
      <c r="C2020" t="s">
        <v>982</v>
      </c>
      <c r="D2020">
        <v>0.27</v>
      </c>
      <c r="E2020" t="s">
        <v>7</v>
      </c>
      <c r="F2020" t="s">
        <v>772</v>
      </c>
      <c r="G2020" t="s">
        <v>2329</v>
      </c>
      <c r="H2020" t="s">
        <v>31</v>
      </c>
      <c r="I2020" s="28" t="s">
        <v>24</v>
      </c>
    </row>
    <row r="2021" spans="1:9" x14ac:dyDescent="0.3">
      <c r="A2021" s="26">
        <v>45334</v>
      </c>
      <c r="B2021" t="s">
        <v>929</v>
      </c>
      <c r="C2021" t="s">
        <v>954</v>
      </c>
      <c r="D2021">
        <v>0.35</v>
      </c>
      <c r="E2021" t="s">
        <v>7</v>
      </c>
      <c r="F2021" t="s">
        <v>772</v>
      </c>
      <c r="G2021" t="s">
        <v>2330</v>
      </c>
      <c r="H2021" t="s">
        <v>31</v>
      </c>
      <c r="I2021" s="28" t="s">
        <v>24</v>
      </c>
    </row>
    <row r="2022" spans="1:9" x14ac:dyDescent="0.3">
      <c r="A2022" s="26">
        <v>45334</v>
      </c>
      <c r="B2022" t="s">
        <v>929</v>
      </c>
      <c r="C2022" t="s">
        <v>954</v>
      </c>
      <c r="D2022">
        <v>1.28</v>
      </c>
      <c r="E2022" t="s">
        <v>7</v>
      </c>
      <c r="F2022" t="s">
        <v>772</v>
      </c>
      <c r="G2022" t="s">
        <v>2331</v>
      </c>
      <c r="H2022" t="s">
        <v>31</v>
      </c>
      <c r="I2022" s="28" t="s">
        <v>24</v>
      </c>
    </row>
    <row r="2023" spans="1:9" x14ac:dyDescent="0.3">
      <c r="A2023" s="26">
        <v>45334</v>
      </c>
      <c r="B2023" t="s">
        <v>959</v>
      </c>
      <c r="C2023" t="s">
        <v>874</v>
      </c>
      <c r="D2023">
        <v>0.5</v>
      </c>
      <c r="E2023" t="s">
        <v>7</v>
      </c>
      <c r="F2023" t="s">
        <v>772</v>
      </c>
      <c r="G2023" t="s">
        <v>2332</v>
      </c>
      <c r="H2023" t="s">
        <v>31</v>
      </c>
      <c r="I2023" s="28" t="s">
        <v>24</v>
      </c>
    </row>
    <row r="2024" spans="1:9" x14ac:dyDescent="0.3">
      <c r="A2024" s="26">
        <v>45334</v>
      </c>
      <c r="B2024" t="s">
        <v>959</v>
      </c>
      <c r="C2024" t="s">
        <v>878</v>
      </c>
      <c r="D2024">
        <v>7.5</v>
      </c>
      <c r="E2024" t="s">
        <v>430</v>
      </c>
      <c r="F2024" t="s">
        <v>754</v>
      </c>
      <c r="G2024" t="s">
        <v>2333</v>
      </c>
      <c r="H2024" t="s">
        <v>31</v>
      </c>
      <c r="I2024" s="28" t="s">
        <v>24</v>
      </c>
    </row>
    <row r="2025" spans="1:9" x14ac:dyDescent="0.3">
      <c r="A2025" s="26">
        <v>45334</v>
      </c>
      <c r="B2025" t="s">
        <v>961</v>
      </c>
      <c r="C2025" t="s">
        <v>753</v>
      </c>
      <c r="D2025">
        <v>0.17</v>
      </c>
      <c r="E2025" t="s">
        <v>717</v>
      </c>
      <c r="F2025" t="s">
        <v>754</v>
      </c>
      <c r="H2025" t="s">
        <v>31</v>
      </c>
      <c r="I2025" s="28" t="s">
        <v>24</v>
      </c>
    </row>
    <row r="2026" spans="1:9" x14ac:dyDescent="0.3">
      <c r="A2026" s="26">
        <v>45334</v>
      </c>
      <c r="B2026" t="s">
        <v>961</v>
      </c>
      <c r="C2026" t="s">
        <v>753</v>
      </c>
      <c r="D2026">
        <v>0.42</v>
      </c>
      <c r="E2026" t="s">
        <v>655</v>
      </c>
      <c r="F2026" t="s">
        <v>754</v>
      </c>
      <c r="H2026" t="s">
        <v>31</v>
      </c>
      <c r="I2026" s="28" t="s">
        <v>24</v>
      </c>
    </row>
    <row r="2027" spans="1:9" x14ac:dyDescent="0.3">
      <c r="A2027" s="26">
        <v>45334</v>
      </c>
      <c r="B2027" t="s">
        <v>961</v>
      </c>
      <c r="C2027" t="s">
        <v>753</v>
      </c>
      <c r="D2027">
        <v>1.55</v>
      </c>
      <c r="E2027" t="s">
        <v>585</v>
      </c>
      <c r="F2027" t="s">
        <v>754</v>
      </c>
      <c r="H2027" t="s">
        <v>31</v>
      </c>
      <c r="I2027" s="28" t="s">
        <v>24</v>
      </c>
    </row>
    <row r="2028" spans="1:9" x14ac:dyDescent="0.3">
      <c r="A2028" s="26">
        <v>45334</v>
      </c>
      <c r="B2028" t="s">
        <v>961</v>
      </c>
      <c r="C2028" t="s">
        <v>753</v>
      </c>
      <c r="D2028">
        <v>5.52</v>
      </c>
      <c r="E2028" t="s">
        <v>790</v>
      </c>
      <c r="F2028" t="s">
        <v>754</v>
      </c>
      <c r="H2028" t="s">
        <v>31</v>
      </c>
      <c r="I2028" s="28" t="s">
        <v>24</v>
      </c>
    </row>
    <row r="2029" spans="1:9" x14ac:dyDescent="0.3">
      <c r="A2029" s="26">
        <v>45334</v>
      </c>
      <c r="B2029" t="s">
        <v>961</v>
      </c>
      <c r="C2029" t="s">
        <v>771</v>
      </c>
      <c r="D2029">
        <v>0.4</v>
      </c>
      <c r="E2029" t="s">
        <v>7</v>
      </c>
      <c r="F2029" t="s">
        <v>772</v>
      </c>
      <c r="G2029" t="s">
        <v>2334</v>
      </c>
      <c r="H2029" t="s">
        <v>31</v>
      </c>
      <c r="I2029" s="28" t="s">
        <v>24</v>
      </c>
    </row>
    <row r="2030" spans="1:9" x14ac:dyDescent="0.3">
      <c r="A2030" s="26">
        <v>45334</v>
      </c>
      <c r="B2030" t="s">
        <v>966</v>
      </c>
      <c r="C2030" t="s">
        <v>967</v>
      </c>
      <c r="D2030">
        <v>2</v>
      </c>
      <c r="E2030" t="s">
        <v>7</v>
      </c>
      <c r="F2030" t="s">
        <v>754</v>
      </c>
      <c r="H2030" t="s">
        <v>31</v>
      </c>
      <c r="I2030" s="28" t="s">
        <v>24</v>
      </c>
    </row>
    <row r="2031" spans="1:9" x14ac:dyDescent="0.3">
      <c r="A2031" s="26">
        <v>45334</v>
      </c>
      <c r="B2031" t="s">
        <v>966</v>
      </c>
      <c r="C2031" t="s">
        <v>967</v>
      </c>
      <c r="D2031">
        <v>4</v>
      </c>
      <c r="E2031" t="s">
        <v>790</v>
      </c>
      <c r="F2031" t="s">
        <v>754</v>
      </c>
      <c r="H2031" t="s">
        <v>31</v>
      </c>
      <c r="I2031" s="28" t="s">
        <v>24</v>
      </c>
    </row>
    <row r="2032" spans="1:9" x14ac:dyDescent="0.3">
      <c r="A2032" s="26">
        <v>45334</v>
      </c>
      <c r="B2032" t="s">
        <v>966</v>
      </c>
      <c r="C2032" t="s">
        <v>771</v>
      </c>
      <c r="D2032">
        <v>2</v>
      </c>
      <c r="E2032" t="s">
        <v>7</v>
      </c>
      <c r="F2032" t="s">
        <v>772</v>
      </c>
      <c r="G2032" t="s">
        <v>2335</v>
      </c>
      <c r="H2032" t="s">
        <v>31</v>
      </c>
      <c r="I2032" s="28" t="s">
        <v>24</v>
      </c>
    </row>
    <row r="2033" spans="1:9" x14ac:dyDescent="0.3">
      <c r="A2033" s="26">
        <v>45334</v>
      </c>
      <c r="B2033" t="s">
        <v>969</v>
      </c>
      <c r="C2033" t="s">
        <v>753</v>
      </c>
      <c r="D2033">
        <v>0.53</v>
      </c>
      <c r="E2033" t="s">
        <v>7</v>
      </c>
      <c r="F2033" t="s">
        <v>772</v>
      </c>
      <c r="G2033" t="s">
        <v>2336</v>
      </c>
      <c r="H2033" t="s">
        <v>31</v>
      </c>
      <c r="I2033" s="28" t="s">
        <v>24</v>
      </c>
    </row>
    <row r="2034" spans="1:9" x14ac:dyDescent="0.3">
      <c r="A2034" s="26">
        <v>45334</v>
      </c>
      <c r="B2034" t="s">
        <v>969</v>
      </c>
      <c r="C2034" t="s">
        <v>789</v>
      </c>
      <c r="D2034">
        <v>0.37</v>
      </c>
      <c r="E2034" t="s">
        <v>7</v>
      </c>
      <c r="F2034" t="s">
        <v>772</v>
      </c>
      <c r="G2034" t="s">
        <v>1012</v>
      </c>
      <c r="H2034" t="s">
        <v>31</v>
      </c>
      <c r="I2034" s="28" t="s">
        <v>24</v>
      </c>
    </row>
    <row r="2035" spans="1:9" x14ac:dyDescent="0.3">
      <c r="A2035" s="26">
        <v>45334</v>
      </c>
      <c r="B2035" t="s">
        <v>969</v>
      </c>
      <c r="C2035" t="s">
        <v>789</v>
      </c>
      <c r="D2035">
        <v>2.2999999999999998</v>
      </c>
      <c r="E2035" t="s">
        <v>790</v>
      </c>
      <c r="F2035" t="s">
        <v>754</v>
      </c>
      <c r="G2035" t="s">
        <v>2337</v>
      </c>
      <c r="H2035" t="s">
        <v>31</v>
      </c>
      <c r="I2035" s="28" t="s">
        <v>24</v>
      </c>
    </row>
    <row r="2036" spans="1:9" x14ac:dyDescent="0.3">
      <c r="A2036" s="26">
        <v>45334</v>
      </c>
      <c r="B2036" t="s">
        <v>969</v>
      </c>
      <c r="C2036" t="s">
        <v>771</v>
      </c>
      <c r="D2036">
        <v>1.67</v>
      </c>
      <c r="E2036" t="s">
        <v>7</v>
      </c>
      <c r="F2036" t="s">
        <v>772</v>
      </c>
      <c r="G2036" t="s">
        <v>2338</v>
      </c>
      <c r="H2036" t="s">
        <v>31</v>
      </c>
      <c r="I2036" s="28" t="s">
        <v>24</v>
      </c>
    </row>
    <row r="2037" spans="1:9" x14ac:dyDescent="0.3">
      <c r="A2037" s="26">
        <v>45334</v>
      </c>
      <c r="B2037" t="s">
        <v>969</v>
      </c>
      <c r="C2037" t="s">
        <v>835</v>
      </c>
      <c r="D2037">
        <v>2.1800000000000002</v>
      </c>
      <c r="E2037" t="s">
        <v>790</v>
      </c>
      <c r="F2037" t="s">
        <v>754</v>
      </c>
      <c r="H2037" t="s">
        <v>31</v>
      </c>
      <c r="I2037" s="28" t="s">
        <v>24</v>
      </c>
    </row>
    <row r="2038" spans="1:9" x14ac:dyDescent="0.3">
      <c r="A2038" s="26">
        <v>45334</v>
      </c>
      <c r="B2038" t="s">
        <v>969</v>
      </c>
      <c r="C2038" t="s">
        <v>835</v>
      </c>
      <c r="D2038">
        <v>2.5499999999999998</v>
      </c>
      <c r="E2038" t="s">
        <v>790</v>
      </c>
      <c r="F2038" t="s">
        <v>754</v>
      </c>
      <c r="G2038" t="s">
        <v>2339</v>
      </c>
      <c r="H2038" t="s">
        <v>31</v>
      </c>
      <c r="I2038" s="28" t="s">
        <v>24</v>
      </c>
    </row>
    <row r="2039" spans="1:9" x14ac:dyDescent="0.3">
      <c r="A2039" s="26">
        <v>45334</v>
      </c>
      <c r="B2039" t="s">
        <v>977</v>
      </c>
      <c r="C2039" t="s">
        <v>753</v>
      </c>
      <c r="D2039">
        <v>0.9</v>
      </c>
      <c r="E2039" t="s">
        <v>978</v>
      </c>
      <c r="F2039" t="s">
        <v>754</v>
      </c>
      <c r="G2039" t="s">
        <v>2340</v>
      </c>
      <c r="H2039" t="s">
        <v>31</v>
      </c>
      <c r="I2039" s="28" t="s">
        <v>24</v>
      </c>
    </row>
    <row r="2040" spans="1:9" x14ac:dyDescent="0.3">
      <c r="A2040" s="26">
        <v>45334</v>
      </c>
      <c r="B2040" t="s">
        <v>977</v>
      </c>
      <c r="C2040" t="s">
        <v>753</v>
      </c>
      <c r="D2040">
        <v>3.08</v>
      </c>
      <c r="E2040" t="s">
        <v>978</v>
      </c>
      <c r="F2040" t="s">
        <v>754</v>
      </c>
      <c r="G2040" t="s">
        <v>2341</v>
      </c>
      <c r="H2040" t="s">
        <v>31</v>
      </c>
      <c r="I2040" s="28" t="s">
        <v>24</v>
      </c>
    </row>
    <row r="2041" spans="1:9" x14ac:dyDescent="0.3">
      <c r="A2041" s="26">
        <v>45334</v>
      </c>
      <c r="B2041" t="s">
        <v>977</v>
      </c>
      <c r="C2041" t="s">
        <v>753</v>
      </c>
      <c r="D2041">
        <v>3.17</v>
      </c>
      <c r="E2041" t="s">
        <v>978</v>
      </c>
      <c r="F2041" t="s">
        <v>754</v>
      </c>
      <c r="G2041" t="s">
        <v>2342</v>
      </c>
      <c r="H2041" t="s">
        <v>31</v>
      </c>
      <c r="I2041" s="28" t="s">
        <v>24</v>
      </c>
    </row>
    <row r="2042" spans="1:9" x14ac:dyDescent="0.3">
      <c r="A2042" s="26">
        <v>45334</v>
      </c>
      <c r="B2042" t="s">
        <v>977</v>
      </c>
      <c r="C2042" t="s">
        <v>771</v>
      </c>
      <c r="D2042">
        <v>0.5</v>
      </c>
      <c r="E2042" t="s">
        <v>7</v>
      </c>
      <c r="F2042" t="s">
        <v>772</v>
      </c>
      <c r="G2042" t="s">
        <v>820</v>
      </c>
      <c r="H2042" t="s">
        <v>31</v>
      </c>
      <c r="I2042" s="28" t="s">
        <v>24</v>
      </c>
    </row>
    <row r="2043" spans="1:9" x14ac:dyDescent="0.3">
      <c r="A2043" s="26">
        <v>45334</v>
      </c>
      <c r="B2043" t="s">
        <v>977</v>
      </c>
      <c r="C2043" t="s">
        <v>776</v>
      </c>
      <c r="D2043">
        <v>0.35</v>
      </c>
      <c r="E2043" t="s">
        <v>978</v>
      </c>
      <c r="F2043" t="s">
        <v>754</v>
      </c>
      <c r="G2043" t="s">
        <v>2343</v>
      </c>
      <c r="H2043" t="s">
        <v>31</v>
      </c>
      <c r="I2043" s="28" t="s">
        <v>24</v>
      </c>
    </row>
    <row r="2044" spans="1:9" x14ac:dyDescent="0.3">
      <c r="A2044" s="26">
        <v>45334</v>
      </c>
      <c r="B2044" t="s">
        <v>981</v>
      </c>
      <c r="C2044" t="s">
        <v>1163</v>
      </c>
      <c r="D2044">
        <v>8</v>
      </c>
      <c r="E2044" t="s">
        <v>7</v>
      </c>
      <c r="F2044" t="s">
        <v>772</v>
      </c>
      <c r="G2044" t="s">
        <v>2344</v>
      </c>
      <c r="H2044" t="s">
        <v>31</v>
      </c>
      <c r="I2044" s="28" t="s">
        <v>24</v>
      </c>
    </row>
    <row r="2045" spans="1:9" x14ac:dyDescent="0.3">
      <c r="A2045" s="26">
        <v>45334</v>
      </c>
      <c r="B2045" t="s">
        <v>984</v>
      </c>
      <c r="C2045" t="s">
        <v>753</v>
      </c>
      <c r="D2045">
        <v>0.22</v>
      </c>
      <c r="E2045" t="s">
        <v>985</v>
      </c>
      <c r="F2045" t="s">
        <v>754</v>
      </c>
      <c r="H2045" t="s">
        <v>31</v>
      </c>
      <c r="I2045" s="28" t="s">
        <v>24</v>
      </c>
    </row>
    <row r="2046" spans="1:9" x14ac:dyDescent="0.3">
      <c r="A2046" s="26">
        <v>45334</v>
      </c>
      <c r="B2046" t="s">
        <v>984</v>
      </c>
      <c r="C2046" t="s">
        <v>753</v>
      </c>
      <c r="D2046">
        <v>0.53</v>
      </c>
      <c r="E2046" t="s">
        <v>917</v>
      </c>
      <c r="F2046" t="s">
        <v>754</v>
      </c>
      <c r="G2046" t="s">
        <v>2345</v>
      </c>
      <c r="H2046" t="s">
        <v>31</v>
      </c>
      <c r="I2046" s="28" t="s">
        <v>24</v>
      </c>
    </row>
    <row r="2047" spans="1:9" x14ac:dyDescent="0.3">
      <c r="A2047" s="26">
        <v>45334</v>
      </c>
      <c r="B2047" t="s">
        <v>984</v>
      </c>
      <c r="C2047" t="s">
        <v>753</v>
      </c>
      <c r="D2047">
        <v>0.93</v>
      </c>
      <c r="E2047" t="s">
        <v>985</v>
      </c>
      <c r="F2047" t="s">
        <v>754</v>
      </c>
      <c r="G2047" t="s">
        <v>2346</v>
      </c>
      <c r="H2047" t="s">
        <v>31</v>
      </c>
      <c r="I2047" s="28" t="s">
        <v>24</v>
      </c>
    </row>
    <row r="2048" spans="1:9" x14ac:dyDescent="0.3">
      <c r="A2048" s="26">
        <v>45334</v>
      </c>
      <c r="B2048" t="s">
        <v>984</v>
      </c>
      <c r="C2048" t="s">
        <v>753</v>
      </c>
      <c r="D2048">
        <v>1.1299999999999999</v>
      </c>
      <c r="E2048" t="s">
        <v>13</v>
      </c>
      <c r="F2048" t="s">
        <v>754</v>
      </c>
      <c r="H2048" t="s">
        <v>31</v>
      </c>
      <c r="I2048" s="28" t="s">
        <v>24</v>
      </c>
    </row>
    <row r="2049" spans="1:9" x14ac:dyDescent="0.3">
      <c r="A2049" s="26">
        <v>45334</v>
      </c>
      <c r="B2049" t="s">
        <v>984</v>
      </c>
      <c r="C2049" t="s">
        <v>753</v>
      </c>
      <c r="D2049">
        <v>1.2</v>
      </c>
      <c r="E2049" t="s">
        <v>13</v>
      </c>
      <c r="F2049" t="s">
        <v>754</v>
      </c>
      <c r="G2049" t="s">
        <v>2347</v>
      </c>
      <c r="H2049" t="s">
        <v>31</v>
      </c>
      <c r="I2049" s="28" t="s">
        <v>24</v>
      </c>
    </row>
    <row r="2050" spans="1:9" x14ac:dyDescent="0.3">
      <c r="A2050" s="26">
        <v>45334</v>
      </c>
      <c r="B2050" t="s">
        <v>984</v>
      </c>
      <c r="C2050" t="s">
        <v>771</v>
      </c>
      <c r="D2050">
        <v>0.56999999999999995</v>
      </c>
      <c r="E2050" t="s">
        <v>7</v>
      </c>
      <c r="F2050" t="s">
        <v>772</v>
      </c>
      <c r="G2050" t="s">
        <v>793</v>
      </c>
      <c r="H2050" t="s">
        <v>31</v>
      </c>
      <c r="I2050" s="28" t="s">
        <v>24</v>
      </c>
    </row>
    <row r="2051" spans="1:9" x14ac:dyDescent="0.3">
      <c r="A2051" s="26">
        <v>45334</v>
      </c>
      <c r="B2051" t="s">
        <v>984</v>
      </c>
      <c r="C2051" t="s">
        <v>776</v>
      </c>
      <c r="D2051">
        <v>3.47</v>
      </c>
      <c r="E2051" t="s">
        <v>602</v>
      </c>
      <c r="F2051" t="s">
        <v>754</v>
      </c>
      <c r="G2051" t="s">
        <v>2348</v>
      </c>
      <c r="H2051" t="s">
        <v>31</v>
      </c>
      <c r="I2051" s="28" t="s">
        <v>24</v>
      </c>
    </row>
    <row r="2052" spans="1:9" x14ac:dyDescent="0.3">
      <c r="A2052" s="26">
        <v>45334</v>
      </c>
      <c r="B2052" t="s">
        <v>991</v>
      </c>
      <c r="C2052" t="s">
        <v>992</v>
      </c>
      <c r="D2052">
        <v>6.87</v>
      </c>
      <c r="E2052" t="s">
        <v>7</v>
      </c>
      <c r="F2052" t="s">
        <v>772</v>
      </c>
      <c r="G2052" t="s">
        <v>2349</v>
      </c>
      <c r="H2052" t="s">
        <v>31</v>
      </c>
      <c r="I2052" s="28" t="s">
        <v>24</v>
      </c>
    </row>
    <row r="2053" spans="1:9" x14ac:dyDescent="0.3">
      <c r="A2053" s="26">
        <v>45334</v>
      </c>
      <c r="B2053" t="s">
        <v>991</v>
      </c>
      <c r="C2053" t="s">
        <v>753</v>
      </c>
      <c r="D2053">
        <v>2.88</v>
      </c>
      <c r="E2053" t="s">
        <v>7</v>
      </c>
      <c r="F2053" t="s">
        <v>772</v>
      </c>
      <c r="G2053" t="s">
        <v>2350</v>
      </c>
      <c r="H2053" t="s">
        <v>31</v>
      </c>
      <c r="I2053" s="28" t="s">
        <v>24</v>
      </c>
    </row>
    <row r="2054" spans="1:9" x14ac:dyDescent="0.3">
      <c r="A2054" s="26">
        <v>45334</v>
      </c>
      <c r="B2054" t="s">
        <v>1002</v>
      </c>
      <c r="C2054" t="s">
        <v>1003</v>
      </c>
      <c r="D2054">
        <v>10</v>
      </c>
      <c r="E2054" t="s">
        <v>7</v>
      </c>
      <c r="F2054" t="s">
        <v>772</v>
      </c>
      <c r="G2054" t="s">
        <v>2351</v>
      </c>
      <c r="H2054" t="s">
        <v>31</v>
      </c>
      <c r="I2054" s="28" t="s">
        <v>24</v>
      </c>
    </row>
    <row r="2055" spans="1:9" x14ac:dyDescent="0.3">
      <c r="A2055" s="26">
        <v>45334</v>
      </c>
      <c r="B2055" t="s">
        <v>1005</v>
      </c>
      <c r="C2055" t="s">
        <v>2158</v>
      </c>
      <c r="D2055">
        <v>5.5</v>
      </c>
      <c r="E2055" t="s">
        <v>7</v>
      </c>
      <c r="F2055" t="s">
        <v>772</v>
      </c>
      <c r="H2055" t="s">
        <v>31</v>
      </c>
      <c r="I2055" s="28" t="s">
        <v>24</v>
      </c>
    </row>
    <row r="2056" spans="1:9" x14ac:dyDescent="0.3">
      <c r="A2056" s="26">
        <v>45334</v>
      </c>
      <c r="B2056" t="s">
        <v>1006</v>
      </c>
      <c r="C2056" t="s">
        <v>909</v>
      </c>
      <c r="D2056">
        <v>0.38</v>
      </c>
      <c r="E2056" t="s">
        <v>757</v>
      </c>
      <c r="F2056" t="s">
        <v>772</v>
      </c>
      <c r="G2056" t="s">
        <v>2352</v>
      </c>
      <c r="H2056" t="s">
        <v>31</v>
      </c>
      <c r="I2056" s="28" t="s">
        <v>24</v>
      </c>
    </row>
    <row r="2057" spans="1:9" x14ac:dyDescent="0.3">
      <c r="A2057" s="26">
        <v>45334</v>
      </c>
      <c r="B2057" t="s">
        <v>1006</v>
      </c>
      <c r="C2057" t="s">
        <v>909</v>
      </c>
      <c r="D2057">
        <v>1.1499999999999999</v>
      </c>
      <c r="E2057" t="s">
        <v>151</v>
      </c>
      <c r="F2057" t="s">
        <v>754</v>
      </c>
      <c r="G2057" t="s">
        <v>2353</v>
      </c>
      <c r="H2057" t="s">
        <v>31</v>
      </c>
      <c r="I2057" s="28" t="s">
        <v>24</v>
      </c>
    </row>
    <row r="2058" spans="1:9" x14ac:dyDescent="0.3">
      <c r="A2058" s="26">
        <v>45334</v>
      </c>
      <c r="B2058" t="s">
        <v>1006</v>
      </c>
      <c r="C2058" t="s">
        <v>909</v>
      </c>
      <c r="D2058">
        <v>1.2</v>
      </c>
      <c r="E2058" t="s">
        <v>151</v>
      </c>
      <c r="F2058" t="s">
        <v>754</v>
      </c>
      <c r="G2058" t="s">
        <v>2354</v>
      </c>
      <c r="H2058" t="s">
        <v>31</v>
      </c>
      <c r="I2058" s="28" t="s">
        <v>24</v>
      </c>
    </row>
    <row r="2059" spans="1:9" x14ac:dyDescent="0.3">
      <c r="A2059" s="26">
        <v>45334</v>
      </c>
      <c r="B2059" t="s">
        <v>1006</v>
      </c>
      <c r="C2059" t="s">
        <v>909</v>
      </c>
      <c r="D2059">
        <v>1.78</v>
      </c>
      <c r="E2059" t="s">
        <v>757</v>
      </c>
      <c r="F2059" t="s">
        <v>754</v>
      </c>
      <c r="G2059" t="s">
        <v>2355</v>
      </c>
      <c r="H2059" t="s">
        <v>31</v>
      </c>
      <c r="I2059" s="28" t="s">
        <v>24</v>
      </c>
    </row>
    <row r="2060" spans="1:9" x14ac:dyDescent="0.3">
      <c r="A2060" s="26">
        <v>45334</v>
      </c>
      <c r="B2060" t="s">
        <v>1006</v>
      </c>
      <c r="C2060" t="s">
        <v>771</v>
      </c>
      <c r="D2060">
        <v>1.1000000000000001</v>
      </c>
      <c r="E2060" t="s">
        <v>7</v>
      </c>
      <c r="F2060" t="s">
        <v>772</v>
      </c>
      <c r="G2060" t="s">
        <v>1010</v>
      </c>
      <c r="H2060" t="s">
        <v>31</v>
      </c>
      <c r="I2060" s="28" t="s">
        <v>24</v>
      </c>
    </row>
    <row r="2061" spans="1:9" x14ac:dyDescent="0.3">
      <c r="A2061" s="26">
        <v>45334</v>
      </c>
      <c r="B2061" t="s">
        <v>1006</v>
      </c>
      <c r="C2061" t="s">
        <v>874</v>
      </c>
      <c r="D2061">
        <v>0.38</v>
      </c>
      <c r="E2061" t="s">
        <v>7</v>
      </c>
      <c r="F2061" t="s">
        <v>772</v>
      </c>
      <c r="G2061" t="s">
        <v>2356</v>
      </c>
      <c r="H2061" t="s">
        <v>31</v>
      </c>
      <c r="I2061" s="28" t="s">
        <v>24</v>
      </c>
    </row>
    <row r="2062" spans="1:9" x14ac:dyDescent="0.3">
      <c r="A2062" s="26">
        <v>45334</v>
      </c>
      <c r="B2062" t="s">
        <v>1011</v>
      </c>
      <c r="C2062" t="s">
        <v>753</v>
      </c>
      <c r="D2062">
        <v>0.18</v>
      </c>
      <c r="E2062" t="s">
        <v>173</v>
      </c>
      <c r="F2062" t="s">
        <v>754</v>
      </c>
      <c r="G2062" t="s">
        <v>2357</v>
      </c>
      <c r="H2062" t="s">
        <v>31</v>
      </c>
      <c r="I2062" s="28" t="s">
        <v>24</v>
      </c>
    </row>
    <row r="2063" spans="1:9" x14ac:dyDescent="0.3">
      <c r="A2063" s="26">
        <v>45334</v>
      </c>
      <c r="B2063" t="s">
        <v>1011</v>
      </c>
      <c r="C2063" t="s">
        <v>753</v>
      </c>
      <c r="D2063">
        <v>0.27</v>
      </c>
      <c r="E2063" t="s">
        <v>173</v>
      </c>
      <c r="F2063" t="s">
        <v>754</v>
      </c>
      <c r="G2063" t="s">
        <v>2358</v>
      </c>
      <c r="H2063" t="s">
        <v>31</v>
      </c>
      <c r="I2063" s="28" t="s">
        <v>24</v>
      </c>
    </row>
    <row r="2064" spans="1:9" x14ac:dyDescent="0.3">
      <c r="A2064" s="26">
        <v>45334</v>
      </c>
      <c r="B2064" t="s">
        <v>1011</v>
      </c>
      <c r="C2064" t="s">
        <v>753</v>
      </c>
      <c r="D2064">
        <v>0.42</v>
      </c>
      <c r="E2064" t="s">
        <v>1013</v>
      </c>
      <c r="F2064" t="s">
        <v>754</v>
      </c>
      <c r="G2064" t="s">
        <v>2359</v>
      </c>
      <c r="H2064" t="s">
        <v>31</v>
      </c>
      <c r="I2064" s="28" t="s">
        <v>24</v>
      </c>
    </row>
    <row r="2065" spans="1:9" x14ac:dyDescent="0.3">
      <c r="A2065" s="26">
        <v>45334</v>
      </c>
      <c r="B2065" t="s">
        <v>1011</v>
      </c>
      <c r="C2065" t="s">
        <v>753</v>
      </c>
      <c r="D2065">
        <v>0.47</v>
      </c>
      <c r="E2065" t="s">
        <v>1013</v>
      </c>
      <c r="F2065" t="s">
        <v>754</v>
      </c>
      <c r="H2065" t="s">
        <v>31</v>
      </c>
      <c r="I2065" s="28" t="s">
        <v>24</v>
      </c>
    </row>
    <row r="2066" spans="1:9" x14ac:dyDescent="0.3">
      <c r="A2066" s="26">
        <v>45334</v>
      </c>
      <c r="B2066" t="s">
        <v>1011</v>
      </c>
      <c r="C2066" t="s">
        <v>753</v>
      </c>
      <c r="D2066">
        <v>0.78</v>
      </c>
      <c r="E2066" t="s">
        <v>589</v>
      </c>
      <c r="F2066" t="s">
        <v>754</v>
      </c>
      <c r="G2066" t="s">
        <v>2360</v>
      </c>
      <c r="H2066" t="s">
        <v>31</v>
      </c>
      <c r="I2066" s="28" t="s">
        <v>24</v>
      </c>
    </row>
    <row r="2067" spans="1:9" x14ac:dyDescent="0.3">
      <c r="A2067" s="26">
        <v>45334</v>
      </c>
      <c r="B2067" t="s">
        <v>1011</v>
      </c>
      <c r="C2067" t="s">
        <v>753</v>
      </c>
      <c r="D2067">
        <v>2.97</v>
      </c>
      <c r="E2067" t="s">
        <v>1013</v>
      </c>
      <c r="F2067" t="s">
        <v>754</v>
      </c>
      <c r="G2067" t="s">
        <v>2361</v>
      </c>
      <c r="H2067" t="s">
        <v>31</v>
      </c>
      <c r="I2067" s="28" t="s">
        <v>24</v>
      </c>
    </row>
    <row r="2068" spans="1:9" x14ac:dyDescent="0.3">
      <c r="A2068" s="26">
        <v>45334</v>
      </c>
      <c r="B2068" t="s">
        <v>1011</v>
      </c>
      <c r="C2068" t="s">
        <v>771</v>
      </c>
      <c r="D2068">
        <v>0.83</v>
      </c>
      <c r="E2068" t="s">
        <v>7</v>
      </c>
      <c r="F2068" t="s">
        <v>772</v>
      </c>
      <c r="G2068" t="s">
        <v>2362</v>
      </c>
      <c r="H2068" t="s">
        <v>31</v>
      </c>
      <c r="I2068" s="28" t="s">
        <v>24</v>
      </c>
    </row>
    <row r="2069" spans="1:9" x14ac:dyDescent="0.3">
      <c r="A2069" s="26">
        <v>45334</v>
      </c>
      <c r="B2069" t="s">
        <v>1011</v>
      </c>
      <c r="C2069" t="s">
        <v>776</v>
      </c>
      <c r="D2069">
        <v>0.15</v>
      </c>
      <c r="E2069" t="s">
        <v>1013</v>
      </c>
      <c r="F2069" t="s">
        <v>754</v>
      </c>
      <c r="H2069" t="s">
        <v>31</v>
      </c>
      <c r="I2069" s="28" t="s">
        <v>24</v>
      </c>
    </row>
    <row r="2070" spans="1:9" x14ac:dyDescent="0.3">
      <c r="A2070" s="26">
        <v>45334</v>
      </c>
      <c r="B2070" t="s">
        <v>1011</v>
      </c>
      <c r="C2070" t="s">
        <v>776</v>
      </c>
      <c r="D2070">
        <v>0.18</v>
      </c>
      <c r="E2070" t="s">
        <v>845</v>
      </c>
      <c r="F2070" t="s">
        <v>754</v>
      </c>
      <c r="G2070" t="s">
        <v>1243</v>
      </c>
      <c r="H2070" t="s">
        <v>31</v>
      </c>
      <c r="I2070" s="28" t="s">
        <v>24</v>
      </c>
    </row>
    <row r="2071" spans="1:9" x14ac:dyDescent="0.3">
      <c r="A2071" s="26">
        <v>45334</v>
      </c>
      <c r="B2071" t="s">
        <v>1011</v>
      </c>
      <c r="C2071" t="s">
        <v>776</v>
      </c>
      <c r="D2071">
        <v>0.18</v>
      </c>
      <c r="E2071" t="s">
        <v>259</v>
      </c>
      <c r="F2071" t="s">
        <v>754</v>
      </c>
      <c r="G2071" t="s">
        <v>1243</v>
      </c>
      <c r="H2071" t="s">
        <v>31</v>
      </c>
      <c r="I2071" s="28" t="s">
        <v>24</v>
      </c>
    </row>
    <row r="2072" spans="1:9" x14ac:dyDescent="0.3">
      <c r="A2072" s="26">
        <v>45334</v>
      </c>
      <c r="B2072" t="s">
        <v>1011</v>
      </c>
      <c r="C2072" t="s">
        <v>776</v>
      </c>
      <c r="D2072">
        <v>0.56999999999999995</v>
      </c>
      <c r="E2072" t="s">
        <v>259</v>
      </c>
      <c r="F2072" t="s">
        <v>754</v>
      </c>
      <c r="G2072" t="s">
        <v>2363</v>
      </c>
      <c r="H2072" t="s">
        <v>31</v>
      </c>
      <c r="I2072" s="28" t="s">
        <v>24</v>
      </c>
    </row>
    <row r="2073" spans="1:9" x14ac:dyDescent="0.3">
      <c r="A2073" s="26">
        <v>45334</v>
      </c>
      <c r="B2073" t="s">
        <v>1011</v>
      </c>
      <c r="C2073" t="s">
        <v>776</v>
      </c>
      <c r="D2073">
        <v>0.7</v>
      </c>
      <c r="E2073" t="s">
        <v>259</v>
      </c>
      <c r="F2073" t="s">
        <v>754</v>
      </c>
      <c r="H2073" t="s">
        <v>31</v>
      </c>
      <c r="I2073" s="28" t="s">
        <v>24</v>
      </c>
    </row>
    <row r="2074" spans="1:9" x14ac:dyDescent="0.3">
      <c r="A2074" s="26">
        <v>45334</v>
      </c>
      <c r="B2074" t="s">
        <v>1011</v>
      </c>
      <c r="C2074" t="s">
        <v>776</v>
      </c>
      <c r="D2074">
        <v>1.27</v>
      </c>
      <c r="E2074" t="s">
        <v>845</v>
      </c>
      <c r="F2074" t="s">
        <v>754</v>
      </c>
      <c r="G2074" t="s">
        <v>2364</v>
      </c>
      <c r="H2074" t="s">
        <v>31</v>
      </c>
      <c r="I2074" s="28" t="s">
        <v>24</v>
      </c>
    </row>
    <row r="2075" spans="1:9" x14ac:dyDescent="0.3">
      <c r="A2075" s="26">
        <v>45334</v>
      </c>
      <c r="B2075" t="s">
        <v>1011</v>
      </c>
      <c r="C2075" t="s">
        <v>776</v>
      </c>
      <c r="D2075">
        <v>2.37</v>
      </c>
      <c r="E2075" t="s">
        <v>845</v>
      </c>
      <c r="F2075" t="s">
        <v>754</v>
      </c>
      <c r="H2075" t="s">
        <v>31</v>
      </c>
      <c r="I2075" s="28" t="s">
        <v>24</v>
      </c>
    </row>
    <row r="2076" spans="1:9" x14ac:dyDescent="0.3">
      <c r="A2076" s="26">
        <v>45334</v>
      </c>
      <c r="B2076" t="s">
        <v>1020</v>
      </c>
      <c r="C2076" t="s">
        <v>753</v>
      </c>
      <c r="D2076">
        <v>0.33</v>
      </c>
      <c r="E2076" t="s">
        <v>11</v>
      </c>
      <c r="F2076" t="s">
        <v>754</v>
      </c>
      <c r="G2076" t="s">
        <v>2365</v>
      </c>
      <c r="H2076" t="s">
        <v>31</v>
      </c>
      <c r="I2076" s="28" t="s">
        <v>24</v>
      </c>
    </row>
    <row r="2077" spans="1:9" x14ac:dyDescent="0.3">
      <c r="A2077" s="26">
        <v>45334</v>
      </c>
      <c r="B2077" t="s">
        <v>1020</v>
      </c>
      <c r="C2077" t="s">
        <v>753</v>
      </c>
      <c r="D2077">
        <v>0.9</v>
      </c>
      <c r="E2077" t="s">
        <v>964</v>
      </c>
      <c r="F2077" t="s">
        <v>754</v>
      </c>
      <c r="G2077" t="s">
        <v>2366</v>
      </c>
      <c r="H2077" t="s">
        <v>31</v>
      </c>
      <c r="I2077" s="28" t="s">
        <v>24</v>
      </c>
    </row>
    <row r="2078" spans="1:9" x14ac:dyDescent="0.3">
      <c r="A2078" s="26">
        <v>45334</v>
      </c>
      <c r="B2078" t="s">
        <v>1020</v>
      </c>
      <c r="C2078" t="s">
        <v>753</v>
      </c>
      <c r="D2078">
        <v>0.97</v>
      </c>
      <c r="E2078" t="s">
        <v>11</v>
      </c>
      <c r="F2078" t="s">
        <v>754</v>
      </c>
      <c r="G2078" t="s">
        <v>2367</v>
      </c>
      <c r="H2078" t="s">
        <v>31</v>
      </c>
      <c r="I2078" s="28" t="s">
        <v>24</v>
      </c>
    </row>
    <row r="2079" spans="1:9" x14ac:dyDescent="0.3">
      <c r="A2079" s="26">
        <v>45334</v>
      </c>
      <c r="B2079" t="s">
        <v>1020</v>
      </c>
      <c r="C2079" t="s">
        <v>753</v>
      </c>
      <c r="D2079">
        <v>2.5499999999999998</v>
      </c>
      <c r="E2079" t="s">
        <v>964</v>
      </c>
      <c r="F2079" t="s">
        <v>754</v>
      </c>
      <c r="H2079" t="s">
        <v>31</v>
      </c>
      <c r="I2079" s="28" t="s">
        <v>24</v>
      </c>
    </row>
    <row r="2080" spans="1:9" x14ac:dyDescent="0.3">
      <c r="A2080" s="26">
        <v>45334</v>
      </c>
      <c r="B2080" t="s">
        <v>1020</v>
      </c>
      <c r="C2080" t="s">
        <v>753</v>
      </c>
      <c r="D2080">
        <v>3.95</v>
      </c>
      <c r="E2080" t="s">
        <v>11</v>
      </c>
      <c r="F2080" t="s">
        <v>754</v>
      </c>
      <c r="H2080" t="s">
        <v>31</v>
      </c>
      <c r="I2080" s="28" t="s">
        <v>24</v>
      </c>
    </row>
    <row r="2081" spans="1:9" x14ac:dyDescent="0.3">
      <c r="A2081" s="26">
        <v>45334</v>
      </c>
      <c r="B2081" t="s">
        <v>1020</v>
      </c>
      <c r="C2081" t="s">
        <v>771</v>
      </c>
      <c r="D2081">
        <v>0.22</v>
      </c>
      <c r="E2081" t="s">
        <v>7</v>
      </c>
      <c r="F2081" t="s">
        <v>772</v>
      </c>
      <c r="G2081" t="s">
        <v>1024</v>
      </c>
      <c r="H2081" t="s">
        <v>31</v>
      </c>
      <c r="I2081" s="28" t="s">
        <v>24</v>
      </c>
    </row>
    <row r="2082" spans="1:9" x14ac:dyDescent="0.3">
      <c r="A2082" s="26">
        <v>45334</v>
      </c>
      <c r="B2082" t="s">
        <v>1026</v>
      </c>
      <c r="C2082" t="s">
        <v>771</v>
      </c>
      <c r="D2082">
        <v>0.5</v>
      </c>
      <c r="E2082" t="s">
        <v>7</v>
      </c>
      <c r="F2082" t="s">
        <v>772</v>
      </c>
      <c r="G2082" t="s">
        <v>2368</v>
      </c>
      <c r="H2082" t="s">
        <v>31</v>
      </c>
      <c r="I2082" s="28" t="s">
        <v>24</v>
      </c>
    </row>
    <row r="2083" spans="1:9" x14ac:dyDescent="0.3">
      <c r="A2083" s="26">
        <v>45334</v>
      </c>
      <c r="B2083" t="s">
        <v>1026</v>
      </c>
      <c r="C2083" t="s">
        <v>771</v>
      </c>
      <c r="D2083">
        <v>0.77</v>
      </c>
      <c r="E2083" t="s">
        <v>7</v>
      </c>
      <c r="F2083" t="s">
        <v>772</v>
      </c>
      <c r="G2083" t="s">
        <v>2369</v>
      </c>
      <c r="H2083" t="s">
        <v>31</v>
      </c>
      <c r="I2083" s="28" t="s">
        <v>24</v>
      </c>
    </row>
    <row r="2084" spans="1:9" x14ac:dyDescent="0.3">
      <c r="A2084" s="26">
        <v>45334</v>
      </c>
      <c r="B2084" t="s">
        <v>1026</v>
      </c>
      <c r="C2084" t="s">
        <v>771</v>
      </c>
      <c r="D2084">
        <v>1.48</v>
      </c>
      <c r="E2084" t="s">
        <v>7</v>
      </c>
      <c r="F2084" t="s">
        <v>772</v>
      </c>
      <c r="G2084" t="s">
        <v>2370</v>
      </c>
      <c r="H2084" t="s">
        <v>31</v>
      </c>
      <c r="I2084" s="28" t="s">
        <v>24</v>
      </c>
    </row>
    <row r="2085" spans="1:9" x14ac:dyDescent="0.3">
      <c r="A2085" s="26">
        <v>45334</v>
      </c>
      <c r="B2085" t="s">
        <v>1026</v>
      </c>
      <c r="C2085" t="s">
        <v>771</v>
      </c>
      <c r="D2085">
        <v>1.92</v>
      </c>
      <c r="E2085" t="s">
        <v>7</v>
      </c>
      <c r="F2085" t="s">
        <v>772</v>
      </c>
      <c r="G2085" t="s">
        <v>2371</v>
      </c>
      <c r="H2085" t="s">
        <v>31</v>
      </c>
      <c r="I2085" s="28" t="s">
        <v>24</v>
      </c>
    </row>
    <row r="2086" spans="1:9" x14ac:dyDescent="0.3">
      <c r="A2086" s="26">
        <v>45334</v>
      </c>
      <c r="B2086" t="s">
        <v>1026</v>
      </c>
      <c r="C2086" t="s">
        <v>771</v>
      </c>
      <c r="D2086">
        <v>2.97</v>
      </c>
      <c r="E2086" t="s">
        <v>7</v>
      </c>
      <c r="F2086" t="s">
        <v>772</v>
      </c>
      <c r="G2086" t="s">
        <v>2372</v>
      </c>
      <c r="H2086" t="s">
        <v>31</v>
      </c>
      <c r="I2086" s="28" t="s">
        <v>24</v>
      </c>
    </row>
    <row r="2087" spans="1:9" x14ac:dyDescent="0.3">
      <c r="A2087" s="26">
        <v>45334</v>
      </c>
      <c r="B2087" t="s">
        <v>1026</v>
      </c>
      <c r="C2087" t="s">
        <v>874</v>
      </c>
      <c r="D2087">
        <v>0.25</v>
      </c>
      <c r="E2087" t="s">
        <v>7</v>
      </c>
      <c r="F2087" t="s">
        <v>772</v>
      </c>
      <c r="G2087" t="s">
        <v>2373</v>
      </c>
      <c r="H2087" t="s">
        <v>31</v>
      </c>
      <c r="I2087" s="28" t="s">
        <v>24</v>
      </c>
    </row>
    <row r="2088" spans="1:9" x14ac:dyDescent="0.3">
      <c r="A2088" s="26">
        <v>45334</v>
      </c>
      <c r="B2088" t="s">
        <v>1026</v>
      </c>
      <c r="C2088" t="s">
        <v>874</v>
      </c>
      <c r="D2088">
        <v>0.52</v>
      </c>
      <c r="E2088" t="s">
        <v>7</v>
      </c>
      <c r="F2088" t="s">
        <v>772</v>
      </c>
      <c r="G2088" t="s">
        <v>2374</v>
      </c>
      <c r="H2088" t="s">
        <v>31</v>
      </c>
      <c r="I2088" s="28" t="s">
        <v>24</v>
      </c>
    </row>
    <row r="2089" spans="1:9" x14ac:dyDescent="0.3">
      <c r="A2089" s="26">
        <v>45334</v>
      </c>
      <c r="B2089" t="s">
        <v>1032</v>
      </c>
      <c r="C2089" t="s">
        <v>753</v>
      </c>
      <c r="D2089">
        <v>3.92</v>
      </c>
      <c r="E2089" t="s">
        <v>790</v>
      </c>
      <c r="F2089" t="s">
        <v>754</v>
      </c>
      <c r="H2089" t="s">
        <v>31</v>
      </c>
      <c r="I2089" s="28" t="s">
        <v>24</v>
      </c>
    </row>
    <row r="2090" spans="1:9" x14ac:dyDescent="0.3">
      <c r="A2090" s="26">
        <v>45334</v>
      </c>
      <c r="B2090" t="s">
        <v>1032</v>
      </c>
      <c r="C2090" t="s">
        <v>753</v>
      </c>
      <c r="D2090">
        <v>4.95</v>
      </c>
      <c r="E2090" t="s">
        <v>790</v>
      </c>
      <c r="F2090" t="s">
        <v>754</v>
      </c>
      <c r="G2090" t="s">
        <v>2375</v>
      </c>
      <c r="H2090" t="s">
        <v>31</v>
      </c>
      <c r="I2090" s="28" t="s">
        <v>24</v>
      </c>
    </row>
    <row r="2091" spans="1:9" x14ac:dyDescent="0.3">
      <c r="A2091" s="26">
        <v>45334</v>
      </c>
      <c r="B2091" t="s">
        <v>1034</v>
      </c>
      <c r="C2091" t="s">
        <v>753</v>
      </c>
      <c r="D2091">
        <v>1.17</v>
      </c>
      <c r="E2091" t="s">
        <v>564</v>
      </c>
      <c r="F2091" t="s">
        <v>754</v>
      </c>
      <c r="G2091" t="s">
        <v>2376</v>
      </c>
      <c r="H2091" t="s">
        <v>31</v>
      </c>
      <c r="I2091" s="28" t="s">
        <v>24</v>
      </c>
    </row>
    <row r="2092" spans="1:9" x14ac:dyDescent="0.3">
      <c r="A2092" s="26">
        <v>45334</v>
      </c>
      <c r="B2092" t="s">
        <v>1034</v>
      </c>
      <c r="C2092" t="s">
        <v>753</v>
      </c>
      <c r="D2092">
        <v>2.5499999999999998</v>
      </c>
      <c r="E2092" t="s">
        <v>690</v>
      </c>
      <c r="F2092" t="s">
        <v>754</v>
      </c>
      <c r="G2092" t="s">
        <v>2377</v>
      </c>
      <c r="H2092" t="s">
        <v>31</v>
      </c>
      <c r="I2092" s="28" t="s">
        <v>24</v>
      </c>
    </row>
    <row r="2093" spans="1:9" x14ac:dyDescent="0.3">
      <c r="A2093" s="26">
        <v>45334</v>
      </c>
      <c r="B2093" t="s">
        <v>1034</v>
      </c>
      <c r="C2093" t="s">
        <v>771</v>
      </c>
      <c r="D2093">
        <v>0.37</v>
      </c>
      <c r="E2093" t="s">
        <v>7</v>
      </c>
      <c r="F2093" t="s">
        <v>772</v>
      </c>
      <c r="G2093" t="s">
        <v>2378</v>
      </c>
      <c r="H2093" t="s">
        <v>31</v>
      </c>
      <c r="I2093" s="28" t="s">
        <v>24</v>
      </c>
    </row>
    <row r="2094" spans="1:9" x14ac:dyDescent="0.3">
      <c r="A2094" s="26">
        <v>45334</v>
      </c>
      <c r="B2094" t="s">
        <v>1034</v>
      </c>
      <c r="C2094" t="s">
        <v>771</v>
      </c>
      <c r="D2094">
        <v>0.45</v>
      </c>
      <c r="E2094" t="s">
        <v>7</v>
      </c>
      <c r="F2094" t="s">
        <v>772</v>
      </c>
      <c r="G2094" t="s">
        <v>2379</v>
      </c>
      <c r="H2094" t="s">
        <v>31</v>
      </c>
      <c r="I2094" s="28" t="s">
        <v>24</v>
      </c>
    </row>
    <row r="2095" spans="1:9" x14ac:dyDescent="0.3">
      <c r="A2095" s="26">
        <v>45334</v>
      </c>
      <c r="B2095" t="s">
        <v>1034</v>
      </c>
      <c r="C2095" t="s">
        <v>771</v>
      </c>
      <c r="D2095">
        <v>0.5</v>
      </c>
      <c r="E2095" t="s">
        <v>7</v>
      </c>
      <c r="F2095" t="s">
        <v>772</v>
      </c>
      <c r="G2095" t="s">
        <v>820</v>
      </c>
      <c r="H2095" t="s">
        <v>31</v>
      </c>
      <c r="I2095" s="28" t="s">
        <v>24</v>
      </c>
    </row>
    <row r="2096" spans="1:9" x14ac:dyDescent="0.3">
      <c r="A2096" s="26">
        <v>45334</v>
      </c>
      <c r="B2096" t="s">
        <v>1034</v>
      </c>
      <c r="C2096" t="s">
        <v>874</v>
      </c>
      <c r="D2096">
        <v>0.5</v>
      </c>
      <c r="E2096" t="s">
        <v>7</v>
      </c>
      <c r="F2096" t="s">
        <v>772</v>
      </c>
      <c r="G2096" t="s">
        <v>2067</v>
      </c>
      <c r="H2096" t="s">
        <v>31</v>
      </c>
      <c r="I2096" s="28" t="s">
        <v>24</v>
      </c>
    </row>
    <row r="2097" spans="1:9" x14ac:dyDescent="0.3">
      <c r="A2097" s="26">
        <v>45334</v>
      </c>
      <c r="B2097" t="s">
        <v>1034</v>
      </c>
      <c r="C2097" t="s">
        <v>776</v>
      </c>
      <c r="D2097">
        <v>0.28000000000000003</v>
      </c>
      <c r="E2097" t="s">
        <v>879</v>
      </c>
      <c r="F2097" t="s">
        <v>754</v>
      </c>
      <c r="G2097" t="s">
        <v>2380</v>
      </c>
      <c r="H2097" t="s">
        <v>31</v>
      </c>
      <c r="I2097" s="28" t="s">
        <v>24</v>
      </c>
    </row>
    <row r="2098" spans="1:9" x14ac:dyDescent="0.3">
      <c r="A2098" s="26">
        <v>45334</v>
      </c>
      <c r="B2098" t="s">
        <v>1034</v>
      </c>
      <c r="C2098" t="s">
        <v>776</v>
      </c>
      <c r="D2098">
        <v>0.62</v>
      </c>
      <c r="E2098" t="s">
        <v>879</v>
      </c>
      <c r="F2098" t="s">
        <v>754</v>
      </c>
      <c r="G2098" t="s">
        <v>2381</v>
      </c>
      <c r="H2098" t="s">
        <v>31</v>
      </c>
      <c r="I2098" s="28" t="s">
        <v>24</v>
      </c>
    </row>
    <row r="2099" spans="1:9" x14ac:dyDescent="0.3">
      <c r="A2099" s="26">
        <v>45334</v>
      </c>
      <c r="B2099" t="s">
        <v>1034</v>
      </c>
      <c r="C2099" t="s">
        <v>776</v>
      </c>
      <c r="D2099">
        <v>0.75</v>
      </c>
      <c r="E2099" t="s">
        <v>790</v>
      </c>
      <c r="F2099" t="s">
        <v>754</v>
      </c>
      <c r="G2099" t="s">
        <v>2382</v>
      </c>
      <c r="H2099" t="s">
        <v>31</v>
      </c>
      <c r="I2099" s="28" t="s">
        <v>24</v>
      </c>
    </row>
    <row r="2100" spans="1:9" x14ac:dyDescent="0.3">
      <c r="A2100" s="26">
        <v>45334</v>
      </c>
      <c r="B2100" t="s">
        <v>1034</v>
      </c>
      <c r="C2100" t="s">
        <v>776</v>
      </c>
      <c r="D2100">
        <v>0.82</v>
      </c>
      <c r="E2100" t="s">
        <v>879</v>
      </c>
      <c r="F2100" t="s">
        <v>754</v>
      </c>
      <c r="G2100" t="s">
        <v>2383</v>
      </c>
      <c r="H2100" t="s">
        <v>31</v>
      </c>
      <c r="I2100" s="28" t="s">
        <v>24</v>
      </c>
    </row>
    <row r="2101" spans="1:9" x14ac:dyDescent="0.3">
      <c r="A2101" s="26">
        <v>45334</v>
      </c>
      <c r="B2101" t="s">
        <v>1049</v>
      </c>
      <c r="C2101" t="s">
        <v>753</v>
      </c>
      <c r="D2101">
        <v>0.35</v>
      </c>
      <c r="E2101" t="s">
        <v>964</v>
      </c>
      <c r="F2101" t="s">
        <v>754</v>
      </c>
      <c r="G2101" t="s">
        <v>2384</v>
      </c>
      <c r="H2101" t="s">
        <v>31</v>
      </c>
      <c r="I2101" s="28" t="s">
        <v>24</v>
      </c>
    </row>
    <row r="2102" spans="1:9" x14ac:dyDescent="0.3">
      <c r="A2102" s="26">
        <v>45334</v>
      </c>
      <c r="B2102" t="s">
        <v>1049</v>
      </c>
      <c r="C2102" t="s">
        <v>753</v>
      </c>
      <c r="D2102">
        <v>0.62</v>
      </c>
      <c r="E2102" t="s">
        <v>507</v>
      </c>
      <c r="F2102" t="s">
        <v>754</v>
      </c>
      <c r="G2102" t="s">
        <v>2385</v>
      </c>
      <c r="H2102" t="s">
        <v>31</v>
      </c>
      <c r="I2102" s="28" t="s">
        <v>24</v>
      </c>
    </row>
    <row r="2103" spans="1:9" x14ac:dyDescent="0.3">
      <c r="A2103" s="26">
        <v>45334</v>
      </c>
      <c r="B2103" t="s">
        <v>1049</v>
      </c>
      <c r="C2103" t="s">
        <v>753</v>
      </c>
      <c r="D2103">
        <v>0.67</v>
      </c>
      <c r="E2103" t="s">
        <v>964</v>
      </c>
      <c r="F2103" t="s">
        <v>754</v>
      </c>
      <c r="G2103" t="s">
        <v>2386</v>
      </c>
      <c r="H2103" t="s">
        <v>31</v>
      </c>
      <c r="I2103" s="28" t="s">
        <v>24</v>
      </c>
    </row>
    <row r="2104" spans="1:9" x14ac:dyDescent="0.3">
      <c r="A2104" s="26">
        <v>45334</v>
      </c>
      <c r="B2104" t="s">
        <v>1049</v>
      </c>
      <c r="C2104" t="s">
        <v>753</v>
      </c>
      <c r="D2104">
        <v>0.77</v>
      </c>
      <c r="E2104" t="s">
        <v>507</v>
      </c>
      <c r="F2104" t="s">
        <v>754</v>
      </c>
      <c r="G2104" t="s">
        <v>2387</v>
      </c>
      <c r="H2104" t="s">
        <v>31</v>
      </c>
      <c r="I2104" s="28" t="s">
        <v>24</v>
      </c>
    </row>
    <row r="2105" spans="1:9" x14ac:dyDescent="0.3">
      <c r="A2105" s="26">
        <v>45334</v>
      </c>
      <c r="B2105" t="s">
        <v>1049</v>
      </c>
      <c r="C2105" t="s">
        <v>753</v>
      </c>
      <c r="D2105">
        <v>1.2</v>
      </c>
      <c r="E2105" t="s">
        <v>316</v>
      </c>
      <c r="F2105" t="s">
        <v>754</v>
      </c>
      <c r="G2105" t="s">
        <v>2388</v>
      </c>
      <c r="H2105" t="s">
        <v>31</v>
      </c>
      <c r="I2105" s="28" t="s">
        <v>24</v>
      </c>
    </row>
    <row r="2106" spans="1:9" x14ac:dyDescent="0.3">
      <c r="A2106" s="26">
        <v>45334</v>
      </c>
      <c r="B2106" t="s">
        <v>1049</v>
      </c>
      <c r="C2106" t="s">
        <v>753</v>
      </c>
      <c r="D2106">
        <v>2.5299999999999998</v>
      </c>
      <c r="E2106" t="s">
        <v>964</v>
      </c>
      <c r="F2106" t="s">
        <v>754</v>
      </c>
      <c r="G2106" t="s">
        <v>2389</v>
      </c>
      <c r="H2106" t="s">
        <v>31</v>
      </c>
      <c r="I2106" s="28" t="s">
        <v>24</v>
      </c>
    </row>
    <row r="2107" spans="1:9" x14ac:dyDescent="0.3">
      <c r="A2107" s="26">
        <v>45334</v>
      </c>
      <c r="B2107" t="s">
        <v>1049</v>
      </c>
      <c r="C2107" t="s">
        <v>771</v>
      </c>
      <c r="D2107">
        <v>0.5</v>
      </c>
      <c r="E2107" t="s">
        <v>7</v>
      </c>
      <c r="F2107" t="s">
        <v>772</v>
      </c>
      <c r="G2107" t="s">
        <v>1058</v>
      </c>
      <c r="H2107" t="s">
        <v>31</v>
      </c>
      <c r="I2107" s="28" t="s">
        <v>24</v>
      </c>
    </row>
    <row r="2108" spans="1:9" x14ac:dyDescent="0.3">
      <c r="A2108" s="26">
        <v>45334</v>
      </c>
      <c r="B2108" t="s">
        <v>1049</v>
      </c>
      <c r="C2108" t="s">
        <v>916</v>
      </c>
      <c r="D2108">
        <v>0.23</v>
      </c>
      <c r="E2108" t="s">
        <v>316</v>
      </c>
      <c r="F2108" t="s">
        <v>754</v>
      </c>
      <c r="G2108" t="s">
        <v>2390</v>
      </c>
      <c r="H2108" t="s">
        <v>31</v>
      </c>
      <c r="I2108" s="28" t="s">
        <v>24</v>
      </c>
    </row>
    <row r="2109" spans="1:9" x14ac:dyDescent="0.3">
      <c r="A2109" s="26">
        <v>45334</v>
      </c>
      <c r="B2109" t="s">
        <v>1049</v>
      </c>
      <c r="C2109" t="s">
        <v>776</v>
      </c>
      <c r="D2109">
        <v>0.17</v>
      </c>
      <c r="E2109" t="s">
        <v>10</v>
      </c>
      <c r="F2109" t="s">
        <v>754</v>
      </c>
      <c r="G2109" t="s">
        <v>2391</v>
      </c>
      <c r="H2109" t="s">
        <v>31</v>
      </c>
      <c r="I2109" s="28" t="s">
        <v>24</v>
      </c>
    </row>
    <row r="2110" spans="1:9" x14ac:dyDescent="0.3">
      <c r="A2110" s="26">
        <v>45334</v>
      </c>
      <c r="B2110" t="s">
        <v>1049</v>
      </c>
      <c r="C2110" t="s">
        <v>776</v>
      </c>
      <c r="D2110">
        <v>1.1200000000000001</v>
      </c>
      <c r="E2110" t="s">
        <v>964</v>
      </c>
      <c r="F2110" t="s">
        <v>754</v>
      </c>
      <c r="G2110" t="s">
        <v>2392</v>
      </c>
      <c r="H2110" t="s">
        <v>31</v>
      </c>
      <c r="I2110" s="28" t="s">
        <v>24</v>
      </c>
    </row>
    <row r="2111" spans="1:9" x14ac:dyDescent="0.3">
      <c r="A2111" s="26">
        <v>45334</v>
      </c>
      <c r="B2111" t="s">
        <v>1060</v>
      </c>
      <c r="C2111" t="s">
        <v>909</v>
      </c>
      <c r="D2111">
        <v>6.25</v>
      </c>
      <c r="E2111" t="s">
        <v>623</v>
      </c>
      <c r="F2111" t="s">
        <v>754</v>
      </c>
      <c r="G2111" t="s">
        <v>2393</v>
      </c>
      <c r="H2111" t="s">
        <v>31</v>
      </c>
      <c r="I2111" s="28" t="s">
        <v>24</v>
      </c>
    </row>
    <row r="2112" spans="1:9" x14ac:dyDescent="0.3">
      <c r="A2112" s="26">
        <v>45334</v>
      </c>
      <c r="B2112" t="s">
        <v>1060</v>
      </c>
      <c r="C2112" t="s">
        <v>771</v>
      </c>
      <c r="D2112">
        <v>0.25</v>
      </c>
      <c r="E2112" t="s">
        <v>7</v>
      </c>
      <c r="F2112" t="s">
        <v>772</v>
      </c>
      <c r="G2112" t="s">
        <v>2394</v>
      </c>
      <c r="H2112" t="s">
        <v>31</v>
      </c>
      <c r="I2112" s="28" t="s">
        <v>24</v>
      </c>
    </row>
    <row r="2113" spans="1:9" x14ac:dyDescent="0.3">
      <c r="A2113" s="26">
        <v>45334</v>
      </c>
      <c r="B2113" t="s">
        <v>1060</v>
      </c>
      <c r="C2113" t="s">
        <v>874</v>
      </c>
      <c r="D2113">
        <v>0.5</v>
      </c>
      <c r="E2113" t="s">
        <v>7</v>
      </c>
      <c r="F2113" t="s">
        <v>772</v>
      </c>
      <c r="G2113" t="s">
        <v>1492</v>
      </c>
      <c r="H2113" t="s">
        <v>31</v>
      </c>
      <c r="I2113" s="28" t="s">
        <v>24</v>
      </c>
    </row>
    <row r="2114" spans="1:9" x14ac:dyDescent="0.3">
      <c r="A2114" s="26">
        <v>45334</v>
      </c>
      <c r="B2114" t="s">
        <v>1074</v>
      </c>
      <c r="C2114" t="s">
        <v>753</v>
      </c>
      <c r="D2114">
        <v>0.5</v>
      </c>
      <c r="E2114" t="s">
        <v>964</v>
      </c>
      <c r="F2114" t="s">
        <v>754</v>
      </c>
      <c r="G2114" t="s">
        <v>2395</v>
      </c>
      <c r="H2114" t="s">
        <v>31</v>
      </c>
      <c r="I2114" s="28" t="s">
        <v>24</v>
      </c>
    </row>
    <row r="2115" spans="1:9" x14ac:dyDescent="0.3">
      <c r="A2115" s="26">
        <v>45334</v>
      </c>
      <c r="B2115" t="s">
        <v>1074</v>
      </c>
      <c r="C2115" t="s">
        <v>753</v>
      </c>
      <c r="D2115">
        <v>0.5</v>
      </c>
      <c r="E2115" t="s">
        <v>964</v>
      </c>
      <c r="F2115" t="s">
        <v>754</v>
      </c>
      <c r="G2115" t="s">
        <v>2396</v>
      </c>
      <c r="H2115" t="s">
        <v>31</v>
      </c>
      <c r="I2115" s="28" t="s">
        <v>24</v>
      </c>
    </row>
    <row r="2116" spans="1:9" x14ac:dyDescent="0.3">
      <c r="A2116" s="26">
        <v>45334</v>
      </c>
      <c r="B2116" t="s">
        <v>1074</v>
      </c>
      <c r="C2116" t="s">
        <v>753</v>
      </c>
      <c r="D2116">
        <v>0.6</v>
      </c>
      <c r="E2116" t="s">
        <v>964</v>
      </c>
      <c r="F2116" t="s">
        <v>754</v>
      </c>
      <c r="G2116" t="s">
        <v>2397</v>
      </c>
      <c r="H2116" t="s">
        <v>31</v>
      </c>
      <c r="I2116" s="28" t="s">
        <v>24</v>
      </c>
    </row>
    <row r="2117" spans="1:9" x14ac:dyDescent="0.3">
      <c r="A2117" s="26">
        <v>45334</v>
      </c>
      <c r="B2117" t="s">
        <v>1074</v>
      </c>
      <c r="C2117" t="s">
        <v>753</v>
      </c>
      <c r="D2117">
        <v>0.6</v>
      </c>
      <c r="E2117" t="s">
        <v>964</v>
      </c>
      <c r="F2117" t="s">
        <v>754</v>
      </c>
      <c r="G2117" t="s">
        <v>2398</v>
      </c>
      <c r="H2117" t="s">
        <v>31</v>
      </c>
      <c r="I2117" s="28" t="s">
        <v>24</v>
      </c>
    </row>
    <row r="2118" spans="1:9" x14ac:dyDescent="0.3">
      <c r="A2118" s="26">
        <v>45334</v>
      </c>
      <c r="B2118" t="s">
        <v>1074</v>
      </c>
      <c r="C2118" t="s">
        <v>909</v>
      </c>
      <c r="D2118">
        <v>0.6</v>
      </c>
      <c r="E2118" t="s">
        <v>964</v>
      </c>
      <c r="F2118" t="s">
        <v>754</v>
      </c>
      <c r="G2118" t="s">
        <v>2399</v>
      </c>
      <c r="H2118" t="s">
        <v>31</v>
      </c>
      <c r="I2118" s="28" t="s">
        <v>24</v>
      </c>
    </row>
    <row r="2119" spans="1:9" x14ac:dyDescent="0.3">
      <c r="A2119" s="26">
        <v>45334</v>
      </c>
      <c r="B2119" t="s">
        <v>1074</v>
      </c>
      <c r="C2119" t="s">
        <v>789</v>
      </c>
      <c r="D2119">
        <v>1.5</v>
      </c>
      <c r="E2119" t="s">
        <v>964</v>
      </c>
      <c r="F2119" t="s">
        <v>754</v>
      </c>
      <c r="G2119" t="s">
        <v>2400</v>
      </c>
      <c r="H2119" t="s">
        <v>31</v>
      </c>
      <c r="I2119" s="28" t="s">
        <v>24</v>
      </c>
    </row>
    <row r="2120" spans="1:9" x14ac:dyDescent="0.3">
      <c r="A2120" s="26">
        <v>45334</v>
      </c>
      <c r="B2120" t="s">
        <v>1074</v>
      </c>
      <c r="C2120" t="s">
        <v>771</v>
      </c>
      <c r="D2120">
        <v>0.3</v>
      </c>
      <c r="E2120" t="s">
        <v>7</v>
      </c>
      <c r="F2120" t="s">
        <v>772</v>
      </c>
      <c r="G2120" t="s">
        <v>2401</v>
      </c>
      <c r="H2120" t="s">
        <v>31</v>
      </c>
      <c r="I2120" s="28" t="s">
        <v>24</v>
      </c>
    </row>
    <row r="2121" spans="1:9" x14ac:dyDescent="0.3">
      <c r="A2121" s="26">
        <v>45334</v>
      </c>
      <c r="B2121" t="s">
        <v>1074</v>
      </c>
      <c r="C2121" t="s">
        <v>771</v>
      </c>
      <c r="D2121">
        <v>0.8</v>
      </c>
      <c r="E2121" t="s">
        <v>7</v>
      </c>
      <c r="F2121" t="s">
        <v>772</v>
      </c>
      <c r="G2121" t="s">
        <v>2402</v>
      </c>
      <c r="H2121" t="s">
        <v>31</v>
      </c>
      <c r="I2121" s="28" t="s">
        <v>24</v>
      </c>
    </row>
    <row r="2122" spans="1:9" x14ac:dyDescent="0.3">
      <c r="A2122" s="26">
        <v>45334</v>
      </c>
      <c r="B2122" t="s">
        <v>1074</v>
      </c>
      <c r="C2122" t="s">
        <v>835</v>
      </c>
      <c r="D2122">
        <v>0.73</v>
      </c>
      <c r="E2122" t="s">
        <v>964</v>
      </c>
      <c r="F2122" t="s">
        <v>754</v>
      </c>
      <c r="H2122" t="s">
        <v>31</v>
      </c>
      <c r="I2122" s="28" t="s">
        <v>24</v>
      </c>
    </row>
    <row r="2123" spans="1:9" x14ac:dyDescent="0.3">
      <c r="A2123" s="26">
        <v>45334</v>
      </c>
      <c r="B2123" t="s">
        <v>1074</v>
      </c>
      <c r="C2123" t="s">
        <v>874</v>
      </c>
      <c r="D2123">
        <v>0.5</v>
      </c>
      <c r="E2123" t="s">
        <v>7</v>
      </c>
      <c r="F2123" t="s">
        <v>772</v>
      </c>
      <c r="G2123" t="s">
        <v>1504</v>
      </c>
      <c r="H2123" t="s">
        <v>31</v>
      </c>
      <c r="I2123" s="28" t="s">
        <v>24</v>
      </c>
    </row>
    <row r="2124" spans="1:9" x14ac:dyDescent="0.3">
      <c r="A2124" s="26">
        <v>45334</v>
      </c>
      <c r="B2124" t="s">
        <v>1074</v>
      </c>
      <c r="C2124" t="s">
        <v>776</v>
      </c>
      <c r="D2124">
        <v>0.5</v>
      </c>
      <c r="E2124" t="s">
        <v>964</v>
      </c>
      <c r="F2124" t="s">
        <v>754</v>
      </c>
      <c r="G2124" t="s">
        <v>1499</v>
      </c>
      <c r="H2124" t="s">
        <v>31</v>
      </c>
      <c r="I2124" s="28" t="s">
        <v>24</v>
      </c>
    </row>
    <row r="2125" spans="1:9" x14ac:dyDescent="0.3">
      <c r="A2125" s="26">
        <v>45334</v>
      </c>
      <c r="B2125" t="s">
        <v>1081</v>
      </c>
      <c r="C2125" t="s">
        <v>784</v>
      </c>
      <c r="D2125">
        <v>8</v>
      </c>
      <c r="E2125" t="s">
        <v>7</v>
      </c>
      <c r="F2125" t="s">
        <v>772</v>
      </c>
      <c r="H2125" t="s">
        <v>31</v>
      </c>
      <c r="I2125" s="28" t="s">
        <v>24</v>
      </c>
    </row>
    <row r="2126" spans="1:9" x14ac:dyDescent="0.3">
      <c r="A2126" s="26">
        <v>45335</v>
      </c>
      <c r="B2126" t="s">
        <v>752</v>
      </c>
      <c r="C2126" t="s">
        <v>753</v>
      </c>
      <c r="D2126">
        <v>0.05</v>
      </c>
      <c r="E2126" t="s">
        <v>430</v>
      </c>
      <c r="F2126" t="s">
        <v>754</v>
      </c>
      <c r="G2126" t="s">
        <v>2403</v>
      </c>
      <c r="H2126" t="s">
        <v>31</v>
      </c>
      <c r="I2126" s="28" t="s">
        <v>25</v>
      </c>
    </row>
    <row r="2127" spans="1:9" x14ac:dyDescent="0.3">
      <c r="A2127" s="26">
        <v>45335</v>
      </c>
      <c r="B2127" t="s">
        <v>752</v>
      </c>
      <c r="C2127" t="s">
        <v>753</v>
      </c>
      <c r="D2127">
        <v>0.08</v>
      </c>
      <c r="E2127" t="s">
        <v>757</v>
      </c>
      <c r="F2127" t="s">
        <v>754</v>
      </c>
      <c r="G2127" t="s">
        <v>768</v>
      </c>
      <c r="H2127" t="s">
        <v>31</v>
      </c>
      <c r="I2127" s="28" t="s">
        <v>25</v>
      </c>
    </row>
    <row r="2128" spans="1:9" x14ac:dyDescent="0.3">
      <c r="A2128" s="26">
        <v>45335</v>
      </c>
      <c r="B2128" t="s">
        <v>752</v>
      </c>
      <c r="C2128" t="s">
        <v>753</v>
      </c>
      <c r="D2128">
        <v>0.08</v>
      </c>
      <c r="E2128" t="s">
        <v>664</v>
      </c>
      <c r="F2128" t="s">
        <v>754</v>
      </c>
      <c r="G2128" t="s">
        <v>755</v>
      </c>
      <c r="H2128" t="s">
        <v>31</v>
      </c>
      <c r="I2128" s="28" t="s">
        <v>25</v>
      </c>
    </row>
    <row r="2129" spans="1:9" x14ac:dyDescent="0.3">
      <c r="A2129" s="26">
        <v>45335</v>
      </c>
      <c r="B2129" t="s">
        <v>752</v>
      </c>
      <c r="C2129" t="s">
        <v>753</v>
      </c>
      <c r="D2129">
        <v>0.12</v>
      </c>
      <c r="E2129" t="s">
        <v>561</v>
      </c>
      <c r="F2129" t="s">
        <v>754</v>
      </c>
      <c r="G2129" t="s">
        <v>755</v>
      </c>
      <c r="H2129" t="s">
        <v>31</v>
      </c>
      <c r="I2129" s="28" t="s">
        <v>25</v>
      </c>
    </row>
    <row r="2130" spans="1:9" x14ac:dyDescent="0.3">
      <c r="A2130" s="26">
        <v>45335</v>
      </c>
      <c r="B2130" t="s">
        <v>752</v>
      </c>
      <c r="C2130" t="s">
        <v>753</v>
      </c>
      <c r="D2130">
        <v>0.17</v>
      </c>
      <c r="E2130" t="s">
        <v>561</v>
      </c>
      <c r="F2130" t="s">
        <v>754</v>
      </c>
      <c r="G2130" t="s">
        <v>766</v>
      </c>
      <c r="H2130" t="s">
        <v>31</v>
      </c>
      <c r="I2130" s="28" t="s">
        <v>25</v>
      </c>
    </row>
    <row r="2131" spans="1:9" x14ac:dyDescent="0.3">
      <c r="A2131" s="26">
        <v>45335</v>
      </c>
      <c r="B2131" t="s">
        <v>752</v>
      </c>
      <c r="C2131" t="s">
        <v>753</v>
      </c>
      <c r="D2131">
        <v>0.17</v>
      </c>
      <c r="E2131" t="s">
        <v>664</v>
      </c>
      <c r="F2131" t="s">
        <v>754</v>
      </c>
      <c r="G2131" t="s">
        <v>2404</v>
      </c>
      <c r="H2131" t="s">
        <v>31</v>
      </c>
      <c r="I2131" s="28" t="s">
        <v>25</v>
      </c>
    </row>
    <row r="2132" spans="1:9" x14ac:dyDescent="0.3">
      <c r="A2132" s="26">
        <v>45335</v>
      </c>
      <c r="B2132" t="s">
        <v>752</v>
      </c>
      <c r="C2132" t="s">
        <v>753</v>
      </c>
      <c r="D2132">
        <v>0.18</v>
      </c>
      <c r="E2132" t="s">
        <v>417</v>
      </c>
      <c r="F2132" t="s">
        <v>754</v>
      </c>
      <c r="G2132" t="s">
        <v>764</v>
      </c>
      <c r="H2132" t="s">
        <v>31</v>
      </c>
      <c r="I2132" s="28" t="s">
        <v>25</v>
      </c>
    </row>
    <row r="2133" spans="1:9" x14ac:dyDescent="0.3">
      <c r="A2133" s="26">
        <v>45335</v>
      </c>
      <c r="B2133" t="s">
        <v>752</v>
      </c>
      <c r="C2133" t="s">
        <v>753</v>
      </c>
      <c r="D2133">
        <v>0.22</v>
      </c>
      <c r="E2133" t="s">
        <v>210</v>
      </c>
      <c r="F2133" t="s">
        <v>754</v>
      </c>
      <c r="G2133" t="s">
        <v>763</v>
      </c>
      <c r="H2133" t="s">
        <v>31</v>
      </c>
      <c r="I2133" s="28" t="s">
        <v>25</v>
      </c>
    </row>
    <row r="2134" spans="1:9" x14ac:dyDescent="0.3">
      <c r="A2134" s="26">
        <v>45335</v>
      </c>
      <c r="B2134" t="s">
        <v>752</v>
      </c>
      <c r="C2134" t="s">
        <v>753</v>
      </c>
      <c r="D2134">
        <v>0.27</v>
      </c>
      <c r="E2134" t="s">
        <v>664</v>
      </c>
      <c r="F2134" t="s">
        <v>754</v>
      </c>
      <c r="G2134" t="s">
        <v>1088</v>
      </c>
      <c r="H2134" t="s">
        <v>31</v>
      </c>
      <c r="I2134" s="28" t="s">
        <v>25</v>
      </c>
    </row>
    <row r="2135" spans="1:9" x14ac:dyDescent="0.3">
      <c r="A2135" s="26">
        <v>45335</v>
      </c>
      <c r="B2135" t="s">
        <v>752</v>
      </c>
      <c r="C2135" t="s">
        <v>753</v>
      </c>
      <c r="D2135">
        <v>0.28000000000000003</v>
      </c>
      <c r="E2135" t="s">
        <v>1084</v>
      </c>
      <c r="F2135" t="s">
        <v>754</v>
      </c>
      <c r="G2135" t="s">
        <v>769</v>
      </c>
      <c r="H2135" t="s">
        <v>31</v>
      </c>
      <c r="I2135" s="28" t="s">
        <v>25</v>
      </c>
    </row>
    <row r="2136" spans="1:9" x14ac:dyDescent="0.3">
      <c r="A2136" s="26">
        <v>45335</v>
      </c>
      <c r="B2136" t="s">
        <v>752</v>
      </c>
      <c r="C2136" t="s">
        <v>753</v>
      </c>
      <c r="D2136">
        <v>0.28000000000000003</v>
      </c>
      <c r="E2136" t="s">
        <v>1084</v>
      </c>
      <c r="F2136" t="s">
        <v>754</v>
      </c>
      <c r="G2136" t="s">
        <v>755</v>
      </c>
      <c r="H2136" t="s">
        <v>31</v>
      </c>
      <c r="I2136" s="28" t="s">
        <v>25</v>
      </c>
    </row>
    <row r="2137" spans="1:9" x14ac:dyDescent="0.3">
      <c r="A2137" s="26">
        <v>45335</v>
      </c>
      <c r="B2137" t="s">
        <v>752</v>
      </c>
      <c r="C2137" t="s">
        <v>753</v>
      </c>
      <c r="D2137">
        <v>0.3</v>
      </c>
      <c r="E2137" t="s">
        <v>757</v>
      </c>
      <c r="F2137" t="s">
        <v>754</v>
      </c>
      <c r="G2137" t="s">
        <v>2405</v>
      </c>
      <c r="H2137" t="s">
        <v>31</v>
      </c>
      <c r="I2137" s="28" t="s">
        <v>25</v>
      </c>
    </row>
    <row r="2138" spans="1:9" x14ac:dyDescent="0.3">
      <c r="A2138" s="26">
        <v>45335</v>
      </c>
      <c r="B2138" t="s">
        <v>752</v>
      </c>
      <c r="C2138" t="s">
        <v>753</v>
      </c>
      <c r="D2138">
        <v>0.37</v>
      </c>
      <c r="E2138" t="s">
        <v>602</v>
      </c>
      <c r="F2138" t="s">
        <v>754</v>
      </c>
      <c r="G2138" t="s">
        <v>766</v>
      </c>
      <c r="H2138" t="s">
        <v>31</v>
      </c>
      <c r="I2138" s="28" t="s">
        <v>25</v>
      </c>
    </row>
    <row r="2139" spans="1:9" x14ac:dyDescent="0.3">
      <c r="A2139" s="26">
        <v>45335</v>
      </c>
      <c r="B2139" t="s">
        <v>752</v>
      </c>
      <c r="C2139" t="s">
        <v>753</v>
      </c>
      <c r="D2139">
        <v>0.5</v>
      </c>
      <c r="E2139" t="s">
        <v>757</v>
      </c>
      <c r="F2139" t="s">
        <v>754</v>
      </c>
      <c r="G2139" t="s">
        <v>2406</v>
      </c>
      <c r="H2139" t="s">
        <v>31</v>
      </c>
      <c r="I2139" s="28" t="s">
        <v>25</v>
      </c>
    </row>
    <row r="2140" spans="1:9" x14ac:dyDescent="0.3">
      <c r="A2140" s="26">
        <v>45335</v>
      </c>
      <c r="B2140" t="s">
        <v>752</v>
      </c>
      <c r="C2140" t="s">
        <v>753</v>
      </c>
      <c r="D2140">
        <v>0.7</v>
      </c>
      <c r="E2140" t="s">
        <v>430</v>
      </c>
      <c r="F2140" t="s">
        <v>754</v>
      </c>
      <c r="G2140" t="s">
        <v>2407</v>
      </c>
      <c r="H2140" t="s">
        <v>31</v>
      </c>
      <c r="I2140" s="28" t="s">
        <v>25</v>
      </c>
    </row>
    <row r="2141" spans="1:9" x14ac:dyDescent="0.3">
      <c r="A2141" s="26">
        <v>45335</v>
      </c>
      <c r="B2141" t="s">
        <v>752</v>
      </c>
      <c r="C2141" t="s">
        <v>753</v>
      </c>
      <c r="D2141">
        <v>1.08</v>
      </c>
      <c r="E2141" t="s">
        <v>757</v>
      </c>
      <c r="F2141" t="s">
        <v>754</v>
      </c>
      <c r="G2141" t="s">
        <v>2408</v>
      </c>
      <c r="H2141" t="s">
        <v>31</v>
      </c>
      <c r="I2141" s="28" t="s">
        <v>25</v>
      </c>
    </row>
    <row r="2142" spans="1:9" x14ac:dyDescent="0.3">
      <c r="A2142" s="26">
        <v>45335</v>
      </c>
      <c r="B2142" t="s">
        <v>752</v>
      </c>
      <c r="C2142" t="s">
        <v>753</v>
      </c>
      <c r="D2142">
        <v>1.33</v>
      </c>
      <c r="E2142" t="s">
        <v>1084</v>
      </c>
      <c r="F2142" t="s">
        <v>754</v>
      </c>
      <c r="G2142" t="s">
        <v>2409</v>
      </c>
      <c r="H2142" t="s">
        <v>31</v>
      </c>
      <c r="I2142" s="28" t="s">
        <v>25</v>
      </c>
    </row>
    <row r="2143" spans="1:9" x14ac:dyDescent="0.3">
      <c r="A2143" s="26">
        <v>45335</v>
      </c>
      <c r="B2143" t="s">
        <v>752</v>
      </c>
      <c r="C2143" t="s">
        <v>771</v>
      </c>
      <c r="D2143">
        <v>0.1</v>
      </c>
      <c r="E2143" t="s">
        <v>7</v>
      </c>
      <c r="F2143" t="s">
        <v>772</v>
      </c>
      <c r="G2143" t="s">
        <v>2410</v>
      </c>
      <c r="H2143" t="s">
        <v>31</v>
      </c>
      <c r="I2143" s="28" t="s">
        <v>25</v>
      </c>
    </row>
    <row r="2144" spans="1:9" x14ac:dyDescent="0.3">
      <c r="A2144" s="26">
        <v>45335</v>
      </c>
      <c r="B2144" t="s">
        <v>752</v>
      </c>
      <c r="C2144" t="s">
        <v>771</v>
      </c>
      <c r="D2144">
        <v>0.25</v>
      </c>
      <c r="E2144" t="s">
        <v>7</v>
      </c>
      <c r="F2144" t="s">
        <v>772</v>
      </c>
      <c r="G2144" t="s">
        <v>774</v>
      </c>
      <c r="H2144" t="s">
        <v>31</v>
      </c>
      <c r="I2144" s="28" t="s">
        <v>25</v>
      </c>
    </row>
    <row r="2145" spans="1:9" x14ac:dyDescent="0.3">
      <c r="A2145" s="26">
        <v>45335</v>
      </c>
      <c r="B2145" t="s">
        <v>752</v>
      </c>
      <c r="C2145" t="s">
        <v>771</v>
      </c>
      <c r="D2145">
        <v>0.25</v>
      </c>
      <c r="E2145" t="s">
        <v>7</v>
      </c>
      <c r="F2145" t="s">
        <v>772</v>
      </c>
      <c r="G2145" t="s">
        <v>775</v>
      </c>
      <c r="H2145" t="s">
        <v>31</v>
      </c>
      <c r="I2145" s="28" t="s">
        <v>25</v>
      </c>
    </row>
    <row r="2146" spans="1:9" x14ac:dyDescent="0.3">
      <c r="A2146" s="26">
        <v>45335</v>
      </c>
      <c r="B2146" t="s">
        <v>752</v>
      </c>
      <c r="C2146" t="s">
        <v>835</v>
      </c>
      <c r="D2146">
        <v>0.92</v>
      </c>
      <c r="E2146" t="s">
        <v>210</v>
      </c>
      <c r="F2146" t="s">
        <v>754</v>
      </c>
      <c r="G2146" t="s">
        <v>2411</v>
      </c>
      <c r="H2146" t="s">
        <v>31</v>
      </c>
      <c r="I2146" s="28" t="s">
        <v>25</v>
      </c>
    </row>
    <row r="2147" spans="1:9" x14ac:dyDescent="0.3">
      <c r="A2147" s="26">
        <v>45335</v>
      </c>
      <c r="B2147" t="s">
        <v>752</v>
      </c>
      <c r="C2147" t="s">
        <v>776</v>
      </c>
      <c r="D2147">
        <v>0.3</v>
      </c>
      <c r="E2147" t="s">
        <v>458</v>
      </c>
      <c r="F2147" t="s">
        <v>754</v>
      </c>
      <c r="G2147" t="s">
        <v>755</v>
      </c>
      <c r="H2147" t="s">
        <v>31</v>
      </c>
      <c r="I2147" s="28" t="s">
        <v>25</v>
      </c>
    </row>
    <row r="2148" spans="1:9" x14ac:dyDescent="0.3">
      <c r="A2148" s="26">
        <v>45335</v>
      </c>
      <c r="B2148" t="s">
        <v>1093</v>
      </c>
      <c r="C2148" t="s">
        <v>1522</v>
      </c>
      <c r="D2148">
        <v>1.25</v>
      </c>
      <c r="E2148" t="s">
        <v>455</v>
      </c>
      <c r="F2148" t="s">
        <v>754</v>
      </c>
      <c r="G2148" t="s">
        <v>2412</v>
      </c>
      <c r="H2148" t="s">
        <v>31</v>
      </c>
      <c r="I2148" s="28" t="s">
        <v>25</v>
      </c>
    </row>
    <row r="2149" spans="1:9" x14ac:dyDescent="0.3">
      <c r="A2149" s="26">
        <v>45335</v>
      </c>
      <c r="B2149" t="s">
        <v>1093</v>
      </c>
      <c r="C2149" t="s">
        <v>1309</v>
      </c>
      <c r="D2149">
        <v>0.33</v>
      </c>
      <c r="E2149" t="s">
        <v>455</v>
      </c>
      <c r="F2149" t="s">
        <v>754</v>
      </c>
      <c r="G2149" t="s">
        <v>2413</v>
      </c>
      <c r="H2149" t="s">
        <v>31</v>
      </c>
      <c r="I2149" s="28" t="s">
        <v>25</v>
      </c>
    </row>
    <row r="2150" spans="1:9" x14ac:dyDescent="0.3">
      <c r="A2150" s="26">
        <v>45335</v>
      </c>
      <c r="B2150" t="s">
        <v>1093</v>
      </c>
      <c r="C2150" t="s">
        <v>1524</v>
      </c>
      <c r="D2150">
        <v>1.42</v>
      </c>
      <c r="E2150" t="s">
        <v>455</v>
      </c>
      <c r="F2150" t="s">
        <v>754</v>
      </c>
      <c r="G2150" t="s">
        <v>2414</v>
      </c>
      <c r="H2150" t="s">
        <v>31</v>
      </c>
      <c r="I2150" s="28" t="s">
        <v>25</v>
      </c>
    </row>
    <row r="2151" spans="1:9" x14ac:dyDescent="0.3">
      <c r="A2151" s="26">
        <v>45335</v>
      </c>
      <c r="B2151" t="s">
        <v>1093</v>
      </c>
      <c r="C2151" t="s">
        <v>1094</v>
      </c>
      <c r="D2151">
        <v>1.17</v>
      </c>
      <c r="E2151" t="s">
        <v>455</v>
      </c>
      <c r="F2151" t="s">
        <v>754</v>
      </c>
      <c r="G2151" t="s">
        <v>2415</v>
      </c>
      <c r="H2151" t="s">
        <v>31</v>
      </c>
      <c r="I2151" s="28" t="s">
        <v>25</v>
      </c>
    </row>
    <row r="2152" spans="1:9" x14ac:dyDescent="0.3">
      <c r="A2152" s="26">
        <v>45335</v>
      </c>
      <c r="B2152" t="s">
        <v>21</v>
      </c>
      <c r="C2152" t="s">
        <v>753</v>
      </c>
      <c r="D2152">
        <v>0.33</v>
      </c>
      <c r="E2152" t="s">
        <v>13</v>
      </c>
      <c r="F2152" t="s">
        <v>754</v>
      </c>
      <c r="H2152" t="s">
        <v>31</v>
      </c>
      <c r="I2152" s="28" t="s">
        <v>25</v>
      </c>
    </row>
    <row r="2153" spans="1:9" x14ac:dyDescent="0.3">
      <c r="A2153" s="26">
        <v>45335</v>
      </c>
      <c r="B2153" t="s">
        <v>21</v>
      </c>
      <c r="C2153" t="s">
        <v>753</v>
      </c>
      <c r="D2153">
        <v>0.97</v>
      </c>
      <c r="E2153" t="s">
        <v>589</v>
      </c>
      <c r="F2153" t="s">
        <v>754</v>
      </c>
      <c r="H2153" t="s">
        <v>31</v>
      </c>
      <c r="I2153" s="28" t="s">
        <v>25</v>
      </c>
    </row>
    <row r="2154" spans="1:9" x14ac:dyDescent="0.3">
      <c r="A2154" s="26">
        <v>45335</v>
      </c>
      <c r="B2154" t="s">
        <v>21</v>
      </c>
      <c r="C2154" t="s">
        <v>753</v>
      </c>
      <c r="D2154">
        <v>1.05</v>
      </c>
      <c r="E2154" t="s">
        <v>1096</v>
      </c>
      <c r="F2154" t="s">
        <v>754</v>
      </c>
      <c r="H2154" t="s">
        <v>31</v>
      </c>
      <c r="I2154" s="28" t="s">
        <v>25</v>
      </c>
    </row>
    <row r="2155" spans="1:9" x14ac:dyDescent="0.3">
      <c r="A2155" s="26">
        <v>45335</v>
      </c>
      <c r="B2155" t="s">
        <v>21</v>
      </c>
      <c r="C2155" t="s">
        <v>771</v>
      </c>
      <c r="D2155">
        <v>0.5</v>
      </c>
      <c r="E2155" t="s">
        <v>7</v>
      </c>
      <c r="F2155" t="s">
        <v>772</v>
      </c>
      <c r="G2155" t="s">
        <v>2416</v>
      </c>
      <c r="H2155" t="s">
        <v>31</v>
      </c>
      <c r="I2155" s="28" t="s">
        <v>25</v>
      </c>
    </row>
    <row r="2156" spans="1:9" x14ac:dyDescent="0.3">
      <c r="A2156" s="26">
        <v>45335</v>
      </c>
      <c r="B2156" t="s">
        <v>21</v>
      </c>
      <c r="C2156" t="s">
        <v>771</v>
      </c>
      <c r="D2156">
        <v>0.67</v>
      </c>
      <c r="E2156" t="s">
        <v>7</v>
      </c>
      <c r="F2156" t="s">
        <v>772</v>
      </c>
      <c r="G2156" t="s">
        <v>2417</v>
      </c>
      <c r="H2156" t="s">
        <v>31</v>
      </c>
      <c r="I2156" s="28" t="s">
        <v>25</v>
      </c>
    </row>
    <row r="2157" spans="1:9" x14ac:dyDescent="0.3">
      <c r="A2157" s="26">
        <v>45335</v>
      </c>
      <c r="B2157" t="s">
        <v>21</v>
      </c>
      <c r="C2157" t="s">
        <v>771</v>
      </c>
      <c r="D2157">
        <v>1</v>
      </c>
      <c r="E2157" t="s">
        <v>7</v>
      </c>
      <c r="F2157" t="s">
        <v>772</v>
      </c>
      <c r="G2157" t="s">
        <v>2418</v>
      </c>
      <c r="H2157" t="s">
        <v>31</v>
      </c>
      <c r="I2157" s="28" t="s">
        <v>25</v>
      </c>
    </row>
    <row r="2158" spans="1:9" x14ac:dyDescent="0.3">
      <c r="A2158" s="26">
        <v>45335</v>
      </c>
      <c r="B2158" t="s">
        <v>21</v>
      </c>
      <c r="C2158" t="s">
        <v>771</v>
      </c>
      <c r="D2158">
        <v>1.25</v>
      </c>
      <c r="E2158" t="s">
        <v>7</v>
      </c>
      <c r="F2158" t="s">
        <v>772</v>
      </c>
      <c r="H2158" t="s">
        <v>31</v>
      </c>
      <c r="I2158" s="28" t="s">
        <v>25</v>
      </c>
    </row>
    <row r="2159" spans="1:9" x14ac:dyDescent="0.3">
      <c r="A2159" s="26">
        <v>45335</v>
      </c>
      <c r="B2159" t="s">
        <v>21</v>
      </c>
      <c r="C2159" t="s">
        <v>771</v>
      </c>
      <c r="D2159">
        <v>1.77</v>
      </c>
      <c r="E2159" t="s">
        <v>7</v>
      </c>
      <c r="F2159" t="s">
        <v>772</v>
      </c>
      <c r="G2159" t="s">
        <v>2419</v>
      </c>
      <c r="H2159" t="s">
        <v>31</v>
      </c>
      <c r="I2159" s="28" t="s">
        <v>25</v>
      </c>
    </row>
    <row r="2160" spans="1:9" x14ac:dyDescent="0.3">
      <c r="A2160" s="26">
        <v>45335</v>
      </c>
      <c r="B2160" t="s">
        <v>21</v>
      </c>
      <c r="C2160" t="s">
        <v>776</v>
      </c>
      <c r="D2160">
        <v>0.47</v>
      </c>
      <c r="E2160" t="s">
        <v>589</v>
      </c>
      <c r="F2160" t="s">
        <v>754</v>
      </c>
      <c r="H2160" t="s">
        <v>31</v>
      </c>
      <c r="I2160" s="28" t="s">
        <v>25</v>
      </c>
    </row>
    <row r="2161" spans="1:9" x14ac:dyDescent="0.3">
      <c r="A2161" s="26">
        <v>45335</v>
      </c>
      <c r="B2161" t="s">
        <v>783</v>
      </c>
      <c r="C2161" t="s">
        <v>771</v>
      </c>
      <c r="D2161">
        <v>7.52</v>
      </c>
      <c r="E2161" t="s">
        <v>7</v>
      </c>
      <c r="F2161" t="s">
        <v>772</v>
      </c>
      <c r="G2161" t="s">
        <v>2253</v>
      </c>
      <c r="H2161" t="s">
        <v>31</v>
      </c>
      <c r="I2161" s="28" t="s">
        <v>25</v>
      </c>
    </row>
    <row r="2162" spans="1:9" x14ac:dyDescent="0.3">
      <c r="A2162" s="26">
        <v>45335</v>
      </c>
      <c r="B2162" t="s">
        <v>783</v>
      </c>
      <c r="C2162" t="s">
        <v>874</v>
      </c>
      <c r="D2162">
        <v>0.5</v>
      </c>
      <c r="E2162" t="s">
        <v>7</v>
      </c>
      <c r="F2162" t="s">
        <v>772</v>
      </c>
      <c r="G2162" t="s">
        <v>2420</v>
      </c>
      <c r="H2162" t="s">
        <v>31</v>
      </c>
      <c r="I2162" s="28" t="s">
        <v>25</v>
      </c>
    </row>
    <row r="2163" spans="1:9" x14ac:dyDescent="0.3">
      <c r="A2163" s="26">
        <v>45335</v>
      </c>
      <c r="B2163" t="s">
        <v>785</v>
      </c>
      <c r="C2163" t="s">
        <v>786</v>
      </c>
      <c r="D2163">
        <v>5</v>
      </c>
      <c r="E2163" t="s">
        <v>7</v>
      </c>
      <c r="F2163" t="s">
        <v>772</v>
      </c>
      <c r="G2163" t="s">
        <v>2421</v>
      </c>
      <c r="H2163" t="s">
        <v>31</v>
      </c>
      <c r="I2163" s="28" t="s">
        <v>25</v>
      </c>
    </row>
    <row r="2164" spans="1:9" x14ac:dyDescent="0.3">
      <c r="A2164" s="26">
        <v>45335</v>
      </c>
      <c r="B2164" t="s">
        <v>785</v>
      </c>
      <c r="C2164" t="s">
        <v>786</v>
      </c>
      <c r="D2164">
        <v>8</v>
      </c>
      <c r="E2164" t="s">
        <v>7</v>
      </c>
      <c r="F2164" t="s">
        <v>772</v>
      </c>
      <c r="G2164" t="s">
        <v>2422</v>
      </c>
      <c r="H2164" t="s">
        <v>31</v>
      </c>
      <c r="I2164" s="28" t="s">
        <v>25</v>
      </c>
    </row>
    <row r="2165" spans="1:9" x14ac:dyDescent="0.3">
      <c r="A2165" s="26">
        <v>45335</v>
      </c>
      <c r="B2165" t="s">
        <v>788</v>
      </c>
      <c r="C2165" t="s">
        <v>786</v>
      </c>
      <c r="D2165">
        <v>9.5</v>
      </c>
      <c r="E2165" t="s">
        <v>7</v>
      </c>
      <c r="F2165" t="s">
        <v>772</v>
      </c>
      <c r="H2165" t="s">
        <v>31</v>
      </c>
      <c r="I2165" s="28" t="s">
        <v>25</v>
      </c>
    </row>
    <row r="2166" spans="1:9" x14ac:dyDescent="0.3">
      <c r="A2166" s="26">
        <v>45335</v>
      </c>
      <c r="B2166" t="s">
        <v>792</v>
      </c>
      <c r="C2166" t="s">
        <v>753</v>
      </c>
      <c r="D2166">
        <v>0.57999999999999996</v>
      </c>
      <c r="E2166" t="s">
        <v>790</v>
      </c>
      <c r="F2166" t="s">
        <v>754</v>
      </c>
      <c r="G2166" t="s">
        <v>2423</v>
      </c>
      <c r="H2166" t="s">
        <v>31</v>
      </c>
      <c r="I2166" s="28" t="s">
        <v>25</v>
      </c>
    </row>
    <row r="2167" spans="1:9" x14ac:dyDescent="0.3">
      <c r="A2167" s="26">
        <v>45335</v>
      </c>
      <c r="B2167" t="s">
        <v>792</v>
      </c>
      <c r="C2167" t="s">
        <v>753</v>
      </c>
      <c r="D2167">
        <v>0.75</v>
      </c>
      <c r="E2167" t="s">
        <v>790</v>
      </c>
      <c r="F2167" t="s">
        <v>754</v>
      </c>
      <c r="G2167" t="s">
        <v>2424</v>
      </c>
      <c r="H2167" t="s">
        <v>31</v>
      </c>
      <c r="I2167" s="28" t="s">
        <v>25</v>
      </c>
    </row>
    <row r="2168" spans="1:9" x14ac:dyDescent="0.3">
      <c r="A2168" s="26">
        <v>45335</v>
      </c>
      <c r="B2168" t="s">
        <v>792</v>
      </c>
      <c r="C2168" t="s">
        <v>753</v>
      </c>
      <c r="D2168">
        <v>1.2</v>
      </c>
      <c r="E2168" t="s">
        <v>790</v>
      </c>
      <c r="F2168" t="s">
        <v>754</v>
      </c>
      <c r="G2168" t="s">
        <v>2425</v>
      </c>
      <c r="H2168" t="s">
        <v>31</v>
      </c>
      <c r="I2168" s="28" t="s">
        <v>25</v>
      </c>
    </row>
    <row r="2169" spans="1:9" x14ac:dyDescent="0.3">
      <c r="A2169" s="26">
        <v>45335</v>
      </c>
      <c r="B2169" t="s">
        <v>792</v>
      </c>
      <c r="C2169" t="s">
        <v>753</v>
      </c>
      <c r="D2169">
        <v>1.72</v>
      </c>
      <c r="E2169" t="s">
        <v>790</v>
      </c>
      <c r="F2169" t="s">
        <v>754</v>
      </c>
      <c r="G2169" t="s">
        <v>2426</v>
      </c>
      <c r="H2169" t="s">
        <v>31</v>
      </c>
      <c r="I2169" s="28" t="s">
        <v>25</v>
      </c>
    </row>
    <row r="2170" spans="1:9" x14ac:dyDescent="0.3">
      <c r="A2170" s="26">
        <v>45335</v>
      </c>
      <c r="B2170" t="s">
        <v>792</v>
      </c>
      <c r="C2170" t="s">
        <v>753</v>
      </c>
      <c r="D2170">
        <v>3.95</v>
      </c>
      <c r="E2170" t="s">
        <v>790</v>
      </c>
      <c r="F2170" t="s">
        <v>754</v>
      </c>
      <c r="G2170" t="s">
        <v>1541</v>
      </c>
      <c r="H2170" t="s">
        <v>31</v>
      </c>
      <c r="I2170" s="28" t="s">
        <v>25</v>
      </c>
    </row>
    <row r="2171" spans="1:9" x14ac:dyDescent="0.3">
      <c r="A2171" s="26">
        <v>45335</v>
      </c>
      <c r="B2171" t="s">
        <v>796</v>
      </c>
      <c r="C2171" t="s">
        <v>753</v>
      </c>
      <c r="D2171">
        <v>0.33</v>
      </c>
      <c r="E2171" t="s">
        <v>655</v>
      </c>
      <c r="F2171" t="s">
        <v>772</v>
      </c>
      <c r="G2171" t="s">
        <v>2427</v>
      </c>
      <c r="H2171" t="s">
        <v>31</v>
      </c>
      <c r="I2171" s="28" t="s">
        <v>25</v>
      </c>
    </row>
    <row r="2172" spans="1:9" x14ac:dyDescent="0.3">
      <c r="A2172" s="26">
        <v>45335</v>
      </c>
      <c r="B2172" t="s">
        <v>796</v>
      </c>
      <c r="C2172" t="s">
        <v>753</v>
      </c>
      <c r="D2172">
        <v>2.58</v>
      </c>
      <c r="E2172" t="s">
        <v>430</v>
      </c>
      <c r="F2172" t="s">
        <v>754</v>
      </c>
      <c r="G2172" t="s">
        <v>765</v>
      </c>
      <c r="H2172" t="s">
        <v>31</v>
      </c>
      <c r="I2172" s="28" t="s">
        <v>25</v>
      </c>
    </row>
    <row r="2173" spans="1:9" x14ac:dyDescent="0.3">
      <c r="A2173" s="26">
        <v>45335</v>
      </c>
      <c r="B2173" t="s">
        <v>796</v>
      </c>
      <c r="C2173" t="s">
        <v>771</v>
      </c>
      <c r="D2173">
        <v>0.42</v>
      </c>
      <c r="E2173" t="s">
        <v>7</v>
      </c>
      <c r="F2173" t="s">
        <v>772</v>
      </c>
      <c r="G2173" t="s">
        <v>2428</v>
      </c>
      <c r="H2173" t="s">
        <v>31</v>
      </c>
      <c r="I2173" s="28" t="s">
        <v>25</v>
      </c>
    </row>
    <row r="2174" spans="1:9" x14ac:dyDescent="0.3">
      <c r="A2174" s="26">
        <v>45335</v>
      </c>
      <c r="B2174" t="s">
        <v>796</v>
      </c>
      <c r="C2174" t="s">
        <v>771</v>
      </c>
      <c r="D2174">
        <v>4.67</v>
      </c>
      <c r="E2174" t="s">
        <v>7</v>
      </c>
      <c r="F2174" t="s">
        <v>772</v>
      </c>
      <c r="H2174" t="s">
        <v>31</v>
      </c>
      <c r="I2174" s="28" t="s">
        <v>25</v>
      </c>
    </row>
    <row r="2175" spans="1:9" x14ac:dyDescent="0.3">
      <c r="A2175" s="26">
        <v>45335</v>
      </c>
      <c r="B2175" t="s">
        <v>801</v>
      </c>
      <c r="C2175" t="s">
        <v>802</v>
      </c>
      <c r="D2175">
        <v>11.77</v>
      </c>
      <c r="E2175" t="s">
        <v>7</v>
      </c>
      <c r="F2175" t="s">
        <v>772</v>
      </c>
      <c r="H2175" t="s">
        <v>31</v>
      </c>
      <c r="I2175" s="28" t="s">
        <v>25</v>
      </c>
    </row>
    <row r="2176" spans="1:9" x14ac:dyDescent="0.3">
      <c r="A2176" s="26">
        <v>45335</v>
      </c>
      <c r="B2176" t="s">
        <v>806</v>
      </c>
      <c r="C2176" t="s">
        <v>802</v>
      </c>
      <c r="D2176">
        <v>2</v>
      </c>
      <c r="E2176" t="s">
        <v>7</v>
      </c>
      <c r="F2176" t="s">
        <v>772</v>
      </c>
      <c r="G2176" t="s">
        <v>2429</v>
      </c>
      <c r="H2176" t="s">
        <v>31</v>
      </c>
      <c r="I2176" s="28" t="s">
        <v>25</v>
      </c>
    </row>
    <row r="2177" spans="1:9" x14ac:dyDescent="0.3">
      <c r="A2177" s="26">
        <v>45335</v>
      </c>
      <c r="B2177" t="s">
        <v>808</v>
      </c>
      <c r="C2177" t="s">
        <v>802</v>
      </c>
      <c r="D2177">
        <v>9.08</v>
      </c>
      <c r="E2177" t="s">
        <v>7</v>
      </c>
      <c r="F2177" t="s">
        <v>772</v>
      </c>
      <c r="G2177" t="s">
        <v>2430</v>
      </c>
      <c r="H2177" t="s">
        <v>31</v>
      </c>
      <c r="I2177" s="28" t="s">
        <v>25</v>
      </c>
    </row>
    <row r="2178" spans="1:9" x14ac:dyDescent="0.3">
      <c r="A2178" s="26">
        <v>45335</v>
      </c>
      <c r="B2178" t="s">
        <v>810</v>
      </c>
      <c r="C2178" t="s">
        <v>753</v>
      </c>
      <c r="D2178">
        <v>0.25</v>
      </c>
      <c r="E2178" t="s">
        <v>1069</v>
      </c>
      <c r="F2178" t="s">
        <v>754</v>
      </c>
      <c r="G2178" t="s">
        <v>2265</v>
      </c>
      <c r="H2178" t="s">
        <v>31</v>
      </c>
      <c r="I2178" s="28" t="s">
        <v>25</v>
      </c>
    </row>
    <row r="2179" spans="1:9" x14ac:dyDescent="0.3">
      <c r="A2179" s="26">
        <v>45335</v>
      </c>
      <c r="B2179" t="s">
        <v>810</v>
      </c>
      <c r="C2179" t="s">
        <v>753</v>
      </c>
      <c r="D2179">
        <v>0.25</v>
      </c>
      <c r="E2179" t="s">
        <v>898</v>
      </c>
      <c r="F2179" t="s">
        <v>772</v>
      </c>
      <c r="G2179" t="s">
        <v>2431</v>
      </c>
      <c r="H2179" t="s">
        <v>31</v>
      </c>
      <c r="I2179" s="28" t="s">
        <v>25</v>
      </c>
    </row>
    <row r="2180" spans="1:9" x14ac:dyDescent="0.3">
      <c r="A2180" s="26">
        <v>45335</v>
      </c>
      <c r="B2180" t="s">
        <v>810</v>
      </c>
      <c r="C2180" t="s">
        <v>753</v>
      </c>
      <c r="D2180">
        <v>0.33</v>
      </c>
      <c r="E2180" t="s">
        <v>910</v>
      </c>
      <c r="F2180" t="s">
        <v>754</v>
      </c>
      <c r="G2180" t="s">
        <v>2432</v>
      </c>
      <c r="H2180" t="s">
        <v>31</v>
      </c>
      <c r="I2180" s="28" t="s">
        <v>25</v>
      </c>
    </row>
    <row r="2181" spans="1:9" x14ac:dyDescent="0.3">
      <c r="A2181" s="26">
        <v>45335</v>
      </c>
      <c r="B2181" t="s">
        <v>810</v>
      </c>
      <c r="C2181" t="s">
        <v>753</v>
      </c>
      <c r="D2181">
        <v>0.5</v>
      </c>
      <c r="E2181" t="s">
        <v>815</v>
      </c>
      <c r="F2181" t="s">
        <v>772</v>
      </c>
      <c r="G2181" t="s">
        <v>2433</v>
      </c>
      <c r="H2181" t="s">
        <v>31</v>
      </c>
      <c r="I2181" s="28" t="s">
        <v>25</v>
      </c>
    </row>
    <row r="2182" spans="1:9" x14ac:dyDescent="0.3">
      <c r="A2182" s="26">
        <v>45335</v>
      </c>
      <c r="B2182" t="s">
        <v>810</v>
      </c>
      <c r="C2182" t="s">
        <v>753</v>
      </c>
      <c r="D2182">
        <v>0.75</v>
      </c>
      <c r="E2182" t="s">
        <v>563</v>
      </c>
      <c r="F2182" t="s">
        <v>772</v>
      </c>
      <c r="G2182" t="s">
        <v>2434</v>
      </c>
      <c r="H2182" t="s">
        <v>31</v>
      </c>
      <c r="I2182" s="28" t="s">
        <v>25</v>
      </c>
    </row>
    <row r="2183" spans="1:9" x14ac:dyDescent="0.3">
      <c r="A2183" s="26">
        <v>45335</v>
      </c>
      <c r="B2183" t="s">
        <v>810</v>
      </c>
      <c r="C2183" t="s">
        <v>753</v>
      </c>
      <c r="D2183">
        <v>1</v>
      </c>
      <c r="E2183" t="s">
        <v>811</v>
      </c>
      <c r="F2183" t="s">
        <v>754</v>
      </c>
      <c r="G2183" t="s">
        <v>1549</v>
      </c>
      <c r="H2183" t="s">
        <v>31</v>
      </c>
      <c r="I2183" s="28" t="s">
        <v>25</v>
      </c>
    </row>
    <row r="2184" spans="1:9" x14ac:dyDescent="0.3">
      <c r="A2184" s="26">
        <v>45335</v>
      </c>
      <c r="B2184" t="s">
        <v>810</v>
      </c>
      <c r="C2184" t="s">
        <v>753</v>
      </c>
      <c r="D2184">
        <v>1.08</v>
      </c>
      <c r="E2184" t="s">
        <v>898</v>
      </c>
      <c r="F2184" t="s">
        <v>754</v>
      </c>
      <c r="G2184" t="s">
        <v>2432</v>
      </c>
      <c r="H2184" t="s">
        <v>31</v>
      </c>
      <c r="I2184" s="28" t="s">
        <v>25</v>
      </c>
    </row>
    <row r="2185" spans="1:9" x14ac:dyDescent="0.3">
      <c r="A2185" s="26">
        <v>45335</v>
      </c>
      <c r="B2185" t="s">
        <v>810</v>
      </c>
      <c r="C2185" t="s">
        <v>753</v>
      </c>
      <c r="D2185">
        <v>1.17</v>
      </c>
      <c r="E2185" t="s">
        <v>813</v>
      </c>
      <c r="F2185" t="s">
        <v>754</v>
      </c>
      <c r="G2185" t="s">
        <v>1549</v>
      </c>
      <c r="H2185" t="s">
        <v>31</v>
      </c>
      <c r="I2185" s="28" t="s">
        <v>25</v>
      </c>
    </row>
    <row r="2186" spans="1:9" x14ac:dyDescent="0.3">
      <c r="A2186" s="26">
        <v>45335</v>
      </c>
      <c r="B2186" t="s">
        <v>810</v>
      </c>
      <c r="C2186" t="s">
        <v>771</v>
      </c>
      <c r="D2186">
        <v>0.5</v>
      </c>
      <c r="E2186" t="s">
        <v>7</v>
      </c>
      <c r="F2186" t="s">
        <v>772</v>
      </c>
      <c r="G2186" t="s">
        <v>781</v>
      </c>
      <c r="H2186" t="s">
        <v>31</v>
      </c>
      <c r="I2186" s="28" t="s">
        <v>25</v>
      </c>
    </row>
    <row r="2187" spans="1:9" x14ac:dyDescent="0.3">
      <c r="A2187" s="26">
        <v>45335</v>
      </c>
      <c r="B2187" t="s">
        <v>810</v>
      </c>
      <c r="C2187" t="s">
        <v>919</v>
      </c>
      <c r="D2187">
        <v>2.17</v>
      </c>
      <c r="E2187" t="s">
        <v>2435</v>
      </c>
      <c r="F2187" t="s">
        <v>754</v>
      </c>
      <c r="G2187" t="s">
        <v>849</v>
      </c>
      <c r="H2187" t="s">
        <v>31</v>
      </c>
      <c r="I2187" s="28" t="s">
        <v>25</v>
      </c>
    </row>
    <row r="2188" spans="1:9" x14ac:dyDescent="0.3">
      <c r="A2188" s="26">
        <v>45335</v>
      </c>
      <c r="B2188" t="s">
        <v>829</v>
      </c>
      <c r="C2188" t="s">
        <v>753</v>
      </c>
      <c r="D2188">
        <v>0.17</v>
      </c>
      <c r="E2188" t="s">
        <v>659</v>
      </c>
      <c r="F2188" t="s">
        <v>772</v>
      </c>
      <c r="G2188" t="s">
        <v>2436</v>
      </c>
      <c r="H2188" t="s">
        <v>31</v>
      </c>
      <c r="I2188" s="28" t="s">
        <v>25</v>
      </c>
    </row>
    <row r="2189" spans="1:9" x14ac:dyDescent="0.3">
      <c r="A2189" s="26">
        <v>45335</v>
      </c>
      <c r="B2189" t="s">
        <v>829</v>
      </c>
      <c r="C2189" t="s">
        <v>753</v>
      </c>
      <c r="D2189">
        <v>0.18</v>
      </c>
      <c r="E2189" t="s">
        <v>1438</v>
      </c>
      <c r="F2189" t="s">
        <v>772</v>
      </c>
      <c r="G2189" t="s">
        <v>2437</v>
      </c>
      <c r="H2189" t="s">
        <v>31</v>
      </c>
      <c r="I2189" s="28" t="s">
        <v>25</v>
      </c>
    </row>
    <row r="2190" spans="1:9" x14ac:dyDescent="0.3">
      <c r="A2190" s="26">
        <v>45335</v>
      </c>
      <c r="B2190" t="s">
        <v>829</v>
      </c>
      <c r="C2190" t="s">
        <v>753</v>
      </c>
      <c r="D2190">
        <v>0.22</v>
      </c>
      <c r="E2190" t="s">
        <v>226</v>
      </c>
      <c r="F2190" t="s">
        <v>754</v>
      </c>
      <c r="G2190" t="s">
        <v>2438</v>
      </c>
      <c r="H2190" t="s">
        <v>31</v>
      </c>
      <c r="I2190" s="28" t="s">
        <v>25</v>
      </c>
    </row>
    <row r="2191" spans="1:9" x14ac:dyDescent="0.3">
      <c r="A2191" s="26">
        <v>45335</v>
      </c>
      <c r="B2191" t="s">
        <v>829</v>
      </c>
      <c r="C2191" t="s">
        <v>753</v>
      </c>
      <c r="D2191">
        <v>0.25</v>
      </c>
      <c r="E2191" t="s">
        <v>226</v>
      </c>
      <c r="F2191" t="s">
        <v>754</v>
      </c>
      <c r="G2191" t="s">
        <v>2439</v>
      </c>
      <c r="H2191" t="s">
        <v>31</v>
      </c>
      <c r="I2191" s="28" t="s">
        <v>25</v>
      </c>
    </row>
    <row r="2192" spans="1:9" x14ac:dyDescent="0.3">
      <c r="A2192" s="26">
        <v>45335</v>
      </c>
      <c r="B2192" t="s">
        <v>829</v>
      </c>
      <c r="C2192" t="s">
        <v>753</v>
      </c>
      <c r="D2192">
        <v>0.28000000000000003</v>
      </c>
      <c r="E2192" t="s">
        <v>898</v>
      </c>
      <c r="F2192" t="s">
        <v>754</v>
      </c>
      <c r="G2192" t="s">
        <v>838</v>
      </c>
      <c r="H2192" t="s">
        <v>31</v>
      </c>
      <c r="I2192" s="28" t="s">
        <v>25</v>
      </c>
    </row>
    <row r="2193" spans="1:9" x14ac:dyDescent="0.3">
      <c r="A2193" s="26">
        <v>45335</v>
      </c>
      <c r="B2193" t="s">
        <v>829</v>
      </c>
      <c r="C2193" t="s">
        <v>753</v>
      </c>
      <c r="D2193">
        <v>0.4</v>
      </c>
      <c r="E2193" t="s">
        <v>857</v>
      </c>
      <c r="F2193" t="s">
        <v>754</v>
      </c>
      <c r="G2193" t="s">
        <v>2440</v>
      </c>
      <c r="H2193" t="s">
        <v>31</v>
      </c>
      <c r="I2193" s="28" t="s">
        <v>25</v>
      </c>
    </row>
    <row r="2194" spans="1:9" x14ac:dyDescent="0.3">
      <c r="A2194" s="26">
        <v>45335</v>
      </c>
      <c r="B2194" t="s">
        <v>829</v>
      </c>
      <c r="C2194" t="s">
        <v>753</v>
      </c>
      <c r="D2194">
        <v>0.57999999999999996</v>
      </c>
      <c r="E2194" t="s">
        <v>375</v>
      </c>
      <c r="F2194" t="s">
        <v>754</v>
      </c>
      <c r="G2194" t="s">
        <v>2441</v>
      </c>
      <c r="H2194" t="s">
        <v>31</v>
      </c>
      <c r="I2194" s="28" t="s">
        <v>25</v>
      </c>
    </row>
    <row r="2195" spans="1:9" x14ac:dyDescent="0.3">
      <c r="A2195" s="26">
        <v>45335</v>
      </c>
      <c r="B2195" t="s">
        <v>829</v>
      </c>
      <c r="C2195" t="s">
        <v>753</v>
      </c>
      <c r="D2195">
        <v>0.8</v>
      </c>
      <c r="E2195" t="s">
        <v>226</v>
      </c>
      <c r="F2195" t="s">
        <v>754</v>
      </c>
      <c r="G2195" t="s">
        <v>2442</v>
      </c>
      <c r="H2195" t="s">
        <v>31</v>
      </c>
      <c r="I2195" s="28" t="s">
        <v>25</v>
      </c>
    </row>
    <row r="2196" spans="1:9" x14ac:dyDescent="0.3">
      <c r="A2196" s="26">
        <v>45335</v>
      </c>
      <c r="B2196" t="s">
        <v>829</v>
      </c>
      <c r="C2196" t="s">
        <v>771</v>
      </c>
      <c r="D2196">
        <v>0.3</v>
      </c>
      <c r="E2196" t="s">
        <v>7</v>
      </c>
      <c r="F2196" t="s">
        <v>772</v>
      </c>
      <c r="G2196" t="s">
        <v>2443</v>
      </c>
      <c r="H2196" t="s">
        <v>31</v>
      </c>
      <c r="I2196" s="28" t="s">
        <v>25</v>
      </c>
    </row>
    <row r="2197" spans="1:9" x14ac:dyDescent="0.3">
      <c r="A2197" s="26">
        <v>45335</v>
      </c>
      <c r="B2197" t="s">
        <v>829</v>
      </c>
      <c r="C2197" t="s">
        <v>771</v>
      </c>
      <c r="D2197">
        <v>0.48</v>
      </c>
      <c r="E2197" t="s">
        <v>7</v>
      </c>
      <c r="F2197" t="s">
        <v>772</v>
      </c>
      <c r="G2197" t="s">
        <v>2444</v>
      </c>
      <c r="H2197" t="s">
        <v>31</v>
      </c>
      <c r="I2197" s="28" t="s">
        <v>25</v>
      </c>
    </row>
    <row r="2198" spans="1:9" x14ac:dyDescent="0.3">
      <c r="A2198" s="26">
        <v>45335</v>
      </c>
      <c r="B2198" t="s">
        <v>829</v>
      </c>
      <c r="C2198" t="s">
        <v>916</v>
      </c>
      <c r="D2198">
        <v>0.73</v>
      </c>
      <c r="E2198" t="s">
        <v>857</v>
      </c>
      <c r="F2198" t="s">
        <v>754</v>
      </c>
      <c r="G2198" t="s">
        <v>2445</v>
      </c>
      <c r="H2198" t="s">
        <v>31</v>
      </c>
      <c r="I2198" s="28" t="s">
        <v>25</v>
      </c>
    </row>
    <row r="2199" spans="1:9" x14ac:dyDescent="0.3">
      <c r="A2199" s="26">
        <v>45335</v>
      </c>
      <c r="B2199" t="s">
        <v>829</v>
      </c>
      <c r="C2199" t="s">
        <v>916</v>
      </c>
      <c r="D2199">
        <v>0.75</v>
      </c>
      <c r="E2199" t="s">
        <v>857</v>
      </c>
      <c r="F2199" t="s">
        <v>754</v>
      </c>
      <c r="G2199" t="s">
        <v>2446</v>
      </c>
      <c r="H2199" t="s">
        <v>31</v>
      </c>
      <c r="I2199" s="28" t="s">
        <v>25</v>
      </c>
    </row>
    <row r="2200" spans="1:9" x14ac:dyDescent="0.3">
      <c r="A2200" s="26">
        <v>45335</v>
      </c>
      <c r="B2200" t="s">
        <v>829</v>
      </c>
      <c r="C2200" t="s">
        <v>835</v>
      </c>
      <c r="D2200">
        <v>0.98</v>
      </c>
      <c r="E2200" t="s">
        <v>857</v>
      </c>
      <c r="F2200" t="s">
        <v>754</v>
      </c>
      <c r="G2200" t="s">
        <v>2447</v>
      </c>
      <c r="H2200" t="s">
        <v>31</v>
      </c>
      <c r="I2200" s="28" t="s">
        <v>25</v>
      </c>
    </row>
    <row r="2201" spans="1:9" x14ac:dyDescent="0.3">
      <c r="A2201" s="26">
        <v>45335</v>
      </c>
      <c r="B2201" t="s">
        <v>829</v>
      </c>
      <c r="C2201" t="s">
        <v>776</v>
      </c>
      <c r="D2201">
        <v>0.8</v>
      </c>
      <c r="E2201" t="s">
        <v>845</v>
      </c>
      <c r="F2201" t="s">
        <v>754</v>
      </c>
      <c r="G2201" t="s">
        <v>838</v>
      </c>
      <c r="H2201" t="s">
        <v>31</v>
      </c>
      <c r="I2201" s="28" t="s">
        <v>25</v>
      </c>
    </row>
    <row r="2202" spans="1:9" x14ac:dyDescent="0.3">
      <c r="A2202" s="26">
        <v>45335</v>
      </c>
      <c r="B2202" t="s">
        <v>829</v>
      </c>
      <c r="C2202" t="s">
        <v>776</v>
      </c>
      <c r="D2202">
        <v>1.07</v>
      </c>
      <c r="E2202" t="s">
        <v>375</v>
      </c>
      <c r="F2202" t="s">
        <v>754</v>
      </c>
      <c r="G2202" t="s">
        <v>838</v>
      </c>
      <c r="H2202" t="s">
        <v>31</v>
      </c>
      <c r="I2202" s="28" t="s">
        <v>25</v>
      </c>
    </row>
    <row r="2203" spans="1:9" x14ac:dyDescent="0.3">
      <c r="A2203" s="26">
        <v>45335</v>
      </c>
      <c r="B2203" t="s">
        <v>840</v>
      </c>
      <c r="C2203" t="s">
        <v>753</v>
      </c>
      <c r="D2203">
        <v>0.63</v>
      </c>
      <c r="E2203" t="s">
        <v>790</v>
      </c>
      <c r="F2203" t="s">
        <v>754</v>
      </c>
      <c r="G2203" t="e">
        <f>- Received raw invoices.</f>
        <v>#NAME?</v>
      </c>
      <c r="H2203" t="s">
        <v>31</v>
      </c>
      <c r="I2203" s="28" t="s">
        <v>25</v>
      </c>
    </row>
    <row r="2204" spans="1:9" x14ac:dyDescent="0.3">
      <c r="A2204" s="26">
        <v>45335</v>
      </c>
      <c r="B2204" t="s">
        <v>840</v>
      </c>
      <c r="C2204" t="s">
        <v>771</v>
      </c>
      <c r="D2204">
        <v>9</v>
      </c>
      <c r="E2204" t="s">
        <v>7</v>
      </c>
      <c r="F2204" t="s">
        <v>772</v>
      </c>
      <c r="H2204" t="s">
        <v>31</v>
      </c>
      <c r="I2204" s="28" t="s">
        <v>25</v>
      </c>
    </row>
    <row r="2205" spans="1:9" x14ac:dyDescent="0.3">
      <c r="A2205" s="26">
        <v>45335</v>
      </c>
      <c r="B2205" t="s">
        <v>843</v>
      </c>
      <c r="C2205" t="s">
        <v>753</v>
      </c>
      <c r="D2205">
        <v>0.53</v>
      </c>
      <c r="E2205" t="s">
        <v>845</v>
      </c>
      <c r="F2205" t="s">
        <v>754</v>
      </c>
      <c r="G2205" t="s">
        <v>846</v>
      </c>
      <c r="H2205" t="s">
        <v>31</v>
      </c>
      <c r="I2205" s="28" t="s">
        <v>25</v>
      </c>
    </row>
    <row r="2206" spans="1:9" x14ac:dyDescent="0.3">
      <c r="A2206" s="26">
        <v>45335</v>
      </c>
      <c r="B2206" t="s">
        <v>843</v>
      </c>
      <c r="C2206" t="s">
        <v>753</v>
      </c>
      <c r="D2206">
        <v>0.98</v>
      </c>
      <c r="E2206" t="s">
        <v>845</v>
      </c>
      <c r="F2206" t="s">
        <v>754</v>
      </c>
      <c r="G2206" t="s">
        <v>2448</v>
      </c>
      <c r="H2206" t="s">
        <v>31</v>
      </c>
      <c r="I2206" s="28" t="s">
        <v>25</v>
      </c>
    </row>
    <row r="2207" spans="1:9" x14ac:dyDescent="0.3">
      <c r="A2207" s="26">
        <v>45335</v>
      </c>
      <c r="B2207" t="s">
        <v>843</v>
      </c>
      <c r="C2207" t="s">
        <v>753</v>
      </c>
      <c r="D2207">
        <v>1</v>
      </c>
      <c r="E2207" t="s">
        <v>170</v>
      </c>
      <c r="F2207" t="s">
        <v>754</v>
      </c>
      <c r="G2207" t="s">
        <v>2449</v>
      </c>
      <c r="H2207" t="s">
        <v>31</v>
      </c>
      <c r="I2207" s="28" t="s">
        <v>25</v>
      </c>
    </row>
    <row r="2208" spans="1:9" x14ac:dyDescent="0.3">
      <c r="A2208" s="26">
        <v>45335</v>
      </c>
      <c r="B2208" t="s">
        <v>843</v>
      </c>
      <c r="C2208" t="s">
        <v>753</v>
      </c>
      <c r="D2208">
        <v>1</v>
      </c>
      <c r="E2208" t="s">
        <v>690</v>
      </c>
      <c r="F2208" t="s">
        <v>754</v>
      </c>
      <c r="G2208" t="s">
        <v>2278</v>
      </c>
      <c r="H2208" t="s">
        <v>31</v>
      </c>
      <c r="I2208" s="28" t="s">
        <v>25</v>
      </c>
    </row>
    <row r="2209" spans="1:9" x14ac:dyDescent="0.3">
      <c r="A2209" s="26">
        <v>45335</v>
      </c>
      <c r="B2209" t="s">
        <v>843</v>
      </c>
      <c r="C2209" t="s">
        <v>753</v>
      </c>
      <c r="D2209">
        <v>1.53</v>
      </c>
      <c r="E2209" t="s">
        <v>564</v>
      </c>
      <c r="F2209" t="s">
        <v>754</v>
      </c>
      <c r="G2209" t="s">
        <v>2450</v>
      </c>
      <c r="H2209" t="s">
        <v>31</v>
      </c>
      <c r="I2209" s="28" t="s">
        <v>25</v>
      </c>
    </row>
    <row r="2210" spans="1:9" x14ac:dyDescent="0.3">
      <c r="A2210" s="26">
        <v>45335</v>
      </c>
      <c r="B2210" t="s">
        <v>843</v>
      </c>
      <c r="C2210" t="s">
        <v>753</v>
      </c>
      <c r="D2210">
        <v>1.97</v>
      </c>
      <c r="E2210" t="s">
        <v>234</v>
      </c>
      <c r="F2210" t="s">
        <v>754</v>
      </c>
      <c r="G2210" t="s">
        <v>2451</v>
      </c>
      <c r="H2210" t="s">
        <v>31</v>
      </c>
      <c r="I2210" s="28" t="s">
        <v>25</v>
      </c>
    </row>
    <row r="2211" spans="1:9" x14ac:dyDescent="0.3">
      <c r="A2211" s="26">
        <v>45335</v>
      </c>
      <c r="B2211" t="s">
        <v>843</v>
      </c>
      <c r="C2211" t="s">
        <v>874</v>
      </c>
      <c r="D2211">
        <v>0.98</v>
      </c>
      <c r="E2211" t="s">
        <v>7</v>
      </c>
      <c r="F2211" t="s">
        <v>772</v>
      </c>
      <c r="G2211" t="s">
        <v>2452</v>
      </c>
      <c r="H2211" t="s">
        <v>31</v>
      </c>
      <c r="I2211" s="28" t="s">
        <v>25</v>
      </c>
    </row>
    <row r="2212" spans="1:9" x14ac:dyDescent="0.3">
      <c r="A2212" s="26">
        <v>45335</v>
      </c>
      <c r="B2212" t="s">
        <v>856</v>
      </c>
      <c r="C2212" t="s">
        <v>1163</v>
      </c>
      <c r="D2212">
        <v>8</v>
      </c>
      <c r="E2212" t="s">
        <v>7</v>
      </c>
      <c r="F2212" t="s">
        <v>772</v>
      </c>
      <c r="H2212" t="s">
        <v>31</v>
      </c>
      <c r="I2212" s="28" t="s">
        <v>25</v>
      </c>
    </row>
    <row r="2213" spans="1:9" x14ac:dyDescent="0.3">
      <c r="A2213" s="26">
        <v>45335</v>
      </c>
      <c r="B2213" t="s">
        <v>33</v>
      </c>
      <c r="C2213" t="s">
        <v>771</v>
      </c>
      <c r="D2213">
        <v>0.15</v>
      </c>
      <c r="E2213" t="s">
        <v>7</v>
      </c>
      <c r="F2213" t="s">
        <v>772</v>
      </c>
      <c r="G2213" t="s">
        <v>2453</v>
      </c>
      <c r="H2213" t="s">
        <v>31</v>
      </c>
      <c r="I2213" s="28" t="s">
        <v>25</v>
      </c>
    </row>
    <row r="2214" spans="1:9" x14ac:dyDescent="0.3">
      <c r="A2214" s="26">
        <v>45335</v>
      </c>
      <c r="B2214" t="s">
        <v>33</v>
      </c>
      <c r="C2214" t="s">
        <v>771</v>
      </c>
      <c r="D2214">
        <v>1.07</v>
      </c>
      <c r="E2214" t="s">
        <v>7</v>
      </c>
      <c r="F2214" t="s">
        <v>772</v>
      </c>
      <c r="G2214" t="s">
        <v>2454</v>
      </c>
      <c r="H2214" t="s">
        <v>31</v>
      </c>
      <c r="I2214" s="28" t="s">
        <v>25</v>
      </c>
    </row>
    <row r="2215" spans="1:9" x14ac:dyDescent="0.3">
      <c r="A2215" s="26">
        <v>45335</v>
      </c>
      <c r="B2215" t="s">
        <v>33</v>
      </c>
      <c r="C2215" t="s">
        <v>771</v>
      </c>
      <c r="D2215">
        <v>1.1299999999999999</v>
      </c>
      <c r="E2215" t="s">
        <v>7</v>
      </c>
      <c r="F2215" t="s">
        <v>772</v>
      </c>
      <c r="G2215" t="s">
        <v>2455</v>
      </c>
      <c r="H2215" t="s">
        <v>31</v>
      </c>
      <c r="I2215" s="28" t="s">
        <v>25</v>
      </c>
    </row>
    <row r="2216" spans="1:9" x14ac:dyDescent="0.3">
      <c r="A2216" s="26">
        <v>45335</v>
      </c>
      <c r="B2216" t="s">
        <v>33</v>
      </c>
      <c r="C2216" t="s">
        <v>771</v>
      </c>
      <c r="D2216">
        <v>1.28</v>
      </c>
      <c r="E2216" t="s">
        <v>7</v>
      </c>
      <c r="F2216" t="s">
        <v>772</v>
      </c>
      <c r="G2216" t="s">
        <v>2456</v>
      </c>
      <c r="H2216" t="s">
        <v>31</v>
      </c>
      <c r="I2216" s="28" t="s">
        <v>25</v>
      </c>
    </row>
    <row r="2217" spans="1:9" x14ac:dyDescent="0.3">
      <c r="A2217" s="26">
        <v>45335</v>
      </c>
      <c r="B2217" t="s">
        <v>33</v>
      </c>
      <c r="C2217" t="s">
        <v>771</v>
      </c>
      <c r="D2217">
        <v>1.72</v>
      </c>
      <c r="E2217" t="s">
        <v>7</v>
      </c>
      <c r="F2217" t="s">
        <v>772</v>
      </c>
      <c r="G2217" t="s">
        <v>2457</v>
      </c>
      <c r="H2217" t="s">
        <v>31</v>
      </c>
      <c r="I2217" s="28" t="s">
        <v>25</v>
      </c>
    </row>
    <row r="2218" spans="1:9" x14ac:dyDescent="0.3">
      <c r="A2218" s="26">
        <v>45335</v>
      </c>
      <c r="B2218" t="s">
        <v>33</v>
      </c>
      <c r="C2218" t="s">
        <v>771</v>
      </c>
      <c r="D2218">
        <v>1.82</v>
      </c>
      <c r="E2218" t="s">
        <v>7</v>
      </c>
      <c r="F2218" t="s">
        <v>772</v>
      </c>
      <c r="G2218" t="s">
        <v>2005</v>
      </c>
      <c r="H2218" t="s">
        <v>31</v>
      </c>
      <c r="I2218" s="28" t="s">
        <v>25</v>
      </c>
    </row>
    <row r="2219" spans="1:9" x14ac:dyDescent="0.3">
      <c r="A2219" s="26">
        <v>45335</v>
      </c>
      <c r="B2219" t="s">
        <v>33</v>
      </c>
      <c r="C2219" t="s">
        <v>835</v>
      </c>
      <c r="D2219">
        <v>0.13</v>
      </c>
      <c r="E2219" t="s">
        <v>654</v>
      </c>
      <c r="F2219" t="s">
        <v>754</v>
      </c>
      <c r="G2219" t="s">
        <v>2458</v>
      </c>
      <c r="H2219" t="s">
        <v>31</v>
      </c>
      <c r="I2219" s="28" t="s">
        <v>25</v>
      </c>
    </row>
    <row r="2220" spans="1:9" x14ac:dyDescent="0.3">
      <c r="A2220" s="26">
        <v>45335</v>
      </c>
      <c r="B2220" t="s">
        <v>33</v>
      </c>
      <c r="C2220" t="s">
        <v>874</v>
      </c>
      <c r="D2220">
        <v>0.72</v>
      </c>
      <c r="E2220" t="s">
        <v>7</v>
      </c>
      <c r="F2220" t="s">
        <v>772</v>
      </c>
      <c r="G2220" t="s">
        <v>2459</v>
      </c>
      <c r="H2220" t="s">
        <v>31</v>
      </c>
      <c r="I2220" s="28" t="s">
        <v>25</v>
      </c>
    </row>
    <row r="2221" spans="1:9" x14ac:dyDescent="0.3">
      <c r="A2221" s="26">
        <v>45335</v>
      </c>
      <c r="B2221" t="s">
        <v>876</v>
      </c>
      <c r="C2221" t="s">
        <v>753</v>
      </c>
      <c r="D2221">
        <v>8.0500000000000007</v>
      </c>
      <c r="E2221" t="s">
        <v>11</v>
      </c>
      <c r="F2221" t="s">
        <v>754</v>
      </c>
      <c r="H2221" t="s">
        <v>31</v>
      </c>
      <c r="I2221" s="28" t="s">
        <v>25</v>
      </c>
    </row>
    <row r="2222" spans="1:9" x14ac:dyDescent="0.3">
      <c r="A2222" s="26">
        <v>45335</v>
      </c>
      <c r="B2222" t="s">
        <v>877</v>
      </c>
      <c r="C2222" t="s">
        <v>878</v>
      </c>
      <c r="D2222">
        <v>6</v>
      </c>
      <c r="E2222" t="s">
        <v>879</v>
      </c>
      <c r="F2222" t="s">
        <v>754</v>
      </c>
      <c r="G2222" t="s">
        <v>2460</v>
      </c>
      <c r="H2222" t="s">
        <v>31</v>
      </c>
      <c r="I2222" s="28" t="s">
        <v>25</v>
      </c>
    </row>
    <row r="2223" spans="1:9" x14ac:dyDescent="0.3">
      <c r="A2223" s="26">
        <v>45335</v>
      </c>
      <c r="B2223" t="s">
        <v>884</v>
      </c>
      <c r="C2223" t="s">
        <v>753</v>
      </c>
      <c r="D2223">
        <v>0.12</v>
      </c>
      <c r="E2223" t="s">
        <v>646</v>
      </c>
      <c r="F2223" t="s">
        <v>754</v>
      </c>
      <c r="H2223" t="s">
        <v>31</v>
      </c>
      <c r="I2223" s="28" t="s">
        <v>25</v>
      </c>
    </row>
    <row r="2224" spans="1:9" x14ac:dyDescent="0.3">
      <c r="A2224" s="26">
        <v>45335</v>
      </c>
      <c r="B2224" t="s">
        <v>884</v>
      </c>
      <c r="C2224" t="s">
        <v>753</v>
      </c>
      <c r="D2224">
        <v>0.56999999999999995</v>
      </c>
      <c r="E2224" t="s">
        <v>316</v>
      </c>
      <c r="F2224" t="s">
        <v>754</v>
      </c>
      <c r="H2224" t="s">
        <v>31</v>
      </c>
      <c r="I2224" s="28" t="s">
        <v>25</v>
      </c>
    </row>
    <row r="2225" spans="1:9" x14ac:dyDescent="0.3">
      <c r="A2225" s="26">
        <v>45335</v>
      </c>
      <c r="B2225" t="s">
        <v>884</v>
      </c>
      <c r="C2225" t="s">
        <v>753</v>
      </c>
      <c r="D2225">
        <v>0.65</v>
      </c>
      <c r="E2225" t="s">
        <v>248</v>
      </c>
      <c r="F2225" t="s">
        <v>754</v>
      </c>
      <c r="G2225" t="s">
        <v>2461</v>
      </c>
      <c r="H2225" t="s">
        <v>31</v>
      </c>
      <c r="I2225" s="28" t="s">
        <v>25</v>
      </c>
    </row>
    <row r="2226" spans="1:9" x14ac:dyDescent="0.3">
      <c r="A2226" s="26">
        <v>45335</v>
      </c>
      <c r="B2226" t="s">
        <v>884</v>
      </c>
      <c r="C2226" t="s">
        <v>753</v>
      </c>
      <c r="D2226">
        <v>1.2</v>
      </c>
      <c r="E2226" t="s">
        <v>885</v>
      </c>
      <c r="F2226" t="s">
        <v>754</v>
      </c>
      <c r="G2226" t="s">
        <v>2462</v>
      </c>
      <c r="H2226" t="s">
        <v>31</v>
      </c>
      <c r="I2226" s="28" t="s">
        <v>25</v>
      </c>
    </row>
    <row r="2227" spans="1:9" x14ac:dyDescent="0.3">
      <c r="A2227" s="26">
        <v>45335</v>
      </c>
      <c r="B2227" t="s">
        <v>884</v>
      </c>
      <c r="C2227" t="s">
        <v>753</v>
      </c>
      <c r="D2227">
        <v>1.27</v>
      </c>
      <c r="E2227" t="s">
        <v>562</v>
      </c>
      <c r="F2227" t="s">
        <v>754</v>
      </c>
      <c r="H2227" t="s">
        <v>31</v>
      </c>
      <c r="I2227" s="28" t="s">
        <v>25</v>
      </c>
    </row>
    <row r="2228" spans="1:9" x14ac:dyDescent="0.3">
      <c r="A2228" s="26">
        <v>45335</v>
      </c>
      <c r="B2228" t="s">
        <v>884</v>
      </c>
      <c r="C2228" t="s">
        <v>753</v>
      </c>
      <c r="D2228">
        <v>1.37</v>
      </c>
      <c r="E2228" t="s">
        <v>375</v>
      </c>
      <c r="F2228" t="s">
        <v>754</v>
      </c>
      <c r="G2228" t="s">
        <v>2463</v>
      </c>
      <c r="H2228" t="s">
        <v>31</v>
      </c>
      <c r="I2228" s="28" t="s">
        <v>25</v>
      </c>
    </row>
    <row r="2229" spans="1:9" x14ac:dyDescent="0.3">
      <c r="A2229" s="26">
        <v>45335</v>
      </c>
      <c r="B2229" t="s">
        <v>884</v>
      </c>
      <c r="C2229" t="s">
        <v>753</v>
      </c>
      <c r="D2229">
        <v>1.38</v>
      </c>
      <c r="E2229" t="s">
        <v>562</v>
      </c>
      <c r="F2229" t="s">
        <v>754</v>
      </c>
      <c r="G2229" t="s">
        <v>2464</v>
      </c>
      <c r="H2229" t="s">
        <v>31</v>
      </c>
      <c r="I2229" s="28" t="s">
        <v>25</v>
      </c>
    </row>
    <row r="2230" spans="1:9" x14ac:dyDescent="0.3">
      <c r="A2230" s="26">
        <v>45335</v>
      </c>
      <c r="B2230" t="s">
        <v>884</v>
      </c>
      <c r="C2230" t="s">
        <v>753</v>
      </c>
      <c r="D2230">
        <v>1.47</v>
      </c>
      <c r="E2230" t="s">
        <v>375</v>
      </c>
      <c r="F2230" t="s">
        <v>754</v>
      </c>
      <c r="H2230" t="s">
        <v>31</v>
      </c>
      <c r="I2230" s="28" t="s">
        <v>25</v>
      </c>
    </row>
    <row r="2231" spans="1:9" x14ac:dyDescent="0.3">
      <c r="A2231" s="26">
        <v>45335</v>
      </c>
      <c r="B2231" t="s">
        <v>891</v>
      </c>
      <c r="C2231" t="s">
        <v>802</v>
      </c>
      <c r="D2231">
        <v>8</v>
      </c>
      <c r="E2231" t="s">
        <v>7</v>
      </c>
      <c r="F2231" t="s">
        <v>772</v>
      </c>
      <c r="G2231" t="s">
        <v>892</v>
      </c>
      <c r="H2231" t="s">
        <v>31</v>
      </c>
      <c r="I2231" s="28" t="s">
        <v>25</v>
      </c>
    </row>
    <row r="2232" spans="1:9" x14ac:dyDescent="0.3">
      <c r="A2232" s="26">
        <v>45335</v>
      </c>
      <c r="B2232" t="s">
        <v>34</v>
      </c>
      <c r="C2232" t="s">
        <v>802</v>
      </c>
      <c r="D2232">
        <v>8</v>
      </c>
      <c r="E2232" t="s">
        <v>7</v>
      </c>
      <c r="F2232" t="s">
        <v>772</v>
      </c>
      <c r="H2232" t="s">
        <v>31</v>
      </c>
      <c r="I2232" s="28" t="s">
        <v>25</v>
      </c>
    </row>
    <row r="2233" spans="1:9" x14ac:dyDescent="0.3">
      <c r="A2233" s="26">
        <v>45335</v>
      </c>
      <c r="B2233" t="s">
        <v>893</v>
      </c>
      <c r="C2233" t="s">
        <v>802</v>
      </c>
      <c r="D2233">
        <v>8</v>
      </c>
      <c r="E2233" t="s">
        <v>7</v>
      </c>
      <c r="F2233" t="s">
        <v>772</v>
      </c>
      <c r="G2233" t="s">
        <v>2465</v>
      </c>
      <c r="H2233" t="s">
        <v>31</v>
      </c>
      <c r="I2233" s="28" t="s">
        <v>25</v>
      </c>
    </row>
    <row r="2234" spans="1:9" x14ac:dyDescent="0.3">
      <c r="A2234" s="26">
        <v>45335</v>
      </c>
      <c r="B2234" t="s">
        <v>895</v>
      </c>
      <c r="C2234" t="s">
        <v>753</v>
      </c>
      <c r="D2234">
        <v>0.33</v>
      </c>
      <c r="E2234" t="s">
        <v>898</v>
      </c>
      <c r="F2234" t="s">
        <v>754</v>
      </c>
      <c r="G2234" t="s">
        <v>2466</v>
      </c>
      <c r="H2234" t="s">
        <v>31</v>
      </c>
      <c r="I2234" s="28" t="s">
        <v>25</v>
      </c>
    </row>
    <row r="2235" spans="1:9" x14ac:dyDescent="0.3">
      <c r="A2235" s="26">
        <v>45335</v>
      </c>
      <c r="B2235" t="s">
        <v>895</v>
      </c>
      <c r="C2235" t="s">
        <v>771</v>
      </c>
      <c r="D2235">
        <v>0.2</v>
      </c>
      <c r="E2235" t="s">
        <v>7</v>
      </c>
      <c r="F2235" t="s">
        <v>772</v>
      </c>
      <c r="G2235" t="s">
        <v>760</v>
      </c>
      <c r="H2235" t="s">
        <v>31</v>
      </c>
      <c r="I2235" s="28" t="s">
        <v>25</v>
      </c>
    </row>
    <row r="2236" spans="1:9" x14ac:dyDescent="0.3">
      <c r="A2236" s="26">
        <v>45335</v>
      </c>
      <c r="B2236" t="s">
        <v>895</v>
      </c>
      <c r="C2236" t="s">
        <v>771</v>
      </c>
      <c r="D2236">
        <v>0.33</v>
      </c>
      <c r="E2236" t="s">
        <v>7</v>
      </c>
      <c r="F2236" t="s">
        <v>772</v>
      </c>
      <c r="G2236" t="s">
        <v>2467</v>
      </c>
      <c r="H2236" t="s">
        <v>31</v>
      </c>
      <c r="I2236" s="28" t="s">
        <v>25</v>
      </c>
    </row>
    <row r="2237" spans="1:9" x14ac:dyDescent="0.3">
      <c r="A2237" s="26">
        <v>45335</v>
      </c>
      <c r="B2237" t="s">
        <v>895</v>
      </c>
      <c r="C2237" t="s">
        <v>916</v>
      </c>
      <c r="D2237">
        <v>0.45</v>
      </c>
      <c r="E2237" t="s">
        <v>813</v>
      </c>
      <c r="F2237" t="s">
        <v>754</v>
      </c>
      <c r="G2237" t="s">
        <v>2468</v>
      </c>
      <c r="H2237" t="s">
        <v>31</v>
      </c>
      <c r="I2237" s="28" t="s">
        <v>25</v>
      </c>
    </row>
    <row r="2238" spans="1:9" x14ac:dyDescent="0.3">
      <c r="A2238" s="26">
        <v>45335</v>
      </c>
      <c r="B2238" t="s">
        <v>895</v>
      </c>
      <c r="C2238" t="s">
        <v>874</v>
      </c>
      <c r="D2238">
        <v>1.25</v>
      </c>
      <c r="E2238" t="s">
        <v>7</v>
      </c>
      <c r="F2238" t="s">
        <v>772</v>
      </c>
      <c r="G2238" t="s">
        <v>2469</v>
      </c>
      <c r="H2238" t="s">
        <v>31</v>
      </c>
      <c r="I2238" s="28" t="s">
        <v>25</v>
      </c>
    </row>
    <row r="2239" spans="1:9" x14ac:dyDescent="0.3">
      <c r="A2239" s="26">
        <v>45335</v>
      </c>
      <c r="B2239" t="s">
        <v>895</v>
      </c>
      <c r="C2239" t="s">
        <v>919</v>
      </c>
      <c r="D2239">
        <v>0.32</v>
      </c>
      <c r="E2239" t="s">
        <v>879</v>
      </c>
      <c r="F2239" t="s">
        <v>754</v>
      </c>
      <c r="G2239" t="s">
        <v>2470</v>
      </c>
      <c r="H2239" t="s">
        <v>31</v>
      </c>
      <c r="I2239" s="28" t="s">
        <v>25</v>
      </c>
    </row>
    <row r="2240" spans="1:9" x14ac:dyDescent="0.3">
      <c r="A2240" s="26">
        <v>45335</v>
      </c>
      <c r="B2240" t="s">
        <v>895</v>
      </c>
      <c r="C2240" t="s">
        <v>919</v>
      </c>
      <c r="D2240">
        <v>0.35</v>
      </c>
      <c r="E2240" t="s">
        <v>879</v>
      </c>
      <c r="F2240" t="s">
        <v>754</v>
      </c>
      <c r="G2240" t="s">
        <v>2471</v>
      </c>
      <c r="H2240" t="s">
        <v>31</v>
      </c>
      <c r="I2240" s="28" t="s">
        <v>25</v>
      </c>
    </row>
    <row r="2241" spans="1:9" x14ac:dyDescent="0.3">
      <c r="A2241" s="26">
        <v>45335</v>
      </c>
      <c r="B2241" t="s">
        <v>895</v>
      </c>
      <c r="C2241" t="s">
        <v>919</v>
      </c>
      <c r="D2241">
        <v>0.5</v>
      </c>
      <c r="E2241" t="s">
        <v>879</v>
      </c>
      <c r="F2241" t="s">
        <v>754</v>
      </c>
      <c r="G2241" t="s">
        <v>2472</v>
      </c>
      <c r="H2241" t="s">
        <v>31</v>
      </c>
      <c r="I2241" s="28" t="s">
        <v>25</v>
      </c>
    </row>
    <row r="2242" spans="1:9" x14ac:dyDescent="0.3">
      <c r="A2242" s="26">
        <v>45335</v>
      </c>
      <c r="B2242" t="s">
        <v>895</v>
      </c>
      <c r="C2242" t="s">
        <v>919</v>
      </c>
      <c r="D2242">
        <v>2.0499999999999998</v>
      </c>
      <c r="E2242" t="s">
        <v>879</v>
      </c>
      <c r="F2242" t="s">
        <v>754</v>
      </c>
      <c r="G2242" t="s">
        <v>2473</v>
      </c>
      <c r="H2242" t="s">
        <v>31</v>
      </c>
      <c r="I2242" s="28" t="s">
        <v>25</v>
      </c>
    </row>
    <row r="2243" spans="1:9" x14ac:dyDescent="0.3">
      <c r="A2243" s="26">
        <v>45335</v>
      </c>
      <c r="B2243" t="s">
        <v>895</v>
      </c>
      <c r="C2243" t="s">
        <v>776</v>
      </c>
      <c r="D2243">
        <v>0.15</v>
      </c>
      <c r="E2243" t="s">
        <v>879</v>
      </c>
      <c r="F2243" t="s">
        <v>754</v>
      </c>
      <c r="G2243" t="s">
        <v>2474</v>
      </c>
      <c r="H2243" t="s">
        <v>31</v>
      </c>
      <c r="I2243" s="28" t="s">
        <v>25</v>
      </c>
    </row>
    <row r="2244" spans="1:9" x14ac:dyDescent="0.3">
      <c r="A2244" s="26">
        <v>45335</v>
      </c>
      <c r="B2244" t="s">
        <v>895</v>
      </c>
      <c r="C2244" t="s">
        <v>776</v>
      </c>
      <c r="D2244">
        <v>0.3</v>
      </c>
      <c r="E2244" t="s">
        <v>910</v>
      </c>
      <c r="F2244" t="s">
        <v>754</v>
      </c>
      <c r="G2244" t="s">
        <v>2475</v>
      </c>
      <c r="H2244" t="s">
        <v>31</v>
      </c>
      <c r="I2244" s="28" t="s">
        <v>25</v>
      </c>
    </row>
    <row r="2245" spans="1:9" x14ac:dyDescent="0.3">
      <c r="A2245" s="26">
        <v>45335</v>
      </c>
      <c r="B2245" t="s">
        <v>895</v>
      </c>
      <c r="C2245" t="s">
        <v>776</v>
      </c>
      <c r="D2245">
        <v>1.45</v>
      </c>
      <c r="E2245" t="s">
        <v>922</v>
      </c>
      <c r="F2245" t="s">
        <v>754</v>
      </c>
      <c r="G2245" t="s">
        <v>2476</v>
      </c>
      <c r="H2245" t="s">
        <v>31</v>
      </c>
      <c r="I2245" s="28" t="s">
        <v>25</v>
      </c>
    </row>
    <row r="2246" spans="1:9" x14ac:dyDescent="0.3">
      <c r="A2246" s="26">
        <v>45335</v>
      </c>
      <c r="B2246" t="s">
        <v>1391</v>
      </c>
      <c r="C2246" t="s">
        <v>771</v>
      </c>
      <c r="D2246">
        <v>0.17</v>
      </c>
      <c r="E2246" t="s">
        <v>7</v>
      </c>
      <c r="F2246" t="s">
        <v>772</v>
      </c>
      <c r="G2246" t="s">
        <v>2477</v>
      </c>
      <c r="H2246" t="s">
        <v>31</v>
      </c>
      <c r="I2246" s="28" t="s">
        <v>25</v>
      </c>
    </row>
    <row r="2247" spans="1:9" x14ac:dyDescent="0.3">
      <c r="A2247" s="26">
        <v>45335</v>
      </c>
      <c r="B2247" t="s">
        <v>1391</v>
      </c>
      <c r="C2247" t="s">
        <v>874</v>
      </c>
      <c r="D2247">
        <v>0.08</v>
      </c>
      <c r="E2247" t="s">
        <v>7</v>
      </c>
      <c r="F2247" t="s">
        <v>772</v>
      </c>
      <c r="G2247" t="s">
        <v>2478</v>
      </c>
      <c r="H2247" t="s">
        <v>31</v>
      </c>
      <c r="I2247" s="28" t="s">
        <v>25</v>
      </c>
    </row>
    <row r="2248" spans="1:9" x14ac:dyDescent="0.3">
      <c r="A2248" s="26">
        <v>45335</v>
      </c>
      <c r="B2248" t="s">
        <v>1391</v>
      </c>
      <c r="C2248" t="s">
        <v>1094</v>
      </c>
      <c r="D2248">
        <v>0.33</v>
      </c>
      <c r="E2248" t="s">
        <v>455</v>
      </c>
      <c r="F2248" t="s">
        <v>754</v>
      </c>
      <c r="G2248" t="s">
        <v>2479</v>
      </c>
      <c r="H2248" t="s">
        <v>31</v>
      </c>
      <c r="I2248" s="28" t="s">
        <v>25</v>
      </c>
    </row>
    <row r="2249" spans="1:9" x14ac:dyDescent="0.3">
      <c r="A2249" s="26">
        <v>45335</v>
      </c>
      <c r="B2249" t="s">
        <v>1391</v>
      </c>
      <c r="C2249" t="s">
        <v>1094</v>
      </c>
      <c r="D2249">
        <v>0.5</v>
      </c>
      <c r="E2249" t="s">
        <v>455</v>
      </c>
      <c r="F2249" t="s">
        <v>754</v>
      </c>
      <c r="G2249" t="s">
        <v>2480</v>
      </c>
      <c r="H2249" t="s">
        <v>31</v>
      </c>
      <c r="I2249" s="28" t="s">
        <v>25</v>
      </c>
    </row>
    <row r="2250" spans="1:9" x14ac:dyDescent="0.3">
      <c r="A2250" s="26">
        <v>45335</v>
      </c>
      <c r="B2250" t="s">
        <v>1391</v>
      </c>
      <c r="C2250" t="s">
        <v>1094</v>
      </c>
      <c r="D2250">
        <v>1.25</v>
      </c>
      <c r="E2250" t="s">
        <v>455</v>
      </c>
      <c r="F2250" t="s">
        <v>754</v>
      </c>
      <c r="G2250" t="s">
        <v>2481</v>
      </c>
      <c r="H2250" t="s">
        <v>31</v>
      </c>
      <c r="I2250" s="28" t="s">
        <v>25</v>
      </c>
    </row>
    <row r="2251" spans="1:9" x14ac:dyDescent="0.3">
      <c r="A2251" s="26">
        <v>45335</v>
      </c>
      <c r="B2251" t="s">
        <v>1391</v>
      </c>
      <c r="C2251" t="s">
        <v>1094</v>
      </c>
      <c r="D2251">
        <v>1.5</v>
      </c>
      <c r="E2251" t="s">
        <v>455</v>
      </c>
      <c r="F2251" t="s">
        <v>754</v>
      </c>
      <c r="G2251" t="s">
        <v>2321</v>
      </c>
      <c r="H2251" t="s">
        <v>31</v>
      </c>
      <c r="I2251" s="28" t="s">
        <v>25</v>
      </c>
    </row>
    <row r="2252" spans="1:9" x14ac:dyDescent="0.3">
      <c r="A2252" s="26">
        <v>45335</v>
      </c>
      <c r="B2252" t="s">
        <v>929</v>
      </c>
      <c r="C2252" t="s">
        <v>789</v>
      </c>
      <c r="D2252">
        <v>0.05</v>
      </c>
      <c r="E2252" t="s">
        <v>479</v>
      </c>
      <c r="F2252" t="s">
        <v>754</v>
      </c>
      <c r="G2252" t="s">
        <v>2482</v>
      </c>
      <c r="H2252" t="s">
        <v>31</v>
      </c>
      <c r="I2252" s="28" t="s">
        <v>25</v>
      </c>
    </row>
    <row r="2253" spans="1:9" x14ac:dyDescent="0.3">
      <c r="A2253" s="26">
        <v>45335</v>
      </c>
      <c r="B2253" t="s">
        <v>929</v>
      </c>
      <c r="C2253" t="s">
        <v>789</v>
      </c>
      <c r="D2253">
        <v>7.0000000000000007E-2</v>
      </c>
      <c r="E2253" t="s">
        <v>626</v>
      </c>
      <c r="F2253" t="s">
        <v>754</v>
      </c>
      <c r="G2253" t="s">
        <v>2482</v>
      </c>
      <c r="H2253" t="s">
        <v>31</v>
      </c>
      <c r="I2253" s="28" t="s">
        <v>25</v>
      </c>
    </row>
    <row r="2254" spans="1:9" x14ac:dyDescent="0.3">
      <c r="A2254" s="26">
        <v>45335</v>
      </c>
      <c r="B2254" t="s">
        <v>929</v>
      </c>
      <c r="C2254" t="s">
        <v>789</v>
      </c>
      <c r="D2254">
        <v>7.0000000000000007E-2</v>
      </c>
      <c r="E2254" t="s">
        <v>630</v>
      </c>
      <c r="F2254" t="s">
        <v>754</v>
      </c>
      <c r="G2254" t="s">
        <v>2483</v>
      </c>
      <c r="H2254" t="s">
        <v>31</v>
      </c>
      <c r="I2254" s="28" t="s">
        <v>25</v>
      </c>
    </row>
    <row r="2255" spans="1:9" x14ac:dyDescent="0.3">
      <c r="A2255" s="26">
        <v>45335</v>
      </c>
      <c r="B2255" t="s">
        <v>929</v>
      </c>
      <c r="C2255" t="s">
        <v>789</v>
      </c>
      <c r="D2255">
        <v>0.22</v>
      </c>
      <c r="E2255" t="s">
        <v>827</v>
      </c>
      <c r="F2255" t="s">
        <v>754</v>
      </c>
      <c r="G2255" t="s">
        <v>2484</v>
      </c>
      <c r="H2255" t="s">
        <v>31</v>
      </c>
      <c r="I2255" s="28" t="s">
        <v>25</v>
      </c>
    </row>
    <row r="2256" spans="1:9" x14ac:dyDescent="0.3">
      <c r="A2256" s="26">
        <v>45335</v>
      </c>
      <c r="B2256" t="s">
        <v>929</v>
      </c>
      <c r="C2256" t="s">
        <v>789</v>
      </c>
      <c r="D2256">
        <v>0.28000000000000003</v>
      </c>
      <c r="E2256" t="s">
        <v>1046</v>
      </c>
      <c r="F2256" t="s">
        <v>772</v>
      </c>
      <c r="G2256" t="s">
        <v>2485</v>
      </c>
      <c r="H2256" t="s">
        <v>31</v>
      </c>
      <c r="I2256" s="28" t="s">
        <v>25</v>
      </c>
    </row>
    <row r="2257" spans="1:9" x14ac:dyDescent="0.3">
      <c r="A2257" s="26">
        <v>45335</v>
      </c>
      <c r="B2257" t="s">
        <v>929</v>
      </c>
      <c r="C2257" t="s">
        <v>789</v>
      </c>
      <c r="D2257">
        <v>0.48</v>
      </c>
      <c r="E2257" t="s">
        <v>1150</v>
      </c>
      <c r="F2257" t="s">
        <v>772</v>
      </c>
      <c r="G2257" t="s">
        <v>2486</v>
      </c>
      <c r="H2257" t="s">
        <v>31</v>
      </c>
      <c r="I2257" s="28" t="s">
        <v>25</v>
      </c>
    </row>
    <row r="2258" spans="1:9" x14ac:dyDescent="0.3">
      <c r="A2258" s="26">
        <v>45335</v>
      </c>
      <c r="B2258" t="s">
        <v>929</v>
      </c>
      <c r="C2258" t="s">
        <v>789</v>
      </c>
      <c r="D2258">
        <v>0.5</v>
      </c>
      <c r="E2258" t="s">
        <v>7</v>
      </c>
      <c r="F2258" t="s">
        <v>772</v>
      </c>
      <c r="G2258" t="s">
        <v>2487</v>
      </c>
      <c r="H2258" t="s">
        <v>31</v>
      </c>
      <c r="I2258" s="28" t="s">
        <v>25</v>
      </c>
    </row>
    <row r="2259" spans="1:9" x14ac:dyDescent="0.3">
      <c r="A2259" s="26">
        <v>45335</v>
      </c>
      <c r="B2259" t="s">
        <v>929</v>
      </c>
      <c r="C2259" t="s">
        <v>789</v>
      </c>
      <c r="D2259">
        <v>0.63</v>
      </c>
      <c r="E2259" t="s">
        <v>1150</v>
      </c>
      <c r="F2259" t="s">
        <v>754</v>
      </c>
      <c r="G2259" t="s">
        <v>2488</v>
      </c>
      <c r="H2259" t="s">
        <v>31</v>
      </c>
      <c r="I2259" s="28" t="s">
        <v>25</v>
      </c>
    </row>
    <row r="2260" spans="1:9" x14ac:dyDescent="0.3">
      <c r="A2260" s="26">
        <v>45335</v>
      </c>
      <c r="B2260" t="s">
        <v>929</v>
      </c>
      <c r="C2260" t="s">
        <v>771</v>
      </c>
      <c r="D2260">
        <v>0.08</v>
      </c>
      <c r="E2260" t="s">
        <v>7</v>
      </c>
      <c r="F2260" t="s">
        <v>772</v>
      </c>
      <c r="G2260" t="s">
        <v>1404</v>
      </c>
      <c r="H2260" t="s">
        <v>31</v>
      </c>
      <c r="I2260" s="28" t="s">
        <v>25</v>
      </c>
    </row>
    <row r="2261" spans="1:9" x14ac:dyDescent="0.3">
      <c r="A2261" s="26">
        <v>45335</v>
      </c>
      <c r="B2261" t="s">
        <v>929</v>
      </c>
      <c r="C2261" t="s">
        <v>771</v>
      </c>
      <c r="D2261">
        <v>0.15</v>
      </c>
      <c r="E2261" t="s">
        <v>7</v>
      </c>
      <c r="F2261" t="s">
        <v>772</v>
      </c>
      <c r="G2261" t="s">
        <v>2489</v>
      </c>
      <c r="H2261" t="s">
        <v>31</v>
      </c>
      <c r="I2261" s="28" t="s">
        <v>25</v>
      </c>
    </row>
    <row r="2262" spans="1:9" x14ac:dyDescent="0.3">
      <c r="A2262" s="26">
        <v>45335</v>
      </c>
      <c r="B2262" t="s">
        <v>929</v>
      </c>
      <c r="C2262" t="s">
        <v>771</v>
      </c>
      <c r="D2262">
        <v>0.25</v>
      </c>
      <c r="E2262" t="s">
        <v>7</v>
      </c>
      <c r="F2262" t="s">
        <v>772</v>
      </c>
      <c r="G2262" t="s">
        <v>2490</v>
      </c>
      <c r="H2262" t="s">
        <v>31</v>
      </c>
      <c r="I2262" s="28" t="s">
        <v>25</v>
      </c>
    </row>
    <row r="2263" spans="1:9" x14ac:dyDescent="0.3">
      <c r="A2263" s="26">
        <v>45335</v>
      </c>
      <c r="B2263" t="s">
        <v>929</v>
      </c>
      <c r="C2263" t="s">
        <v>771</v>
      </c>
      <c r="D2263">
        <v>0.25</v>
      </c>
      <c r="E2263" t="s">
        <v>7</v>
      </c>
      <c r="F2263" t="s">
        <v>772</v>
      </c>
      <c r="G2263" t="s">
        <v>2053</v>
      </c>
      <c r="H2263" t="s">
        <v>31</v>
      </c>
      <c r="I2263" s="28" t="s">
        <v>25</v>
      </c>
    </row>
    <row r="2264" spans="1:9" x14ac:dyDescent="0.3">
      <c r="A2264" s="26">
        <v>45335</v>
      </c>
      <c r="B2264" t="s">
        <v>929</v>
      </c>
      <c r="C2264" t="s">
        <v>771</v>
      </c>
      <c r="D2264">
        <v>0.73</v>
      </c>
      <c r="E2264" t="s">
        <v>7</v>
      </c>
      <c r="F2264" t="s">
        <v>772</v>
      </c>
      <c r="G2264" t="s">
        <v>2491</v>
      </c>
      <c r="H2264" t="s">
        <v>31</v>
      </c>
      <c r="I2264" s="28" t="s">
        <v>25</v>
      </c>
    </row>
    <row r="2265" spans="1:9" x14ac:dyDescent="0.3">
      <c r="A2265" s="26">
        <v>45335</v>
      </c>
      <c r="B2265" t="s">
        <v>929</v>
      </c>
      <c r="C2265" t="s">
        <v>1441</v>
      </c>
      <c r="D2265">
        <v>0.1</v>
      </c>
      <c r="E2265" t="s">
        <v>1013</v>
      </c>
      <c r="F2265" t="s">
        <v>754</v>
      </c>
      <c r="G2265" t="s">
        <v>2492</v>
      </c>
      <c r="H2265" t="s">
        <v>31</v>
      </c>
      <c r="I2265" s="28" t="s">
        <v>25</v>
      </c>
    </row>
    <row r="2266" spans="1:9" x14ac:dyDescent="0.3">
      <c r="A2266" s="26">
        <v>45335</v>
      </c>
      <c r="B2266" t="s">
        <v>929</v>
      </c>
      <c r="C2266" t="s">
        <v>1441</v>
      </c>
      <c r="D2266">
        <v>1.17</v>
      </c>
      <c r="E2266" t="s">
        <v>827</v>
      </c>
      <c r="F2266" t="s">
        <v>754</v>
      </c>
      <c r="G2266" t="s">
        <v>2493</v>
      </c>
      <c r="H2266" t="s">
        <v>31</v>
      </c>
      <c r="I2266" s="28" t="s">
        <v>25</v>
      </c>
    </row>
    <row r="2267" spans="1:9" x14ac:dyDescent="0.3">
      <c r="A2267" s="26">
        <v>45335</v>
      </c>
      <c r="B2267" t="s">
        <v>929</v>
      </c>
      <c r="C2267" t="s">
        <v>916</v>
      </c>
      <c r="D2267">
        <v>0.1</v>
      </c>
      <c r="E2267" t="s">
        <v>1273</v>
      </c>
      <c r="F2267" t="s">
        <v>754</v>
      </c>
      <c r="G2267" t="s">
        <v>2494</v>
      </c>
      <c r="H2267" t="s">
        <v>31</v>
      </c>
      <c r="I2267" s="28" t="s">
        <v>25</v>
      </c>
    </row>
    <row r="2268" spans="1:9" x14ac:dyDescent="0.3">
      <c r="A2268" s="26">
        <v>45335</v>
      </c>
      <c r="B2268" t="s">
        <v>929</v>
      </c>
      <c r="C2268" t="s">
        <v>916</v>
      </c>
      <c r="D2268">
        <v>0.13</v>
      </c>
      <c r="E2268" t="s">
        <v>1273</v>
      </c>
      <c r="F2268" t="s">
        <v>754</v>
      </c>
      <c r="H2268" t="s">
        <v>31</v>
      </c>
      <c r="I2268" s="28" t="s">
        <v>25</v>
      </c>
    </row>
    <row r="2269" spans="1:9" x14ac:dyDescent="0.3">
      <c r="A2269" s="26">
        <v>45335</v>
      </c>
      <c r="B2269" t="s">
        <v>929</v>
      </c>
      <c r="C2269" t="s">
        <v>916</v>
      </c>
      <c r="D2269">
        <v>0.28000000000000003</v>
      </c>
      <c r="E2269" t="s">
        <v>964</v>
      </c>
      <c r="F2269" t="s">
        <v>754</v>
      </c>
      <c r="G2269" t="s">
        <v>2495</v>
      </c>
      <c r="H2269" t="s">
        <v>31</v>
      </c>
      <c r="I2269" s="28" t="s">
        <v>25</v>
      </c>
    </row>
    <row r="2270" spans="1:9" x14ac:dyDescent="0.3">
      <c r="A2270" s="26">
        <v>45335</v>
      </c>
      <c r="B2270" t="s">
        <v>929</v>
      </c>
      <c r="C2270" t="s">
        <v>916</v>
      </c>
      <c r="D2270">
        <v>0.38</v>
      </c>
      <c r="E2270" t="s">
        <v>2496</v>
      </c>
      <c r="F2270" t="s">
        <v>754</v>
      </c>
      <c r="G2270" t="s">
        <v>2497</v>
      </c>
      <c r="H2270" t="s">
        <v>31</v>
      </c>
      <c r="I2270" s="28" t="s">
        <v>25</v>
      </c>
    </row>
    <row r="2271" spans="1:9" x14ac:dyDescent="0.3">
      <c r="A2271" s="26">
        <v>45335</v>
      </c>
      <c r="B2271" t="s">
        <v>929</v>
      </c>
      <c r="C2271" t="s">
        <v>834</v>
      </c>
      <c r="D2271">
        <v>0.52</v>
      </c>
      <c r="E2271" t="s">
        <v>7</v>
      </c>
      <c r="F2271" t="s">
        <v>772</v>
      </c>
      <c r="G2271" t="s">
        <v>2498</v>
      </c>
      <c r="H2271" t="s">
        <v>31</v>
      </c>
      <c r="I2271" s="28" t="s">
        <v>25</v>
      </c>
    </row>
    <row r="2272" spans="1:9" x14ac:dyDescent="0.3">
      <c r="A2272" s="26">
        <v>45335</v>
      </c>
      <c r="B2272" t="s">
        <v>929</v>
      </c>
      <c r="C2272" t="s">
        <v>874</v>
      </c>
      <c r="D2272">
        <v>0.18</v>
      </c>
      <c r="E2272" t="s">
        <v>7</v>
      </c>
      <c r="F2272" t="s">
        <v>772</v>
      </c>
      <c r="G2272" t="s">
        <v>2499</v>
      </c>
      <c r="H2272" t="s">
        <v>31</v>
      </c>
      <c r="I2272" s="28" t="s">
        <v>25</v>
      </c>
    </row>
    <row r="2273" spans="1:9" x14ac:dyDescent="0.3">
      <c r="A2273" s="26">
        <v>45335</v>
      </c>
      <c r="B2273" t="s">
        <v>929</v>
      </c>
      <c r="C2273" t="s">
        <v>874</v>
      </c>
      <c r="D2273">
        <v>1.23</v>
      </c>
      <c r="E2273" t="s">
        <v>7</v>
      </c>
      <c r="F2273" t="s">
        <v>772</v>
      </c>
      <c r="G2273" t="s">
        <v>2500</v>
      </c>
      <c r="H2273" t="s">
        <v>31</v>
      </c>
      <c r="I2273" s="28" t="s">
        <v>25</v>
      </c>
    </row>
    <row r="2274" spans="1:9" x14ac:dyDescent="0.3">
      <c r="A2274" s="26">
        <v>45335</v>
      </c>
      <c r="B2274" t="s">
        <v>929</v>
      </c>
      <c r="C2274" t="s">
        <v>2501</v>
      </c>
      <c r="D2274">
        <v>0.13</v>
      </c>
      <c r="E2274" t="s">
        <v>7</v>
      </c>
      <c r="F2274" t="s">
        <v>772</v>
      </c>
      <c r="G2274" t="s">
        <v>2502</v>
      </c>
      <c r="H2274" t="s">
        <v>31</v>
      </c>
      <c r="I2274" s="28" t="s">
        <v>25</v>
      </c>
    </row>
    <row r="2275" spans="1:9" x14ac:dyDescent="0.3">
      <c r="A2275" s="26">
        <v>45335</v>
      </c>
      <c r="B2275" t="s">
        <v>959</v>
      </c>
      <c r="C2275" t="s">
        <v>878</v>
      </c>
      <c r="D2275">
        <v>8</v>
      </c>
      <c r="E2275" t="s">
        <v>430</v>
      </c>
      <c r="F2275" t="s">
        <v>754</v>
      </c>
      <c r="G2275" t="s">
        <v>2503</v>
      </c>
      <c r="H2275" t="s">
        <v>31</v>
      </c>
      <c r="I2275" s="28" t="s">
        <v>25</v>
      </c>
    </row>
    <row r="2276" spans="1:9" x14ac:dyDescent="0.3">
      <c r="A2276" s="26">
        <v>45335</v>
      </c>
      <c r="B2276" t="s">
        <v>961</v>
      </c>
      <c r="C2276" t="s">
        <v>753</v>
      </c>
      <c r="D2276">
        <v>0.47</v>
      </c>
      <c r="E2276" t="s">
        <v>655</v>
      </c>
      <c r="F2276" t="s">
        <v>772</v>
      </c>
      <c r="G2276" t="s">
        <v>2504</v>
      </c>
      <c r="H2276" t="s">
        <v>31</v>
      </c>
      <c r="I2276" s="28" t="s">
        <v>25</v>
      </c>
    </row>
    <row r="2277" spans="1:9" x14ac:dyDescent="0.3">
      <c r="A2277" s="26">
        <v>45335</v>
      </c>
      <c r="B2277" t="s">
        <v>961</v>
      </c>
      <c r="C2277" t="s">
        <v>753</v>
      </c>
      <c r="D2277">
        <v>0.53</v>
      </c>
      <c r="E2277" t="s">
        <v>585</v>
      </c>
      <c r="F2277" t="s">
        <v>754</v>
      </c>
      <c r="H2277" t="s">
        <v>31</v>
      </c>
      <c r="I2277" s="28" t="s">
        <v>25</v>
      </c>
    </row>
    <row r="2278" spans="1:9" x14ac:dyDescent="0.3">
      <c r="A2278" s="26">
        <v>45335</v>
      </c>
      <c r="B2278" t="s">
        <v>961</v>
      </c>
      <c r="C2278" t="s">
        <v>753</v>
      </c>
      <c r="D2278">
        <v>5.97</v>
      </c>
      <c r="E2278" t="s">
        <v>790</v>
      </c>
      <c r="F2278" t="s">
        <v>754</v>
      </c>
      <c r="H2278" t="s">
        <v>31</v>
      </c>
      <c r="I2278" s="28" t="s">
        <v>25</v>
      </c>
    </row>
    <row r="2279" spans="1:9" x14ac:dyDescent="0.3">
      <c r="A2279" s="26">
        <v>45335</v>
      </c>
      <c r="B2279" t="s">
        <v>961</v>
      </c>
      <c r="C2279" t="s">
        <v>776</v>
      </c>
      <c r="D2279">
        <v>0.62</v>
      </c>
      <c r="E2279" t="s">
        <v>655</v>
      </c>
      <c r="F2279" t="s">
        <v>772</v>
      </c>
      <c r="G2279" t="s">
        <v>2505</v>
      </c>
      <c r="H2279" t="s">
        <v>31</v>
      </c>
      <c r="I2279" s="28" t="s">
        <v>25</v>
      </c>
    </row>
    <row r="2280" spans="1:9" x14ac:dyDescent="0.3">
      <c r="A2280" s="26">
        <v>45335</v>
      </c>
      <c r="B2280" t="s">
        <v>961</v>
      </c>
      <c r="C2280" t="s">
        <v>776</v>
      </c>
      <c r="D2280">
        <v>1.63</v>
      </c>
      <c r="E2280" t="s">
        <v>234</v>
      </c>
      <c r="F2280" t="s">
        <v>754</v>
      </c>
      <c r="H2280" t="s">
        <v>31</v>
      </c>
      <c r="I2280" s="28" t="s">
        <v>25</v>
      </c>
    </row>
    <row r="2281" spans="1:9" x14ac:dyDescent="0.3">
      <c r="A2281" s="26">
        <v>45335</v>
      </c>
      <c r="B2281" t="s">
        <v>966</v>
      </c>
      <c r="C2281" t="s">
        <v>967</v>
      </c>
      <c r="D2281">
        <v>1</v>
      </c>
      <c r="E2281" t="s">
        <v>11</v>
      </c>
      <c r="F2281" t="s">
        <v>754</v>
      </c>
      <c r="H2281" t="s">
        <v>31</v>
      </c>
      <c r="I2281" s="28" t="s">
        <v>25</v>
      </c>
    </row>
    <row r="2282" spans="1:9" x14ac:dyDescent="0.3">
      <c r="A2282" s="26">
        <v>45335</v>
      </c>
      <c r="B2282" t="s">
        <v>966</v>
      </c>
      <c r="C2282" t="s">
        <v>967</v>
      </c>
      <c r="D2282">
        <v>2</v>
      </c>
      <c r="E2282" t="s">
        <v>7</v>
      </c>
      <c r="F2282" t="s">
        <v>754</v>
      </c>
      <c r="H2282" t="s">
        <v>31</v>
      </c>
      <c r="I2282" s="28" t="s">
        <v>25</v>
      </c>
    </row>
    <row r="2283" spans="1:9" x14ac:dyDescent="0.3">
      <c r="A2283" s="26">
        <v>45335</v>
      </c>
      <c r="B2283" t="s">
        <v>966</v>
      </c>
      <c r="C2283" t="s">
        <v>967</v>
      </c>
      <c r="D2283">
        <v>5</v>
      </c>
      <c r="E2283" t="s">
        <v>790</v>
      </c>
      <c r="F2283" t="s">
        <v>754</v>
      </c>
      <c r="H2283" t="s">
        <v>31</v>
      </c>
      <c r="I2283" s="28" t="s">
        <v>25</v>
      </c>
    </row>
    <row r="2284" spans="1:9" x14ac:dyDescent="0.3">
      <c r="A2284" s="26">
        <v>45335</v>
      </c>
      <c r="B2284" t="s">
        <v>969</v>
      </c>
      <c r="C2284" t="s">
        <v>789</v>
      </c>
      <c r="D2284">
        <v>0.73</v>
      </c>
      <c r="E2284" t="s">
        <v>7</v>
      </c>
      <c r="F2284" t="s">
        <v>772</v>
      </c>
      <c r="G2284" t="s">
        <v>2506</v>
      </c>
      <c r="H2284" t="s">
        <v>31</v>
      </c>
      <c r="I2284" s="28" t="s">
        <v>25</v>
      </c>
    </row>
    <row r="2285" spans="1:9" x14ac:dyDescent="0.3">
      <c r="A2285" s="26">
        <v>45335</v>
      </c>
      <c r="B2285" t="s">
        <v>969</v>
      </c>
      <c r="C2285" t="s">
        <v>789</v>
      </c>
      <c r="D2285">
        <v>1.33</v>
      </c>
      <c r="E2285" t="s">
        <v>7</v>
      </c>
      <c r="F2285" t="s">
        <v>772</v>
      </c>
      <c r="G2285" t="s">
        <v>2507</v>
      </c>
      <c r="H2285" t="s">
        <v>31</v>
      </c>
      <c r="I2285" s="28" t="s">
        <v>25</v>
      </c>
    </row>
    <row r="2286" spans="1:9" x14ac:dyDescent="0.3">
      <c r="A2286" s="26">
        <v>45335</v>
      </c>
      <c r="B2286" t="s">
        <v>969</v>
      </c>
      <c r="C2286" t="s">
        <v>789</v>
      </c>
      <c r="D2286">
        <v>1.35</v>
      </c>
      <c r="E2286" t="s">
        <v>7</v>
      </c>
      <c r="F2286" t="s">
        <v>772</v>
      </c>
      <c r="G2286" t="s">
        <v>2508</v>
      </c>
      <c r="H2286" t="s">
        <v>31</v>
      </c>
      <c r="I2286" s="28" t="s">
        <v>25</v>
      </c>
    </row>
    <row r="2287" spans="1:9" x14ac:dyDescent="0.3">
      <c r="A2287" s="26">
        <v>45335</v>
      </c>
      <c r="B2287" t="s">
        <v>969</v>
      </c>
      <c r="C2287" t="s">
        <v>771</v>
      </c>
      <c r="D2287">
        <v>0.63</v>
      </c>
      <c r="E2287" t="s">
        <v>7</v>
      </c>
      <c r="F2287" t="s">
        <v>772</v>
      </c>
      <c r="G2287" t="s">
        <v>2509</v>
      </c>
      <c r="H2287" t="s">
        <v>31</v>
      </c>
      <c r="I2287" s="28" t="s">
        <v>25</v>
      </c>
    </row>
    <row r="2288" spans="1:9" x14ac:dyDescent="0.3">
      <c r="A2288" s="26">
        <v>45335</v>
      </c>
      <c r="B2288" t="s">
        <v>969</v>
      </c>
      <c r="C2288" t="s">
        <v>835</v>
      </c>
      <c r="D2288">
        <v>0.98</v>
      </c>
      <c r="E2288" t="s">
        <v>790</v>
      </c>
      <c r="F2288" t="s">
        <v>754</v>
      </c>
      <c r="G2288" t="s">
        <v>976</v>
      </c>
      <c r="H2288" t="s">
        <v>31</v>
      </c>
      <c r="I2288" s="28" t="s">
        <v>25</v>
      </c>
    </row>
    <row r="2289" spans="1:9" x14ac:dyDescent="0.3">
      <c r="A2289" s="26">
        <v>45335</v>
      </c>
      <c r="B2289" t="s">
        <v>969</v>
      </c>
      <c r="C2289" t="s">
        <v>835</v>
      </c>
      <c r="D2289">
        <v>3.38</v>
      </c>
      <c r="E2289" t="s">
        <v>790</v>
      </c>
      <c r="F2289" t="s">
        <v>754</v>
      </c>
      <c r="G2289" t="s">
        <v>2510</v>
      </c>
      <c r="H2289" t="s">
        <v>31</v>
      </c>
      <c r="I2289" s="28" t="s">
        <v>25</v>
      </c>
    </row>
    <row r="2290" spans="1:9" x14ac:dyDescent="0.3">
      <c r="A2290" s="26">
        <v>45335</v>
      </c>
      <c r="B2290" t="s">
        <v>977</v>
      </c>
      <c r="C2290" t="s">
        <v>753</v>
      </c>
      <c r="D2290">
        <v>0.17</v>
      </c>
      <c r="E2290" t="s">
        <v>654</v>
      </c>
      <c r="F2290" t="s">
        <v>754</v>
      </c>
      <c r="G2290" t="s">
        <v>753</v>
      </c>
      <c r="H2290" t="s">
        <v>31</v>
      </c>
      <c r="I2290" s="28" t="s">
        <v>25</v>
      </c>
    </row>
    <row r="2291" spans="1:9" x14ac:dyDescent="0.3">
      <c r="A2291" s="26">
        <v>45335</v>
      </c>
      <c r="B2291" t="s">
        <v>977</v>
      </c>
      <c r="C2291" t="s">
        <v>753</v>
      </c>
      <c r="D2291">
        <v>0.23</v>
      </c>
      <c r="E2291" t="s">
        <v>978</v>
      </c>
      <c r="F2291" t="s">
        <v>754</v>
      </c>
      <c r="G2291" t="s">
        <v>2511</v>
      </c>
      <c r="H2291" t="s">
        <v>31</v>
      </c>
      <c r="I2291" s="28" t="s">
        <v>25</v>
      </c>
    </row>
    <row r="2292" spans="1:9" x14ac:dyDescent="0.3">
      <c r="A2292" s="26">
        <v>45335</v>
      </c>
      <c r="B2292" t="s">
        <v>977</v>
      </c>
      <c r="C2292" t="s">
        <v>753</v>
      </c>
      <c r="D2292">
        <v>5.32</v>
      </c>
      <c r="E2292" t="s">
        <v>978</v>
      </c>
      <c r="F2292" t="s">
        <v>754</v>
      </c>
      <c r="G2292" t="s">
        <v>2512</v>
      </c>
      <c r="H2292" t="s">
        <v>31</v>
      </c>
      <c r="I2292" s="28" t="s">
        <v>25</v>
      </c>
    </row>
    <row r="2293" spans="1:9" x14ac:dyDescent="0.3">
      <c r="A2293" s="26">
        <v>45335</v>
      </c>
      <c r="B2293" t="s">
        <v>977</v>
      </c>
      <c r="C2293" t="s">
        <v>771</v>
      </c>
      <c r="D2293">
        <v>0.5</v>
      </c>
      <c r="E2293" t="s">
        <v>7</v>
      </c>
      <c r="F2293" t="s">
        <v>772</v>
      </c>
      <c r="G2293" t="s">
        <v>820</v>
      </c>
      <c r="H2293" t="s">
        <v>31</v>
      </c>
      <c r="I2293" s="28" t="s">
        <v>25</v>
      </c>
    </row>
    <row r="2294" spans="1:9" x14ac:dyDescent="0.3">
      <c r="A2294" s="26">
        <v>45335</v>
      </c>
      <c r="B2294" t="s">
        <v>977</v>
      </c>
      <c r="C2294" t="s">
        <v>834</v>
      </c>
      <c r="D2294">
        <v>1.78</v>
      </c>
      <c r="E2294" t="s">
        <v>7</v>
      </c>
      <c r="F2294" t="s">
        <v>772</v>
      </c>
      <c r="G2294" t="s">
        <v>2513</v>
      </c>
      <c r="H2294" t="s">
        <v>31</v>
      </c>
      <c r="I2294" s="28" t="s">
        <v>25</v>
      </c>
    </row>
    <row r="2295" spans="1:9" x14ac:dyDescent="0.3">
      <c r="A2295" s="26">
        <v>45335</v>
      </c>
      <c r="B2295" t="s">
        <v>981</v>
      </c>
      <c r="C2295" t="s">
        <v>1163</v>
      </c>
      <c r="D2295">
        <v>8</v>
      </c>
      <c r="E2295" t="s">
        <v>7</v>
      </c>
      <c r="F2295" t="s">
        <v>772</v>
      </c>
      <c r="G2295" t="s">
        <v>2344</v>
      </c>
      <c r="H2295" t="s">
        <v>31</v>
      </c>
      <c r="I2295" s="28" t="s">
        <v>25</v>
      </c>
    </row>
    <row r="2296" spans="1:9" x14ac:dyDescent="0.3">
      <c r="A2296" s="26">
        <v>45335</v>
      </c>
      <c r="B2296" t="s">
        <v>984</v>
      </c>
      <c r="C2296" t="s">
        <v>753</v>
      </c>
      <c r="D2296">
        <v>0.53</v>
      </c>
      <c r="E2296" t="s">
        <v>917</v>
      </c>
      <c r="F2296" t="s">
        <v>754</v>
      </c>
      <c r="G2296" t="s">
        <v>2514</v>
      </c>
      <c r="H2296" t="s">
        <v>31</v>
      </c>
      <c r="I2296" s="28" t="s">
        <v>25</v>
      </c>
    </row>
    <row r="2297" spans="1:9" x14ac:dyDescent="0.3">
      <c r="A2297" s="26">
        <v>45335</v>
      </c>
      <c r="B2297" t="s">
        <v>984</v>
      </c>
      <c r="C2297" t="s">
        <v>753</v>
      </c>
      <c r="D2297">
        <v>1.05</v>
      </c>
      <c r="E2297" t="s">
        <v>903</v>
      </c>
      <c r="F2297" t="s">
        <v>754</v>
      </c>
      <c r="G2297" t="s">
        <v>2426</v>
      </c>
      <c r="H2297" t="s">
        <v>31</v>
      </c>
      <c r="I2297" s="28" t="s">
        <v>25</v>
      </c>
    </row>
    <row r="2298" spans="1:9" x14ac:dyDescent="0.3">
      <c r="A2298" s="26">
        <v>45335</v>
      </c>
      <c r="B2298" t="s">
        <v>984</v>
      </c>
      <c r="C2298" t="s">
        <v>753</v>
      </c>
      <c r="D2298">
        <v>1.92</v>
      </c>
      <c r="E2298" t="s">
        <v>985</v>
      </c>
      <c r="F2298" t="s">
        <v>754</v>
      </c>
      <c r="G2298" t="s">
        <v>2515</v>
      </c>
      <c r="H2298" t="s">
        <v>31</v>
      </c>
      <c r="I2298" s="28" t="s">
        <v>25</v>
      </c>
    </row>
    <row r="2299" spans="1:9" x14ac:dyDescent="0.3">
      <c r="A2299" s="26">
        <v>45335</v>
      </c>
      <c r="B2299" t="s">
        <v>984</v>
      </c>
      <c r="C2299" t="s">
        <v>753</v>
      </c>
      <c r="D2299">
        <v>4.5199999999999996</v>
      </c>
      <c r="E2299" t="s">
        <v>13</v>
      </c>
      <c r="F2299" t="s">
        <v>754</v>
      </c>
      <c r="G2299" t="s">
        <v>2516</v>
      </c>
      <c r="H2299" t="s">
        <v>31</v>
      </c>
      <c r="I2299" s="28" t="s">
        <v>25</v>
      </c>
    </row>
    <row r="2300" spans="1:9" x14ac:dyDescent="0.3">
      <c r="A2300" s="26">
        <v>45335</v>
      </c>
      <c r="B2300" t="s">
        <v>991</v>
      </c>
      <c r="C2300" t="s">
        <v>992</v>
      </c>
      <c r="D2300">
        <v>4.13</v>
      </c>
      <c r="E2300" t="s">
        <v>7</v>
      </c>
      <c r="F2300" t="s">
        <v>772</v>
      </c>
      <c r="G2300" t="s">
        <v>2517</v>
      </c>
      <c r="H2300" t="s">
        <v>31</v>
      </c>
      <c r="I2300" s="28" t="s">
        <v>25</v>
      </c>
    </row>
    <row r="2301" spans="1:9" x14ac:dyDescent="0.3">
      <c r="A2301" s="26">
        <v>45335</v>
      </c>
      <c r="B2301" t="s">
        <v>991</v>
      </c>
      <c r="C2301" t="s">
        <v>753</v>
      </c>
      <c r="D2301">
        <v>0.65</v>
      </c>
      <c r="E2301" t="s">
        <v>7</v>
      </c>
      <c r="F2301" t="s">
        <v>772</v>
      </c>
      <c r="G2301" t="s">
        <v>2518</v>
      </c>
      <c r="H2301" t="s">
        <v>31</v>
      </c>
      <c r="I2301" s="28" t="s">
        <v>25</v>
      </c>
    </row>
    <row r="2302" spans="1:9" x14ac:dyDescent="0.3">
      <c r="A2302" s="26">
        <v>45335</v>
      </c>
      <c r="B2302" t="s">
        <v>991</v>
      </c>
      <c r="C2302" t="s">
        <v>1870</v>
      </c>
      <c r="D2302">
        <v>3.9</v>
      </c>
      <c r="E2302" t="s">
        <v>999</v>
      </c>
      <c r="F2302" t="s">
        <v>772</v>
      </c>
      <c r="G2302" t="s">
        <v>2519</v>
      </c>
      <c r="H2302" t="s">
        <v>31</v>
      </c>
      <c r="I2302" s="28" t="s">
        <v>25</v>
      </c>
    </row>
    <row r="2303" spans="1:9" x14ac:dyDescent="0.3">
      <c r="A2303" s="26">
        <v>45335</v>
      </c>
      <c r="B2303" t="s">
        <v>991</v>
      </c>
      <c r="C2303" t="s">
        <v>776</v>
      </c>
      <c r="D2303">
        <v>0.35</v>
      </c>
      <c r="E2303" t="s">
        <v>999</v>
      </c>
      <c r="F2303" t="s">
        <v>772</v>
      </c>
      <c r="G2303" t="s">
        <v>2520</v>
      </c>
      <c r="H2303" t="s">
        <v>31</v>
      </c>
      <c r="I2303" s="28" t="s">
        <v>25</v>
      </c>
    </row>
    <row r="2304" spans="1:9" x14ac:dyDescent="0.3">
      <c r="A2304" s="26">
        <v>45335</v>
      </c>
      <c r="B2304" t="s">
        <v>1002</v>
      </c>
      <c r="C2304" t="s">
        <v>1003</v>
      </c>
      <c r="D2304">
        <v>10</v>
      </c>
      <c r="E2304" t="s">
        <v>7</v>
      </c>
      <c r="F2304" t="s">
        <v>772</v>
      </c>
      <c r="G2304" t="s">
        <v>2521</v>
      </c>
      <c r="H2304" t="s">
        <v>31</v>
      </c>
      <c r="I2304" s="28" t="s">
        <v>25</v>
      </c>
    </row>
    <row r="2305" spans="1:9" x14ac:dyDescent="0.3">
      <c r="A2305" s="26">
        <v>45335</v>
      </c>
      <c r="B2305" t="s">
        <v>1005</v>
      </c>
      <c r="C2305" t="s">
        <v>753</v>
      </c>
      <c r="D2305">
        <v>0.5</v>
      </c>
      <c r="E2305" t="s">
        <v>1438</v>
      </c>
      <c r="F2305" t="s">
        <v>754</v>
      </c>
      <c r="G2305" t="s">
        <v>2522</v>
      </c>
      <c r="H2305" t="s">
        <v>31</v>
      </c>
      <c r="I2305" s="28" t="s">
        <v>25</v>
      </c>
    </row>
    <row r="2306" spans="1:9" x14ac:dyDescent="0.3">
      <c r="A2306" s="26">
        <v>45335</v>
      </c>
      <c r="B2306" t="s">
        <v>1005</v>
      </c>
      <c r="C2306" t="s">
        <v>753</v>
      </c>
      <c r="D2306">
        <v>1</v>
      </c>
      <c r="E2306" t="s">
        <v>201</v>
      </c>
      <c r="F2306" t="s">
        <v>754</v>
      </c>
      <c r="H2306" t="s">
        <v>31</v>
      </c>
      <c r="I2306" s="28" t="s">
        <v>25</v>
      </c>
    </row>
    <row r="2307" spans="1:9" x14ac:dyDescent="0.3">
      <c r="A2307" s="26">
        <v>45335</v>
      </c>
      <c r="B2307" t="s">
        <v>1005</v>
      </c>
      <c r="C2307" t="s">
        <v>753</v>
      </c>
      <c r="D2307">
        <v>1</v>
      </c>
      <c r="E2307" t="s">
        <v>471</v>
      </c>
      <c r="F2307" t="s">
        <v>754</v>
      </c>
      <c r="H2307" t="s">
        <v>31</v>
      </c>
      <c r="I2307" s="28" t="s">
        <v>25</v>
      </c>
    </row>
    <row r="2308" spans="1:9" x14ac:dyDescent="0.3">
      <c r="A2308" s="26">
        <v>45335</v>
      </c>
      <c r="B2308" t="s">
        <v>1005</v>
      </c>
      <c r="C2308" t="s">
        <v>835</v>
      </c>
      <c r="D2308">
        <v>0.5</v>
      </c>
      <c r="E2308" t="s">
        <v>201</v>
      </c>
      <c r="F2308" t="s">
        <v>754</v>
      </c>
      <c r="H2308" t="s">
        <v>31</v>
      </c>
      <c r="I2308" s="28" t="s">
        <v>25</v>
      </c>
    </row>
    <row r="2309" spans="1:9" x14ac:dyDescent="0.3">
      <c r="A2309" s="26">
        <v>45335</v>
      </c>
      <c r="B2309" t="s">
        <v>1005</v>
      </c>
      <c r="C2309" t="s">
        <v>874</v>
      </c>
      <c r="D2309">
        <v>1</v>
      </c>
      <c r="E2309" t="s">
        <v>7</v>
      </c>
      <c r="F2309" t="s">
        <v>772</v>
      </c>
      <c r="G2309" t="s">
        <v>2523</v>
      </c>
      <c r="H2309" t="s">
        <v>31</v>
      </c>
      <c r="I2309" s="28" t="s">
        <v>25</v>
      </c>
    </row>
    <row r="2310" spans="1:9" x14ac:dyDescent="0.3">
      <c r="A2310" s="26">
        <v>45335</v>
      </c>
      <c r="B2310" t="s">
        <v>1005</v>
      </c>
      <c r="C2310" t="s">
        <v>776</v>
      </c>
      <c r="D2310">
        <v>0.25</v>
      </c>
      <c r="E2310" t="s">
        <v>671</v>
      </c>
      <c r="F2310" t="s">
        <v>754</v>
      </c>
      <c r="H2310" t="s">
        <v>31</v>
      </c>
      <c r="I2310" s="28" t="s">
        <v>25</v>
      </c>
    </row>
    <row r="2311" spans="1:9" x14ac:dyDescent="0.3">
      <c r="A2311" s="26">
        <v>45335</v>
      </c>
      <c r="B2311" t="s">
        <v>1005</v>
      </c>
      <c r="C2311" t="s">
        <v>776</v>
      </c>
      <c r="D2311">
        <v>0.5</v>
      </c>
      <c r="E2311" t="s">
        <v>141</v>
      </c>
      <c r="F2311" t="s">
        <v>754</v>
      </c>
      <c r="H2311" t="s">
        <v>31</v>
      </c>
      <c r="I2311" s="28" t="s">
        <v>25</v>
      </c>
    </row>
    <row r="2312" spans="1:9" x14ac:dyDescent="0.3">
      <c r="A2312" s="26">
        <v>45335</v>
      </c>
      <c r="B2312" t="s">
        <v>1005</v>
      </c>
      <c r="C2312" t="s">
        <v>776</v>
      </c>
      <c r="D2312">
        <v>1.25</v>
      </c>
      <c r="E2312" t="s">
        <v>1438</v>
      </c>
      <c r="F2312" t="s">
        <v>754</v>
      </c>
      <c r="G2312" t="s">
        <v>2524</v>
      </c>
      <c r="H2312" t="s">
        <v>31</v>
      </c>
      <c r="I2312" s="28" t="s">
        <v>25</v>
      </c>
    </row>
    <row r="2313" spans="1:9" x14ac:dyDescent="0.3">
      <c r="A2313" s="26">
        <v>45335</v>
      </c>
      <c r="B2313" t="s">
        <v>1006</v>
      </c>
      <c r="C2313" t="s">
        <v>909</v>
      </c>
      <c r="D2313">
        <v>0.08</v>
      </c>
      <c r="E2313" t="s">
        <v>2525</v>
      </c>
      <c r="F2313" t="s">
        <v>754</v>
      </c>
      <c r="G2313" t="s">
        <v>1012</v>
      </c>
      <c r="H2313" t="s">
        <v>31</v>
      </c>
      <c r="I2313" s="28" t="s">
        <v>25</v>
      </c>
    </row>
    <row r="2314" spans="1:9" x14ac:dyDescent="0.3">
      <c r="A2314" s="26">
        <v>45335</v>
      </c>
      <c r="B2314" t="s">
        <v>1006</v>
      </c>
      <c r="C2314" t="s">
        <v>909</v>
      </c>
      <c r="D2314">
        <v>0.47</v>
      </c>
      <c r="E2314" t="s">
        <v>757</v>
      </c>
      <c r="F2314" t="s">
        <v>772</v>
      </c>
      <c r="G2314" t="s">
        <v>1449</v>
      </c>
      <c r="H2314" t="s">
        <v>31</v>
      </c>
      <c r="I2314" s="28" t="s">
        <v>25</v>
      </c>
    </row>
    <row r="2315" spans="1:9" x14ac:dyDescent="0.3">
      <c r="A2315" s="26">
        <v>45335</v>
      </c>
      <c r="B2315" t="s">
        <v>1006</v>
      </c>
      <c r="C2315" t="s">
        <v>909</v>
      </c>
      <c r="D2315">
        <v>0.77</v>
      </c>
      <c r="E2315" t="s">
        <v>757</v>
      </c>
      <c r="F2315" t="s">
        <v>772</v>
      </c>
      <c r="G2315" t="s">
        <v>2526</v>
      </c>
      <c r="H2315" t="s">
        <v>31</v>
      </c>
      <c r="I2315" s="28" t="s">
        <v>25</v>
      </c>
    </row>
    <row r="2316" spans="1:9" x14ac:dyDescent="0.3">
      <c r="A2316" s="26">
        <v>45335</v>
      </c>
      <c r="B2316" t="s">
        <v>1006</v>
      </c>
      <c r="C2316" t="s">
        <v>909</v>
      </c>
      <c r="D2316">
        <v>1.2</v>
      </c>
      <c r="E2316" t="s">
        <v>922</v>
      </c>
      <c r="F2316" t="s">
        <v>772</v>
      </c>
      <c r="G2316" t="s">
        <v>2527</v>
      </c>
      <c r="H2316" t="s">
        <v>31</v>
      </c>
      <c r="I2316" s="28" t="s">
        <v>25</v>
      </c>
    </row>
    <row r="2317" spans="1:9" x14ac:dyDescent="0.3">
      <c r="A2317" s="26">
        <v>45335</v>
      </c>
      <c r="B2317" t="s">
        <v>1006</v>
      </c>
      <c r="C2317" t="s">
        <v>909</v>
      </c>
      <c r="D2317">
        <v>1.98</v>
      </c>
      <c r="E2317" t="s">
        <v>757</v>
      </c>
      <c r="F2317" t="s">
        <v>772</v>
      </c>
      <c r="G2317" t="s">
        <v>2528</v>
      </c>
      <c r="H2317" t="s">
        <v>31</v>
      </c>
      <c r="I2317" s="28" t="s">
        <v>25</v>
      </c>
    </row>
    <row r="2318" spans="1:9" x14ac:dyDescent="0.3">
      <c r="A2318" s="26">
        <v>45335</v>
      </c>
      <c r="B2318" t="s">
        <v>1006</v>
      </c>
      <c r="C2318" t="s">
        <v>771</v>
      </c>
      <c r="D2318">
        <v>1.5</v>
      </c>
      <c r="E2318" t="s">
        <v>7</v>
      </c>
      <c r="F2318" t="s">
        <v>772</v>
      </c>
      <c r="G2318" t="s">
        <v>1010</v>
      </c>
      <c r="H2318" t="s">
        <v>31</v>
      </c>
      <c r="I2318" s="28" t="s">
        <v>25</v>
      </c>
    </row>
    <row r="2319" spans="1:9" x14ac:dyDescent="0.3">
      <c r="A2319" s="26">
        <v>45335</v>
      </c>
      <c r="B2319" t="s">
        <v>1011</v>
      </c>
      <c r="C2319" t="s">
        <v>753</v>
      </c>
      <c r="D2319">
        <v>0.17</v>
      </c>
      <c r="E2319" t="s">
        <v>845</v>
      </c>
      <c r="F2319" t="s">
        <v>754</v>
      </c>
      <c r="G2319" t="s">
        <v>2529</v>
      </c>
      <c r="H2319" t="s">
        <v>31</v>
      </c>
      <c r="I2319" s="28" t="s">
        <v>25</v>
      </c>
    </row>
    <row r="2320" spans="1:9" x14ac:dyDescent="0.3">
      <c r="A2320" s="26">
        <v>45335</v>
      </c>
      <c r="B2320" t="s">
        <v>1011</v>
      </c>
      <c r="C2320" t="s">
        <v>753</v>
      </c>
      <c r="D2320">
        <v>0.17</v>
      </c>
      <c r="E2320" t="s">
        <v>589</v>
      </c>
      <c r="F2320" t="s">
        <v>754</v>
      </c>
      <c r="G2320" t="s">
        <v>1243</v>
      </c>
      <c r="H2320" t="s">
        <v>31</v>
      </c>
      <c r="I2320" s="28" t="s">
        <v>25</v>
      </c>
    </row>
    <row r="2321" spans="1:9" x14ac:dyDescent="0.3">
      <c r="A2321" s="26">
        <v>45335</v>
      </c>
      <c r="B2321" t="s">
        <v>1011</v>
      </c>
      <c r="C2321" t="s">
        <v>753</v>
      </c>
      <c r="D2321">
        <v>0.22</v>
      </c>
      <c r="E2321" t="s">
        <v>1013</v>
      </c>
      <c r="F2321" t="s">
        <v>754</v>
      </c>
      <c r="G2321" t="s">
        <v>2530</v>
      </c>
      <c r="H2321" t="s">
        <v>31</v>
      </c>
      <c r="I2321" s="28" t="s">
        <v>25</v>
      </c>
    </row>
    <row r="2322" spans="1:9" x14ac:dyDescent="0.3">
      <c r="A2322" s="26">
        <v>45335</v>
      </c>
      <c r="B2322" t="s">
        <v>1011</v>
      </c>
      <c r="C2322" t="s">
        <v>753</v>
      </c>
      <c r="D2322">
        <v>0.28000000000000003</v>
      </c>
      <c r="E2322" t="s">
        <v>589</v>
      </c>
      <c r="F2322" t="s">
        <v>754</v>
      </c>
      <c r="H2322" t="s">
        <v>31</v>
      </c>
      <c r="I2322" s="28" t="s">
        <v>25</v>
      </c>
    </row>
    <row r="2323" spans="1:9" x14ac:dyDescent="0.3">
      <c r="A2323" s="26">
        <v>45335</v>
      </c>
      <c r="B2323" t="s">
        <v>1011</v>
      </c>
      <c r="C2323" t="s">
        <v>753</v>
      </c>
      <c r="D2323">
        <v>0.28000000000000003</v>
      </c>
      <c r="E2323" t="s">
        <v>589</v>
      </c>
      <c r="F2323" t="s">
        <v>754</v>
      </c>
      <c r="G2323" t="s">
        <v>2531</v>
      </c>
      <c r="H2323" t="s">
        <v>31</v>
      </c>
      <c r="I2323" s="28" t="s">
        <v>25</v>
      </c>
    </row>
    <row r="2324" spans="1:9" x14ac:dyDescent="0.3">
      <c r="A2324" s="26">
        <v>45335</v>
      </c>
      <c r="B2324" t="s">
        <v>1011</v>
      </c>
      <c r="C2324" t="s">
        <v>753</v>
      </c>
      <c r="D2324">
        <v>0.45</v>
      </c>
      <c r="E2324" t="s">
        <v>1013</v>
      </c>
      <c r="F2324" t="s">
        <v>754</v>
      </c>
      <c r="G2324" t="s">
        <v>1012</v>
      </c>
      <c r="H2324" t="s">
        <v>31</v>
      </c>
      <c r="I2324" s="28" t="s">
        <v>25</v>
      </c>
    </row>
    <row r="2325" spans="1:9" x14ac:dyDescent="0.3">
      <c r="A2325" s="26">
        <v>45335</v>
      </c>
      <c r="B2325" t="s">
        <v>1011</v>
      </c>
      <c r="C2325" t="s">
        <v>753</v>
      </c>
      <c r="D2325">
        <v>0.47</v>
      </c>
      <c r="E2325" t="s">
        <v>589</v>
      </c>
      <c r="F2325" t="s">
        <v>754</v>
      </c>
      <c r="G2325" t="s">
        <v>2532</v>
      </c>
      <c r="H2325" t="s">
        <v>31</v>
      </c>
      <c r="I2325" s="28" t="s">
        <v>25</v>
      </c>
    </row>
    <row r="2326" spans="1:9" x14ac:dyDescent="0.3">
      <c r="A2326" s="26">
        <v>45335</v>
      </c>
      <c r="B2326" t="s">
        <v>1011</v>
      </c>
      <c r="C2326" t="s">
        <v>753</v>
      </c>
      <c r="D2326">
        <v>0.63</v>
      </c>
      <c r="E2326" t="s">
        <v>589</v>
      </c>
      <c r="F2326" t="s">
        <v>754</v>
      </c>
      <c r="G2326" t="s">
        <v>1014</v>
      </c>
      <c r="H2326" t="s">
        <v>31</v>
      </c>
      <c r="I2326" s="28" t="s">
        <v>25</v>
      </c>
    </row>
    <row r="2327" spans="1:9" x14ac:dyDescent="0.3">
      <c r="A2327" s="26">
        <v>45335</v>
      </c>
      <c r="B2327" t="s">
        <v>1011</v>
      </c>
      <c r="C2327" t="s">
        <v>753</v>
      </c>
      <c r="D2327">
        <v>0.87</v>
      </c>
      <c r="E2327" t="s">
        <v>1013</v>
      </c>
      <c r="F2327" t="s">
        <v>754</v>
      </c>
      <c r="G2327" t="s">
        <v>1781</v>
      </c>
      <c r="H2327" t="s">
        <v>31</v>
      </c>
      <c r="I2327" s="28" t="s">
        <v>25</v>
      </c>
    </row>
    <row r="2328" spans="1:9" x14ac:dyDescent="0.3">
      <c r="A2328" s="26">
        <v>45335</v>
      </c>
      <c r="B2328" t="s">
        <v>1011</v>
      </c>
      <c r="C2328" t="s">
        <v>753</v>
      </c>
      <c r="D2328">
        <v>0.98</v>
      </c>
      <c r="E2328" t="s">
        <v>1013</v>
      </c>
      <c r="F2328" t="s">
        <v>754</v>
      </c>
      <c r="G2328" t="s">
        <v>1014</v>
      </c>
      <c r="H2328" t="s">
        <v>31</v>
      </c>
      <c r="I2328" s="28" t="s">
        <v>25</v>
      </c>
    </row>
    <row r="2329" spans="1:9" x14ac:dyDescent="0.3">
      <c r="A2329" s="26">
        <v>45335</v>
      </c>
      <c r="B2329" t="s">
        <v>1011</v>
      </c>
      <c r="C2329" t="s">
        <v>753</v>
      </c>
      <c r="D2329">
        <v>1.32</v>
      </c>
      <c r="E2329" t="s">
        <v>1013</v>
      </c>
      <c r="F2329" t="s">
        <v>754</v>
      </c>
      <c r="H2329" t="s">
        <v>31</v>
      </c>
      <c r="I2329" s="28" t="s">
        <v>25</v>
      </c>
    </row>
    <row r="2330" spans="1:9" x14ac:dyDescent="0.3">
      <c r="A2330" s="26">
        <v>45335</v>
      </c>
      <c r="B2330" t="s">
        <v>1011</v>
      </c>
      <c r="C2330" t="s">
        <v>771</v>
      </c>
      <c r="D2330">
        <v>0.25</v>
      </c>
      <c r="E2330" t="s">
        <v>7</v>
      </c>
      <c r="F2330" t="s">
        <v>772</v>
      </c>
      <c r="G2330" t="s">
        <v>1557</v>
      </c>
      <c r="H2330" t="s">
        <v>31</v>
      </c>
      <c r="I2330" s="28" t="s">
        <v>25</v>
      </c>
    </row>
    <row r="2331" spans="1:9" x14ac:dyDescent="0.3">
      <c r="A2331" s="26">
        <v>45335</v>
      </c>
      <c r="B2331" t="s">
        <v>1011</v>
      </c>
      <c r="C2331" t="s">
        <v>771</v>
      </c>
      <c r="D2331">
        <v>0.43</v>
      </c>
      <c r="E2331" t="s">
        <v>7</v>
      </c>
      <c r="F2331" t="s">
        <v>772</v>
      </c>
      <c r="G2331" t="s">
        <v>1127</v>
      </c>
      <c r="H2331" t="s">
        <v>31</v>
      </c>
      <c r="I2331" s="28" t="s">
        <v>25</v>
      </c>
    </row>
    <row r="2332" spans="1:9" x14ac:dyDescent="0.3">
      <c r="A2332" s="26">
        <v>45335</v>
      </c>
      <c r="B2332" t="s">
        <v>1011</v>
      </c>
      <c r="C2332" t="s">
        <v>771</v>
      </c>
      <c r="D2332">
        <v>0.62</v>
      </c>
      <c r="E2332" t="s">
        <v>7</v>
      </c>
      <c r="F2332" t="s">
        <v>772</v>
      </c>
      <c r="G2332" t="s">
        <v>2533</v>
      </c>
      <c r="H2332" t="s">
        <v>31</v>
      </c>
      <c r="I2332" s="28" t="s">
        <v>25</v>
      </c>
    </row>
    <row r="2333" spans="1:9" x14ac:dyDescent="0.3">
      <c r="A2333" s="26">
        <v>45335</v>
      </c>
      <c r="B2333" t="s">
        <v>1011</v>
      </c>
      <c r="C2333" t="s">
        <v>776</v>
      </c>
      <c r="D2333">
        <v>0.23</v>
      </c>
      <c r="E2333" t="s">
        <v>845</v>
      </c>
      <c r="F2333" t="s">
        <v>754</v>
      </c>
      <c r="G2333" t="s">
        <v>2534</v>
      </c>
      <c r="H2333" t="s">
        <v>31</v>
      </c>
      <c r="I2333" s="28" t="s">
        <v>25</v>
      </c>
    </row>
    <row r="2334" spans="1:9" x14ac:dyDescent="0.3">
      <c r="A2334" s="26">
        <v>45335</v>
      </c>
      <c r="B2334" t="s">
        <v>1020</v>
      </c>
      <c r="C2334" t="s">
        <v>753</v>
      </c>
      <c r="D2334">
        <v>1.08</v>
      </c>
      <c r="E2334" t="s">
        <v>11</v>
      </c>
      <c r="F2334" t="s">
        <v>754</v>
      </c>
      <c r="G2334" t="s">
        <v>2535</v>
      </c>
      <c r="H2334" t="s">
        <v>31</v>
      </c>
      <c r="I2334" s="28" t="s">
        <v>25</v>
      </c>
    </row>
    <row r="2335" spans="1:9" x14ac:dyDescent="0.3">
      <c r="A2335" s="26">
        <v>45335</v>
      </c>
      <c r="B2335" t="s">
        <v>1020</v>
      </c>
      <c r="C2335" t="s">
        <v>753</v>
      </c>
      <c r="D2335">
        <v>1.1000000000000001</v>
      </c>
      <c r="E2335" t="s">
        <v>964</v>
      </c>
      <c r="F2335" t="s">
        <v>754</v>
      </c>
      <c r="G2335" t="s">
        <v>2536</v>
      </c>
      <c r="H2335" t="s">
        <v>31</v>
      </c>
      <c r="I2335" s="28" t="s">
        <v>25</v>
      </c>
    </row>
    <row r="2336" spans="1:9" x14ac:dyDescent="0.3">
      <c r="A2336" s="26">
        <v>45335</v>
      </c>
      <c r="B2336" t="s">
        <v>1020</v>
      </c>
      <c r="C2336" t="s">
        <v>753</v>
      </c>
      <c r="D2336">
        <v>6.37</v>
      </c>
      <c r="E2336" t="s">
        <v>964</v>
      </c>
      <c r="F2336" t="s">
        <v>754</v>
      </c>
      <c r="H2336" t="s">
        <v>31</v>
      </c>
      <c r="I2336" s="28" t="s">
        <v>25</v>
      </c>
    </row>
    <row r="2337" spans="1:9" x14ac:dyDescent="0.3">
      <c r="A2337" s="26">
        <v>45335</v>
      </c>
      <c r="B2337" t="s">
        <v>1020</v>
      </c>
      <c r="C2337" t="s">
        <v>771</v>
      </c>
      <c r="D2337">
        <v>0.37</v>
      </c>
      <c r="E2337" t="s">
        <v>7</v>
      </c>
      <c r="F2337" t="s">
        <v>772</v>
      </c>
      <c r="G2337" t="s">
        <v>1024</v>
      </c>
      <c r="H2337" t="s">
        <v>31</v>
      </c>
      <c r="I2337" s="28" t="s">
        <v>25</v>
      </c>
    </row>
    <row r="2338" spans="1:9" x14ac:dyDescent="0.3">
      <c r="A2338" s="26">
        <v>45335</v>
      </c>
      <c r="B2338" t="s">
        <v>1026</v>
      </c>
      <c r="C2338" t="s">
        <v>771</v>
      </c>
      <c r="D2338">
        <v>2.02</v>
      </c>
      <c r="E2338" t="s">
        <v>7</v>
      </c>
      <c r="F2338" t="s">
        <v>772</v>
      </c>
      <c r="G2338" t="s">
        <v>2537</v>
      </c>
      <c r="H2338" t="s">
        <v>31</v>
      </c>
      <c r="I2338" s="28" t="s">
        <v>25</v>
      </c>
    </row>
    <row r="2339" spans="1:9" x14ac:dyDescent="0.3">
      <c r="A2339" s="26">
        <v>45335</v>
      </c>
      <c r="B2339" t="s">
        <v>1026</v>
      </c>
      <c r="C2339" t="s">
        <v>771</v>
      </c>
      <c r="D2339">
        <v>2.08</v>
      </c>
      <c r="E2339" t="s">
        <v>7</v>
      </c>
      <c r="F2339" t="s">
        <v>772</v>
      </c>
      <c r="G2339" t="s">
        <v>2538</v>
      </c>
      <c r="H2339" t="s">
        <v>31</v>
      </c>
      <c r="I2339" s="28" t="s">
        <v>25</v>
      </c>
    </row>
    <row r="2340" spans="1:9" x14ac:dyDescent="0.3">
      <c r="A2340" s="26">
        <v>45335</v>
      </c>
      <c r="B2340" t="s">
        <v>1026</v>
      </c>
      <c r="C2340" t="s">
        <v>771</v>
      </c>
      <c r="D2340">
        <v>2.4500000000000002</v>
      </c>
      <c r="E2340" t="s">
        <v>7</v>
      </c>
      <c r="F2340" t="s">
        <v>772</v>
      </c>
      <c r="G2340" t="s">
        <v>2539</v>
      </c>
      <c r="H2340" t="s">
        <v>31</v>
      </c>
      <c r="I2340" s="28" t="s">
        <v>25</v>
      </c>
    </row>
    <row r="2341" spans="1:9" x14ac:dyDescent="0.3">
      <c r="A2341" s="26">
        <v>45335</v>
      </c>
      <c r="B2341" t="s">
        <v>1026</v>
      </c>
      <c r="C2341" t="s">
        <v>874</v>
      </c>
      <c r="D2341">
        <v>0.5</v>
      </c>
      <c r="E2341" t="s">
        <v>7</v>
      </c>
      <c r="F2341" t="s">
        <v>772</v>
      </c>
      <c r="G2341" t="s">
        <v>2540</v>
      </c>
      <c r="H2341" t="s">
        <v>31</v>
      </c>
      <c r="I2341" s="28" t="s">
        <v>25</v>
      </c>
    </row>
    <row r="2342" spans="1:9" x14ac:dyDescent="0.3">
      <c r="A2342" s="26">
        <v>45335</v>
      </c>
      <c r="B2342" t="s">
        <v>1026</v>
      </c>
      <c r="C2342" t="s">
        <v>874</v>
      </c>
      <c r="D2342">
        <v>0.5</v>
      </c>
      <c r="E2342" t="s">
        <v>7</v>
      </c>
      <c r="F2342" t="s">
        <v>772</v>
      </c>
      <c r="G2342" t="s">
        <v>2541</v>
      </c>
      <c r="H2342" t="s">
        <v>31</v>
      </c>
      <c r="I2342" s="28" t="s">
        <v>25</v>
      </c>
    </row>
    <row r="2343" spans="1:9" x14ac:dyDescent="0.3">
      <c r="A2343" s="26">
        <v>45335</v>
      </c>
      <c r="B2343" t="s">
        <v>1026</v>
      </c>
      <c r="C2343" t="s">
        <v>874</v>
      </c>
      <c r="D2343">
        <v>1.47</v>
      </c>
      <c r="E2343" t="s">
        <v>7</v>
      </c>
      <c r="F2343" t="s">
        <v>772</v>
      </c>
      <c r="G2343" t="s">
        <v>2542</v>
      </c>
      <c r="H2343" t="s">
        <v>31</v>
      </c>
      <c r="I2343" s="28" t="s">
        <v>25</v>
      </c>
    </row>
    <row r="2344" spans="1:9" x14ac:dyDescent="0.3">
      <c r="A2344" s="26">
        <v>45335</v>
      </c>
      <c r="B2344" t="s">
        <v>1032</v>
      </c>
      <c r="C2344" t="s">
        <v>753</v>
      </c>
      <c r="D2344">
        <v>10.02</v>
      </c>
      <c r="E2344" t="s">
        <v>790</v>
      </c>
      <c r="F2344" t="s">
        <v>754</v>
      </c>
      <c r="H2344" t="s">
        <v>31</v>
      </c>
      <c r="I2344" s="28" t="s">
        <v>25</v>
      </c>
    </row>
    <row r="2345" spans="1:9" x14ac:dyDescent="0.3">
      <c r="A2345" s="26">
        <v>45335</v>
      </c>
      <c r="B2345" t="s">
        <v>1034</v>
      </c>
      <c r="C2345" t="s">
        <v>753</v>
      </c>
      <c r="D2345">
        <v>0.23</v>
      </c>
      <c r="E2345" t="s">
        <v>564</v>
      </c>
      <c r="F2345" t="s">
        <v>754</v>
      </c>
      <c r="G2345" t="s">
        <v>2543</v>
      </c>
      <c r="H2345" t="s">
        <v>31</v>
      </c>
      <c r="I2345" s="28" t="s">
        <v>25</v>
      </c>
    </row>
    <row r="2346" spans="1:9" x14ac:dyDescent="0.3">
      <c r="A2346" s="26">
        <v>45335</v>
      </c>
      <c r="B2346" t="s">
        <v>1034</v>
      </c>
      <c r="C2346" t="s">
        <v>753</v>
      </c>
      <c r="D2346">
        <v>1.2</v>
      </c>
      <c r="E2346" t="s">
        <v>564</v>
      </c>
      <c r="F2346" t="s">
        <v>754</v>
      </c>
      <c r="G2346" t="s">
        <v>2544</v>
      </c>
      <c r="H2346" t="s">
        <v>31</v>
      </c>
      <c r="I2346" s="28" t="s">
        <v>25</v>
      </c>
    </row>
    <row r="2347" spans="1:9" x14ac:dyDescent="0.3">
      <c r="A2347" s="26">
        <v>45335</v>
      </c>
      <c r="B2347" t="s">
        <v>1034</v>
      </c>
      <c r="C2347" t="s">
        <v>753</v>
      </c>
      <c r="D2347">
        <v>1.22</v>
      </c>
      <c r="E2347" t="s">
        <v>564</v>
      </c>
      <c r="F2347" t="s">
        <v>754</v>
      </c>
      <c r="G2347" t="s">
        <v>2545</v>
      </c>
      <c r="H2347" t="s">
        <v>31</v>
      </c>
      <c r="I2347" s="28" t="s">
        <v>25</v>
      </c>
    </row>
    <row r="2348" spans="1:9" x14ac:dyDescent="0.3">
      <c r="A2348" s="26">
        <v>45335</v>
      </c>
      <c r="B2348" t="s">
        <v>1034</v>
      </c>
      <c r="C2348" t="s">
        <v>771</v>
      </c>
      <c r="D2348">
        <v>0.43</v>
      </c>
      <c r="E2348" t="s">
        <v>7</v>
      </c>
      <c r="F2348" t="s">
        <v>772</v>
      </c>
      <c r="G2348" t="s">
        <v>2546</v>
      </c>
      <c r="H2348" t="s">
        <v>31</v>
      </c>
      <c r="I2348" s="28" t="s">
        <v>25</v>
      </c>
    </row>
    <row r="2349" spans="1:9" x14ac:dyDescent="0.3">
      <c r="A2349" s="26">
        <v>45335</v>
      </c>
      <c r="B2349" t="s">
        <v>1034</v>
      </c>
      <c r="C2349" t="s">
        <v>771</v>
      </c>
      <c r="D2349">
        <v>0.5</v>
      </c>
      <c r="E2349" t="s">
        <v>7</v>
      </c>
      <c r="F2349" t="s">
        <v>772</v>
      </c>
      <c r="G2349" t="s">
        <v>820</v>
      </c>
      <c r="H2349" t="s">
        <v>31</v>
      </c>
      <c r="I2349" s="28" t="s">
        <v>25</v>
      </c>
    </row>
    <row r="2350" spans="1:9" x14ac:dyDescent="0.3">
      <c r="A2350" s="26">
        <v>45335</v>
      </c>
      <c r="B2350" t="s">
        <v>1034</v>
      </c>
      <c r="C2350" t="s">
        <v>916</v>
      </c>
      <c r="D2350">
        <v>0.4</v>
      </c>
      <c r="E2350" t="s">
        <v>237</v>
      </c>
      <c r="F2350" t="s">
        <v>754</v>
      </c>
      <c r="G2350" t="s">
        <v>2547</v>
      </c>
      <c r="H2350" t="s">
        <v>31</v>
      </c>
      <c r="I2350" s="28" t="s">
        <v>25</v>
      </c>
    </row>
    <row r="2351" spans="1:9" x14ac:dyDescent="0.3">
      <c r="A2351" s="26">
        <v>45335</v>
      </c>
      <c r="B2351" t="s">
        <v>1034</v>
      </c>
      <c r="C2351" t="s">
        <v>916</v>
      </c>
      <c r="D2351">
        <v>0.9</v>
      </c>
      <c r="E2351" t="s">
        <v>237</v>
      </c>
      <c r="F2351" t="s">
        <v>754</v>
      </c>
      <c r="G2351" t="s">
        <v>2548</v>
      </c>
      <c r="H2351" t="s">
        <v>31</v>
      </c>
      <c r="I2351" s="28" t="s">
        <v>25</v>
      </c>
    </row>
    <row r="2352" spans="1:9" x14ac:dyDescent="0.3">
      <c r="A2352" s="26">
        <v>45335</v>
      </c>
      <c r="B2352" t="s">
        <v>1034</v>
      </c>
      <c r="C2352" t="s">
        <v>874</v>
      </c>
      <c r="D2352">
        <v>0.17</v>
      </c>
      <c r="E2352" t="s">
        <v>7</v>
      </c>
      <c r="F2352" t="s">
        <v>772</v>
      </c>
      <c r="G2352" t="s">
        <v>2549</v>
      </c>
      <c r="H2352" t="s">
        <v>31</v>
      </c>
      <c r="I2352" s="28" t="s">
        <v>25</v>
      </c>
    </row>
    <row r="2353" spans="1:9" x14ac:dyDescent="0.3">
      <c r="A2353" s="26">
        <v>45335</v>
      </c>
      <c r="B2353" t="s">
        <v>1034</v>
      </c>
      <c r="C2353" t="s">
        <v>776</v>
      </c>
      <c r="D2353">
        <v>0.1</v>
      </c>
      <c r="E2353" t="s">
        <v>234</v>
      </c>
      <c r="F2353" t="s">
        <v>754</v>
      </c>
      <c r="G2353" t="s">
        <v>1466</v>
      </c>
      <c r="H2353" t="s">
        <v>31</v>
      </c>
      <c r="I2353" s="28" t="s">
        <v>25</v>
      </c>
    </row>
    <row r="2354" spans="1:9" x14ac:dyDescent="0.3">
      <c r="A2354" s="26">
        <v>45335</v>
      </c>
      <c r="B2354" t="s">
        <v>1034</v>
      </c>
      <c r="C2354" t="s">
        <v>776</v>
      </c>
      <c r="D2354">
        <v>0.12</v>
      </c>
      <c r="E2354" t="s">
        <v>141</v>
      </c>
      <c r="F2354" t="s">
        <v>754</v>
      </c>
      <c r="G2354" t="s">
        <v>2550</v>
      </c>
      <c r="H2354" t="s">
        <v>31</v>
      </c>
      <c r="I2354" s="28" t="s">
        <v>25</v>
      </c>
    </row>
    <row r="2355" spans="1:9" x14ac:dyDescent="0.3">
      <c r="A2355" s="26">
        <v>45335</v>
      </c>
      <c r="B2355" t="s">
        <v>1034</v>
      </c>
      <c r="C2355" t="s">
        <v>776</v>
      </c>
      <c r="D2355">
        <v>0.15</v>
      </c>
      <c r="E2355" t="s">
        <v>879</v>
      </c>
      <c r="F2355" t="s">
        <v>754</v>
      </c>
      <c r="G2355" t="s">
        <v>1466</v>
      </c>
      <c r="H2355" t="s">
        <v>31</v>
      </c>
      <c r="I2355" s="28" t="s">
        <v>25</v>
      </c>
    </row>
    <row r="2356" spans="1:9" x14ac:dyDescent="0.3">
      <c r="A2356" s="26">
        <v>45335</v>
      </c>
      <c r="B2356" t="s">
        <v>1034</v>
      </c>
      <c r="C2356" t="s">
        <v>776</v>
      </c>
      <c r="D2356">
        <v>0.22</v>
      </c>
      <c r="E2356" t="s">
        <v>790</v>
      </c>
      <c r="F2356" t="s">
        <v>754</v>
      </c>
      <c r="G2356" t="s">
        <v>2551</v>
      </c>
      <c r="H2356" t="s">
        <v>31</v>
      </c>
      <c r="I2356" s="28" t="s">
        <v>25</v>
      </c>
    </row>
    <row r="2357" spans="1:9" x14ac:dyDescent="0.3">
      <c r="A2357" s="26">
        <v>45335</v>
      </c>
      <c r="B2357" t="s">
        <v>1034</v>
      </c>
      <c r="C2357" t="s">
        <v>776</v>
      </c>
      <c r="D2357">
        <v>0.27</v>
      </c>
      <c r="E2357" t="s">
        <v>879</v>
      </c>
      <c r="F2357" t="s">
        <v>754</v>
      </c>
      <c r="G2357" t="s">
        <v>2552</v>
      </c>
      <c r="H2357" t="s">
        <v>31</v>
      </c>
      <c r="I2357" s="28" t="s">
        <v>25</v>
      </c>
    </row>
    <row r="2358" spans="1:9" x14ac:dyDescent="0.3">
      <c r="A2358" s="26">
        <v>45335</v>
      </c>
      <c r="B2358" t="s">
        <v>1034</v>
      </c>
      <c r="C2358" t="s">
        <v>776</v>
      </c>
      <c r="D2358">
        <v>2.2999999999999998</v>
      </c>
      <c r="E2358" t="s">
        <v>879</v>
      </c>
      <c r="F2358" t="s">
        <v>754</v>
      </c>
      <c r="G2358" t="s">
        <v>2553</v>
      </c>
      <c r="H2358" t="s">
        <v>31</v>
      </c>
      <c r="I2358" s="28" t="s">
        <v>25</v>
      </c>
    </row>
    <row r="2359" spans="1:9" x14ac:dyDescent="0.3">
      <c r="A2359" s="26">
        <v>45335</v>
      </c>
      <c r="B2359" t="s">
        <v>1043</v>
      </c>
      <c r="C2359" t="s">
        <v>1269</v>
      </c>
      <c r="D2359">
        <v>4</v>
      </c>
      <c r="E2359" t="s">
        <v>964</v>
      </c>
      <c r="F2359" t="s">
        <v>754</v>
      </c>
      <c r="G2359" t="s">
        <v>2554</v>
      </c>
      <c r="H2359" t="s">
        <v>31</v>
      </c>
      <c r="I2359" s="28" t="s">
        <v>25</v>
      </c>
    </row>
    <row r="2360" spans="1:9" x14ac:dyDescent="0.3">
      <c r="A2360" s="26">
        <v>45335</v>
      </c>
      <c r="B2360" t="s">
        <v>1049</v>
      </c>
      <c r="C2360" t="s">
        <v>753</v>
      </c>
      <c r="D2360">
        <v>0.72</v>
      </c>
      <c r="E2360" t="s">
        <v>316</v>
      </c>
      <c r="F2360" t="s">
        <v>754</v>
      </c>
      <c r="G2360" t="s">
        <v>2555</v>
      </c>
      <c r="H2360" t="s">
        <v>31</v>
      </c>
      <c r="I2360" s="28" t="s">
        <v>25</v>
      </c>
    </row>
    <row r="2361" spans="1:9" x14ac:dyDescent="0.3">
      <c r="A2361" s="26">
        <v>45335</v>
      </c>
      <c r="B2361" t="s">
        <v>1049</v>
      </c>
      <c r="C2361" t="s">
        <v>753</v>
      </c>
      <c r="D2361">
        <v>0.73</v>
      </c>
      <c r="E2361" t="s">
        <v>964</v>
      </c>
      <c r="F2361" t="s">
        <v>754</v>
      </c>
      <c r="G2361" t="s">
        <v>1477</v>
      </c>
      <c r="H2361" t="s">
        <v>31</v>
      </c>
      <c r="I2361" s="28" t="s">
        <v>25</v>
      </c>
    </row>
    <row r="2362" spans="1:9" x14ac:dyDescent="0.3">
      <c r="A2362" s="26">
        <v>45335</v>
      </c>
      <c r="B2362" t="s">
        <v>1049</v>
      </c>
      <c r="C2362" t="s">
        <v>753</v>
      </c>
      <c r="D2362">
        <v>2.78</v>
      </c>
      <c r="E2362" t="s">
        <v>964</v>
      </c>
      <c r="F2362" t="s">
        <v>754</v>
      </c>
      <c r="G2362" t="s">
        <v>2556</v>
      </c>
      <c r="H2362" t="s">
        <v>31</v>
      </c>
      <c r="I2362" s="28" t="s">
        <v>25</v>
      </c>
    </row>
    <row r="2363" spans="1:9" x14ac:dyDescent="0.3">
      <c r="A2363" s="26">
        <v>45335</v>
      </c>
      <c r="B2363" t="s">
        <v>1049</v>
      </c>
      <c r="C2363" t="s">
        <v>753</v>
      </c>
      <c r="D2363">
        <v>3.3</v>
      </c>
      <c r="E2363" t="s">
        <v>964</v>
      </c>
      <c r="F2363" t="s">
        <v>754</v>
      </c>
      <c r="G2363" t="s">
        <v>2557</v>
      </c>
      <c r="H2363" t="s">
        <v>31</v>
      </c>
      <c r="I2363" s="28" t="s">
        <v>25</v>
      </c>
    </row>
    <row r="2364" spans="1:9" x14ac:dyDescent="0.3">
      <c r="A2364" s="26">
        <v>45335</v>
      </c>
      <c r="B2364" t="s">
        <v>1049</v>
      </c>
      <c r="C2364" t="s">
        <v>771</v>
      </c>
      <c r="D2364">
        <v>0.5</v>
      </c>
      <c r="E2364" t="s">
        <v>7</v>
      </c>
      <c r="F2364" t="s">
        <v>772</v>
      </c>
      <c r="G2364" t="s">
        <v>1058</v>
      </c>
      <c r="H2364" t="s">
        <v>31</v>
      </c>
      <c r="I2364" s="28" t="s">
        <v>25</v>
      </c>
    </row>
    <row r="2365" spans="1:9" x14ac:dyDescent="0.3">
      <c r="A2365" s="26">
        <v>45335</v>
      </c>
      <c r="B2365" t="s">
        <v>1049</v>
      </c>
      <c r="C2365" t="s">
        <v>874</v>
      </c>
      <c r="D2365">
        <v>0.17</v>
      </c>
      <c r="E2365" t="s">
        <v>7</v>
      </c>
      <c r="F2365" t="s">
        <v>772</v>
      </c>
      <c r="G2365" t="s">
        <v>2558</v>
      </c>
      <c r="H2365" t="s">
        <v>31</v>
      </c>
      <c r="I2365" s="28" t="s">
        <v>25</v>
      </c>
    </row>
    <row r="2366" spans="1:9" x14ac:dyDescent="0.3">
      <c r="A2366" s="26">
        <v>45335</v>
      </c>
      <c r="B2366" t="s">
        <v>1060</v>
      </c>
      <c r="C2366" t="s">
        <v>909</v>
      </c>
      <c r="D2366">
        <v>0.25</v>
      </c>
      <c r="E2366" t="s">
        <v>589</v>
      </c>
      <c r="F2366" t="s">
        <v>754</v>
      </c>
      <c r="G2366" t="s">
        <v>2559</v>
      </c>
      <c r="H2366" t="s">
        <v>31</v>
      </c>
      <c r="I2366" s="28" t="s">
        <v>25</v>
      </c>
    </row>
    <row r="2367" spans="1:9" x14ac:dyDescent="0.3">
      <c r="A2367" s="26">
        <v>45335</v>
      </c>
      <c r="B2367" t="s">
        <v>1060</v>
      </c>
      <c r="C2367" t="s">
        <v>909</v>
      </c>
      <c r="D2367">
        <v>0.25</v>
      </c>
      <c r="E2367" t="s">
        <v>623</v>
      </c>
      <c r="F2367" t="s">
        <v>754</v>
      </c>
      <c r="G2367" t="s">
        <v>2560</v>
      </c>
      <c r="H2367" t="s">
        <v>31</v>
      </c>
      <c r="I2367" s="28" t="s">
        <v>25</v>
      </c>
    </row>
    <row r="2368" spans="1:9" x14ac:dyDescent="0.3">
      <c r="A2368" s="26">
        <v>45335</v>
      </c>
      <c r="B2368" t="s">
        <v>1060</v>
      </c>
      <c r="C2368" t="s">
        <v>909</v>
      </c>
      <c r="D2368">
        <v>0.33</v>
      </c>
      <c r="E2368" t="s">
        <v>589</v>
      </c>
      <c r="F2368" t="s">
        <v>754</v>
      </c>
      <c r="G2368" t="s">
        <v>2561</v>
      </c>
      <c r="H2368" t="s">
        <v>31</v>
      </c>
      <c r="I2368" s="28" t="s">
        <v>25</v>
      </c>
    </row>
    <row r="2369" spans="1:9" x14ac:dyDescent="0.3">
      <c r="A2369" s="26">
        <v>45335</v>
      </c>
      <c r="B2369" t="s">
        <v>1060</v>
      </c>
      <c r="C2369" t="s">
        <v>909</v>
      </c>
      <c r="D2369">
        <v>0.5</v>
      </c>
      <c r="E2369" t="s">
        <v>964</v>
      </c>
      <c r="F2369" t="s">
        <v>754</v>
      </c>
      <c r="G2369" t="s">
        <v>2562</v>
      </c>
      <c r="H2369" t="s">
        <v>31</v>
      </c>
      <c r="I2369" s="28" t="s">
        <v>25</v>
      </c>
    </row>
    <row r="2370" spans="1:9" x14ac:dyDescent="0.3">
      <c r="A2370" s="26">
        <v>45335</v>
      </c>
      <c r="B2370" t="s">
        <v>1060</v>
      </c>
      <c r="C2370" t="s">
        <v>909</v>
      </c>
      <c r="D2370">
        <v>0.5</v>
      </c>
      <c r="E2370" t="s">
        <v>757</v>
      </c>
      <c r="F2370" t="s">
        <v>772</v>
      </c>
      <c r="G2370" t="s">
        <v>2563</v>
      </c>
      <c r="H2370" t="s">
        <v>31</v>
      </c>
      <c r="I2370" s="28" t="s">
        <v>25</v>
      </c>
    </row>
    <row r="2371" spans="1:9" x14ac:dyDescent="0.3">
      <c r="A2371" s="26">
        <v>45335</v>
      </c>
      <c r="B2371" t="s">
        <v>1060</v>
      </c>
      <c r="C2371" t="s">
        <v>771</v>
      </c>
      <c r="D2371">
        <v>1.5</v>
      </c>
      <c r="E2371" t="s">
        <v>7</v>
      </c>
      <c r="F2371" t="s">
        <v>772</v>
      </c>
      <c r="G2371" t="s">
        <v>2564</v>
      </c>
      <c r="H2371" t="s">
        <v>31</v>
      </c>
      <c r="I2371" s="28" t="s">
        <v>25</v>
      </c>
    </row>
    <row r="2372" spans="1:9" x14ac:dyDescent="0.3">
      <c r="A2372" s="26">
        <v>45335</v>
      </c>
      <c r="B2372" t="s">
        <v>1060</v>
      </c>
      <c r="C2372" t="s">
        <v>771</v>
      </c>
      <c r="D2372">
        <v>1.5</v>
      </c>
      <c r="E2372" t="s">
        <v>7</v>
      </c>
      <c r="F2372" t="s">
        <v>772</v>
      </c>
      <c r="G2372" t="s">
        <v>2565</v>
      </c>
      <c r="H2372" t="s">
        <v>31</v>
      </c>
      <c r="I2372" s="28" t="s">
        <v>25</v>
      </c>
    </row>
    <row r="2373" spans="1:9" x14ac:dyDescent="0.3">
      <c r="A2373" s="26">
        <v>45335</v>
      </c>
      <c r="B2373" t="s">
        <v>1060</v>
      </c>
      <c r="C2373" t="s">
        <v>1441</v>
      </c>
      <c r="D2373">
        <v>0.17</v>
      </c>
      <c r="E2373" t="s">
        <v>1013</v>
      </c>
      <c r="F2373" t="s">
        <v>754</v>
      </c>
      <c r="G2373" t="s">
        <v>1927</v>
      </c>
      <c r="H2373" t="s">
        <v>31</v>
      </c>
      <c r="I2373" s="28" t="s">
        <v>25</v>
      </c>
    </row>
    <row r="2374" spans="1:9" x14ac:dyDescent="0.3">
      <c r="A2374" s="26">
        <v>45335</v>
      </c>
      <c r="B2374" t="s">
        <v>1060</v>
      </c>
      <c r="C2374" t="s">
        <v>1441</v>
      </c>
      <c r="D2374">
        <v>0.33</v>
      </c>
      <c r="E2374" t="s">
        <v>790</v>
      </c>
      <c r="F2374" t="s">
        <v>754</v>
      </c>
      <c r="G2374" t="s">
        <v>2566</v>
      </c>
      <c r="H2374" t="s">
        <v>31</v>
      </c>
      <c r="I2374" s="28" t="s">
        <v>25</v>
      </c>
    </row>
    <row r="2375" spans="1:9" x14ac:dyDescent="0.3">
      <c r="A2375" s="26">
        <v>45335</v>
      </c>
      <c r="B2375" t="s">
        <v>1060</v>
      </c>
      <c r="C2375" t="s">
        <v>1441</v>
      </c>
      <c r="D2375">
        <v>0.33</v>
      </c>
      <c r="E2375" t="s">
        <v>458</v>
      </c>
      <c r="F2375" t="s">
        <v>754</v>
      </c>
      <c r="G2375" t="s">
        <v>2566</v>
      </c>
      <c r="H2375" t="s">
        <v>31</v>
      </c>
      <c r="I2375" s="28" t="s">
        <v>25</v>
      </c>
    </row>
    <row r="2376" spans="1:9" x14ac:dyDescent="0.3">
      <c r="A2376" s="26">
        <v>45335</v>
      </c>
      <c r="B2376" t="s">
        <v>1060</v>
      </c>
      <c r="C2376" t="s">
        <v>916</v>
      </c>
      <c r="D2376">
        <v>0.33</v>
      </c>
      <c r="E2376" t="s">
        <v>1273</v>
      </c>
      <c r="F2376" t="s">
        <v>754</v>
      </c>
      <c r="G2376" t="s">
        <v>2567</v>
      </c>
      <c r="H2376" t="s">
        <v>31</v>
      </c>
      <c r="I2376" s="28" t="s">
        <v>25</v>
      </c>
    </row>
    <row r="2377" spans="1:9" x14ac:dyDescent="0.3">
      <c r="A2377" s="26">
        <v>45335</v>
      </c>
      <c r="B2377" t="s">
        <v>1060</v>
      </c>
      <c r="C2377" t="s">
        <v>874</v>
      </c>
      <c r="D2377">
        <v>0.5</v>
      </c>
      <c r="E2377" t="s">
        <v>7</v>
      </c>
      <c r="F2377" t="s">
        <v>772</v>
      </c>
      <c r="G2377" t="s">
        <v>2568</v>
      </c>
      <c r="H2377" t="s">
        <v>31</v>
      </c>
      <c r="I2377" s="28" t="s">
        <v>25</v>
      </c>
    </row>
    <row r="2378" spans="1:9" x14ac:dyDescent="0.3">
      <c r="A2378" s="26">
        <v>45335</v>
      </c>
      <c r="B2378" t="s">
        <v>1060</v>
      </c>
      <c r="C2378" t="s">
        <v>874</v>
      </c>
      <c r="D2378">
        <v>0.5</v>
      </c>
      <c r="E2378" t="s">
        <v>7</v>
      </c>
      <c r="F2378" t="s">
        <v>772</v>
      </c>
      <c r="G2378" t="s">
        <v>2569</v>
      </c>
      <c r="H2378" t="s">
        <v>31</v>
      </c>
      <c r="I2378" s="28" t="s">
        <v>25</v>
      </c>
    </row>
    <row r="2379" spans="1:9" x14ac:dyDescent="0.3">
      <c r="A2379" s="26">
        <v>45335</v>
      </c>
      <c r="B2379" t="s">
        <v>1060</v>
      </c>
      <c r="C2379" t="s">
        <v>874</v>
      </c>
      <c r="D2379">
        <v>0.5</v>
      </c>
      <c r="E2379" t="s">
        <v>7</v>
      </c>
      <c r="F2379" t="s">
        <v>772</v>
      </c>
      <c r="G2379" t="s">
        <v>2570</v>
      </c>
      <c r="H2379" t="s">
        <v>31</v>
      </c>
      <c r="I2379" s="28" t="s">
        <v>25</v>
      </c>
    </row>
    <row r="2380" spans="1:9" x14ac:dyDescent="0.3">
      <c r="A2380" s="26">
        <v>45335</v>
      </c>
      <c r="B2380" t="s">
        <v>1060</v>
      </c>
      <c r="C2380" t="s">
        <v>874</v>
      </c>
      <c r="D2380">
        <v>0.5</v>
      </c>
      <c r="E2380" t="s">
        <v>7</v>
      </c>
      <c r="F2380" t="s">
        <v>772</v>
      </c>
      <c r="G2380" t="s">
        <v>2571</v>
      </c>
      <c r="H2380" t="s">
        <v>31</v>
      </c>
      <c r="I2380" s="28" t="s">
        <v>25</v>
      </c>
    </row>
    <row r="2381" spans="1:9" x14ac:dyDescent="0.3">
      <c r="A2381" s="26">
        <v>45335</v>
      </c>
      <c r="B2381" t="s">
        <v>1060</v>
      </c>
      <c r="C2381" t="s">
        <v>874</v>
      </c>
      <c r="D2381">
        <v>0.75</v>
      </c>
      <c r="E2381" t="s">
        <v>7</v>
      </c>
      <c r="F2381" t="s">
        <v>772</v>
      </c>
      <c r="G2381" t="s">
        <v>2572</v>
      </c>
      <c r="H2381" t="s">
        <v>31</v>
      </c>
      <c r="I2381" s="28" t="s">
        <v>25</v>
      </c>
    </row>
    <row r="2382" spans="1:9" x14ac:dyDescent="0.3">
      <c r="A2382" s="26">
        <v>45335</v>
      </c>
      <c r="B2382" t="s">
        <v>1074</v>
      </c>
      <c r="C2382" t="s">
        <v>753</v>
      </c>
      <c r="D2382">
        <v>0.3</v>
      </c>
      <c r="E2382" t="s">
        <v>964</v>
      </c>
      <c r="F2382" t="s">
        <v>754</v>
      </c>
      <c r="G2382" t="s">
        <v>2573</v>
      </c>
      <c r="H2382" t="s">
        <v>31</v>
      </c>
      <c r="I2382" s="28" t="s">
        <v>25</v>
      </c>
    </row>
    <row r="2383" spans="1:9" x14ac:dyDescent="0.3">
      <c r="A2383" s="26">
        <v>45335</v>
      </c>
      <c r="B2383" t="s">
        <v>1074</v>
      </c>
      <c r="C2383" t="s">
        <v>753</v>
      </c>
      <c r="D2383">
        <v>0.6</v>
      </c>
      <c r="E2383" t="s">
        <v>964</v>
      </c>
      <c r="F2383" t="s">
        <v>772</v>
      </c>
      <c r="G2383" t="s">
        <v>2574</v>
      </c>
      <c r="H2383" t="s">
        <v>31</v>
      </c>
      <c r="I2383" s="28" t="s">
        <v>25</v>
      </c>
    </row>
    <row r="2384" spans="1:9" x14ac:dyDescent="0.3">
      <c r="A2384" s="26">
        <v>45335</v>
      </c>
      <c r="B2384" t="s">
        <v>1074</v>
      </c>
      <c r="C2384" t="s">
        <v>753</v>
      </c>
      <c r="D2384">
        <v>1</v>
      </c>
      <c r="E2384" t="s">
        <v>964</v>
      </c>
      <c r="F2384" t="s">
        <v>754</v>
      </c>
      <c r="G2384" t="s">
        <v>2575</v>
      </c>
      <c r="H2384" t="s">
        <v>31</v>
      </c>
      <c r="I2384" s="28" t="s">
        <v>25</v>
      </c>
    </row>
    <row r="2385" spans="1:9" x14ac:dyDescent="0.3">
      <c r="A2385" s="26">
        <v>45335</v>
      </c>
      <c r="B2385" t="s">
        <v>1074</v>
      </c>
      <c r="C2385" t="s">
        <v>753</v>
      </c>
      <c r="D2385">
        <v>2.2999999999999998</v>
      </c>
      <c r="E2385" t="s">
        <v>964</v>
      </c>
      <c r="F2385" t="s">
        <v>754</v>
      </c>
      <c r="G2385" t="s">
        <v>2576</v>
      </c>
      <c r="H2385" t="s">
        <v>31</v>
      </c>
      <c r="I2385" s="28" t="s">
        <v>25</v>
      </c>
    </row>
    <row r="2386" spans="1:9" x14ac:dyDescent="0.3">
      <c r="A2386" s="26">
        <v>45335</v>
      </c>
      <c r="B2386" t="s">
        <v>1074</v>
      </c>
      <c r="C2386" t="s">
        <v>804</v>
      </c>
      <c r="D2386">
        <v>1.4</v>
      </c>
      <c r="E2386" t="s">
        <v>2261</v>
      </c>
      <c r="F2386" t="s">
        <v>772</v>
      </c>
      <c r="G2386" t="s">
        <v>2577</v>
      </c>
      <c r="H2386" t="s">
        <v>31</v>
      </c>
      <c r="I2386" s="28" t="s">
        <v>25</v>
      </c>
    </row>
    <row r="2387" spans="1:9" x14ac:dyDescent="0.3">
      <c r="A2387" s="26">
        <v>45335</v>
      </c>
      <c r="B2387" t="s">
        <v>1074</v>
      </c>
      <c r="C2387" t="s">
        <v>906</v>
      </c>
      <c r="D2387">
        <v>0.6</v>
      </c>
      <c r="E2387" t="s">
        <v>7</v>
      </c>
      <c r="F2387" t="s">
        <v>772</v>
      </c>
      <c r="G2387" t="s">
        <v>2578</v>
      </c>
      <c r="H2387" t="s">
        <v>31</v>
      </c>
      <c r="I2387" s="28" t="s">
        <v>25</v>
      </c>
    </row>
    <row r="2388" spans="1:9" x14ac:dyDescent="0.3">
      <c r="A2388" s="26">
        <v>45335</v>
      </c>
      <c r="B2388" t="s">
        <v>1074</v>
      </c>
      <c r="C2388" t="s">
        <v>906</v>
      </c>
      <c r="D2388">
        <v>1.5</v>
      </c>
      <c r="E2388" t="s">
        <v>7</v>
      </c>
      <c r="F2388" t="s">
        <v>772</v>
      </c>
      <c r="G2388" t="s">
        <v>2579</v>
      </c>
      <c r="H2388" t="s">
        <v>31</v>
      </c>
      <c r="I2388" s="28" t="s">
        <v>25</v>
      </c>
    </row>
    <row r="2389" spans="1:9" x14ac:dyDescent="0.3">
      <c r="A2389" s="26">
        <v>45335</v>
      </c>
      <c r="B2389" t="s">
        <v>1074</v>
      </c>
      <c r="C2389" t="s">
        <v>909</v>
      </c>
      <c r="D2389">
        <v>0.7</v>
      </c>
      <c r="E2389" t="s">
        <v>964</v>
      </c>
      <c r="F2389" t="s">
        <v>754</v>
      </c>
      <c r="G2389" t="s">
        <v>2580</v>
      </c>
      <c r="H2389" t="s">
        <v>31</v>
      </c>
      <c r="I2389" s="28" t="s">
        <v>25</v>
      </c>
    </row>
    <row r="2390" spans="1:9" x14ac:dyDescent="0.3">
      <c r="A2390" s="26">
        <v>45335</v>
      </c>
      <c r="B2390" t="s">
        <v>1074</v>
      </c>
      <c r="C2390" t="s">
        <v>909</v>
      </c>
      <c r="D2390">
        <v>1</v>
      </c>
      <c r="E2390" t="s">
        <v>964</v>
      </c>
      <c r="F2390" t="s">
        <v>754</v>
      </c>
      <c r="G2390" t="s">
        <v>2581</v>
      </c>
      <c r="H2390" t="s">
        <v>31</v>
      </c>
      <c r="I2390" s="28" t="s">
        <v>25</v>
      </c>
    </row>
    <row r="2391" spans="1:9" x14ac:dyDescent="0.3">
      <c r="A2391" s="26">
        <v>45335</v>
      </c>
      <c r="B2391" t="s">
        <v>1074</v>
      </c>
      <c r="C2391" t="s">
        <v>1269</v>
      </c>
      <c r="D2391">
        <v>0.2</v>
      </c>
      <c r="E2391" t="s">
        <v>964</v>
      </c>
      <c r="F2391" t="s">
        <v>754</v>
      </c>
      <c r="G2391" t="s">
        <v>2582</v>
      </c>
      <c r="H2391" t="s">
        <v>31</v>
      </c>
      <c r="I2391" s="28" t="s">
        <v>25</v>
      </c>
    </row>
    <row r="2392" spans="1:9" x14ac:dyDescent="0.3">
      <c r="A2392" s="26">
        <v>45335</v>
      </c>
      <c r="B2392" t="s">
        <v>1074</v>
      </c>
      <c r="C2392" t="s">
        <v>771</v>
      </c>
      <c r="D2392">
        <v>0.5</v>
      </c>
      <c r="E2392" t="s">
        <v>7</v>
      </c>
      <c r="F2392" t="s">
        <v>772</v>
      </c>
      <c r="G2392" t="s">
        <v>2583</v>
      </c>
      <c r="H2392" t="s">
        <v>31</v>
      </c>
      <c r="I2392" s="28" t="s">
        <v>25</v>
      </c>
    </row>
    <row r="2393" spans="1:9" x14ac:dyDescent="0.3">
      <c r="A2393" s="26">
        <v>45335</v>
      </c>
      <c r="B2393" t="s">
        <v>1074</v>
      </c>
      <c r="C2393" t="s">
        <v>776</v>
      </c>
      <c r="D2393">
        <v>0.4</v>
      </c>
      <c r="E2393" t="s">
        <v>964</v>
      </c>
      <c r="F2393" t="s">
        <v>754</v>
      </c>
      <c r="G2393" t="s">
        <v>2584</v>
      </c>
      <c r="H2393" t="s">
        <v>31</v>
      </c>
      <c r="I2393" s="28" t="s">
        <v>25</v>
      </c>
    </row>
    <row r="2394" spans="1:9" x14ac:dyDescent="0.3">
      <c r="A2394" s="26">
        <v>45335</v>
      </c>
      <c r="B2394" t="s">
        <v>1505</v>
      </c>
      <c r="C2394" t="s">
        <v>802</v>
      </c>
      <c r="D2394">
        <v>2</v>
      </c>
      <c r="E2394" t="s">
        <v>7</v>
      </c>
      <c r="F2394" t="s">
        <v>772</v>
      </c>
      <c r="G2394" t="s">
        <v>1506</v>
      </c>
      <c r="H2394" t="s">
        <v>31</v>
      </c>
      <c r="I2394" s="28" t="s">
        <v>25</v>
      </c>
    </row>
    <row r="2395" spans="1:9" x14ac:dyDescent="0.3">
      <c r="A2395" s="26">
        <v>45335</v>
      </c>
      <c r="B2395" t="s">
        <v>1081</v>
      </c>
      <c r="C2395" t="s">
        <v>771</v>
      </c>
      <c r="D2395">
        <v>4</v>
      </c>
      <c r="E2395" t="s">
        <v>7</v>
      </c>
      <c r="F2395" t="s">
        <v>772</v>
      </c>
      <c r="G2395" t="s">
        <v>2585</v>
      </c>
      <c r="H2395" t="s">
        <v>31</v>
      </c>
      <c r="I2395" s="28" t="s">
        <v>25</v>
      </c>
    </row>
    <row r="2396" spans="1:9" x14ac:dyDescent="0.3">
      <c r="A2396" s="26">
        <v>45335</v>
      </c>
      <c r="B2396" t="s">
        <v>1081</v>
      </c>
      <c r="C2396" t="s">
        <v>771</v>
      </c>
      <c r="D2396">
        <v>4</v>
      </c>
      <c r="E2396" t="s">
        <v>7</v>
      </c>
      <c r="F2396" t="s">
        <v>772</v>
      </c>
      <c r="G2396" t="e">
        <f>- send out promotion letters - adjust SL and VL credits, TOIL - create profile of incoming CM - finalize details for Management Meeting - prepare farewell E-cards for April and Charmie</f>
        <v>#NAME?</v>
      </c>
      <c r="H2396" t="s">
        <v>31</v>
      </c>
      <c r="I2396" s="28" t="s">
        <v>25</v>
      </c>
    </row>
    <row r="2397" spans="1:9" x14ac:dyDescent="0.3">
      <c r="A2397" s="26">
        <v>45336</v>
      </c>
      <c r="B2397" t="s">
        <v>752</v>
      </c>
      <c r="C2397" t="s">
        <v>753</v>
      </c>
      <c r="D2397">
        <v>0.05</v>
      </c>
      <c r="E2397" t="s">
        <v>561</v>
      </c>
      <c r="F2397" t="s">
        <v>754</v>
      </c>
      <c r="G2397" t="s">
        <v>755</v>
      </c>
      <c r="H2397" t="s">
        <v>31</v>
      </c>
      <c r="I2397" s="28" t="s">
        <v>26</v>
      </c>
    </row>
    <row r="2398" spans="1:9" x14ac:dyDescent="0.3">
      <c r="A2398" s="26">
        <v>45336</v>
      </c>
      <c r="B2398" t="s">
        <v>752</v>
      </c>
      <c r="C2398" t="s">
        <v>753</v>
      </c>
      <c r="D2398">
        <v>7.0000000000000007E-2</v>
      </c>
      <c r="E2398" t="s">
        <v>210</v>
      </c>
      <c r="F2398" t="s">
        <v>754</v>
      </c>
      <c r="G2398" t="s">
        <v>755</v>
      </c>
      <c r="H2398" t="s">
        <v>31</v>
      </c>
      <c r="I2398" s="28" t="s">
        <v>26</v>
      </c>
    </row>
    <row r="2399" spans="1:9" x14ac:dyDescent="0.3">
      <c r="A2399" s="26">
        <v>45336</v>
      </c>
      <c r="B2399" t="s">
        <v>752</v>
      </c>
      <c r="C2399" t="s">
        <v>753</v>
      </c>
      <c r="D2399">
        <v>7.0000000000000007E-2</v>
      </c>
      <c r="E2399" t="s">
        <v>458</v>
      </c>
      <c r="F2399" t="s">
        <v>754</v>
      </c>
      <c r="G2399" t="s">
        <v>755</v>
      </c>
      <c r="H2399" t="s">
        <v>31</v>
      </c>
      <c r="I2399" s="28" t="s">
        <v>26</v>
      </c>
    </row>
    <row r="2400" spans="1:9" x14ac:dyDescent="0.3">
      <c r="A2400" s="26">
        <v>45336</v>
      </c>
      <c r="B2400" t="s">
        <v>752</v>
      </c>
      <c r="C2400" t="s">
        <v>753</v>
      </c>
      <c r="D2400">
        <v>7.0000000000000007E-2</v>
      </c>
      <c r="E2400" t="s">
        <v>553</v>
      </c>
      <c r="F2400" t="s">
        <v>754</v>
      </c>
      <c r="G2400" t="s">
        <v>755</v>
      </c>
      <c r="H2400" t="s">
        <v>31</v>
      </c>
      <c r="I2400" s="28" t="s">
        <v>26</v>
      </c>
    </row>
    <row r="2401" spans="1:9" x14ac:dyDescent="0.3">
      <c r="A2401" s="26">
        <v>45336</v>
      </c>
      <c r="B2401" t="s">
        <v>752</v>
      </c>
      <c r="C2401" t="s">
        <v>753</v>
      </c>
      <c r="D2401">
        <v>0.08</v>
      </c>
      <c r="E2401" t="s">
        <v>757</v>
      </c>
      <c r="F2401" t="s">
        <v>754</v>
      </c>
      <c r="G2401" t="s">
        <v>2586</v>
      </c>
      <c r="H2401" t="s">
        <v>31</v>
      </c>
      <c r="I2401" s="28" t="s">
        <v>26</v>
      </c>
    </row>
    <row r="2402" spans="1:9" x14ac:dyDescent="0.3">
      <c r="A2402" s="26">
        <v>45336</v>
      </c>
      <c r="B2402" t="s">
        <v>752</v>
      </c>
      <c r="C2402" t="s">
        <v>753</v>
      </c>
      <c r="D2402">
        <v>0.08</v>
      </c>
      <c r="E2402" t="s">
        <v>664</v>
      </c>
      <c r="F2402" t="s">
        <v>754</v>
      </c>
      <c r="G2402" t="s">
        <v>755</v>
      </c>
      <c r="H2402" t="s">
        <v>31</v>
      </c>
      <c r="I2402" s="28" t="s">
        <v>26</v>
      </c>
    </row>
    <row r="2403" spans="1:9" x14ac:dyDescent="0.3">
      <c r="A2403" s="26">
        <v>45336</v>
      </c>
      <c r="B2403" t="s">
        <v>752</v>
      </c>
      <c r="C2403" t="s">
        <v>753</v>
      </c>
      <c r="D2403">
        <v>0.12</v>
      </c>
      <c r="E2403" t="s">
        <v>430</v>
      </c>
      <c r="F2403" t="s">
        <v>754</v>
      </c>
      <c r="G2403" t="s">
        <v>2587</v>
      </c>
      <c r="H2403" t="s">
        <v>31</v>
      </c>
      <c r="I2403" s="28" t="s">
        <v>26</v>
      </c>
    </row>
    <row r="2404" spans="1:9" x14ac:dyDescent="0.3">
      <c r="A2404" s="26">
        <v>45336</v>
      </c>
      <c r="B2404" t="s">
        <v>752</v>
      </c>
      <c r="C2404" t="s">
        <v>753</v>
      </c>
      <c r="D2404">
        <v>0.13</v>
      </c>
      <c r="E2404" t="s">
        <v>602</v>
      </c>
      <c r="F2404" t="s">
        <v>754</v>
      </c>
      <c r="G2404" t="s">
        <v>758</v>
      </c>
      <c r="H2404" t="s">
        <v>31</v>
      </c>
      <c r="I2404" s="28" t="s">
        <v>26</v>
      </c>
    </row>
    <row r="2405" spans="1:9" x14ac:dyDescent="0.3">
      <c r="A2405" s="26">
        <v>45336</v>
      </c>
      <c r="B2405" t="s">
        <v>752</v>
      </c>
      <c r="C2405" t="s">
        <v>753</v>
      </c>
      <c r="D2405">
        <v>0.15</v>
      </c>
      <c r="E2405" t="s">
        <v>757</v>
      </c>
      <c r="F2405" t="s">
        <v>754</v>
      </c>
      <c r="G2405" t="s">
        <v>758</v>
      </c>
      <c r="H2405" t="s">
        <v>31</v>
      </c>
      <c r="I2405" s="28" t="s">
        <v>26</v>
      </c>
    </row>
    <row r="2406" spans="1:9" x14ac:dyDescent="0.3">
      <c r="A2406" s="26">
        <v>45336</v>
      </c>
      <c r="B2406" t="s">
        <v>752</v>
      </c>
      <c r="C2406" t="s">
        <v>753</v>
      </c>
      <c r="D2406">
        <v>0.17</v>
      </c>
      <c r="E2406" t="s">
        <v>757</v>
      </c>
      <c r="F2406" t="s">
        <v>754</v>
      </c>
      <c r="G2406" t="s">
        <v>2588</v>
      </c>
      <c r="H2406" t="s">
        <v>31</v>
      </c>
      <c r="I2406" s="28" t="s">
        <v>26</v>
      </c>
    </row>
    <row r="2407" spans="1:9" x14ac:dyDescent="0.3">
      <c r="A2407" s="26">
        <v>45336</v>
      </c>
      <c r="B2407" t="s">
        <v>752</v>
      </c>
      <c r="C2407" t="s">
        <v>753</v>
      </c>
      <c r="D2407">
        <v>0.23</v>
      </c>
      <c r="E2407" t="s">
        <v>561</v>
      </c>
      <c r="F2407" t="s">
        <v>754</v>
      </c>
      <c r="G2407" t="s">
        <v>2589</v>
      </c>
      <c r="H2407" t="s">
        <v>31</v>
      </c>
      <c r="I2407" s="28" t="s">
        <v>26</v>
      </c>
    </row>
    <row r="2408" spans="1:9" x14ac:dyDescent="0.3">
      <c r="A2408" s="26">
        <v>45336</v>
      </c>
      <c r="B2408" t="s">
        <v>752</v>
      </c>
      <c r="C2408" t="s">
        <v>753</v>
      </c>
      <c r="D2408">
        <v>0.25</v>
      </c>
      <c r="E2408" t="s">
        <v>553</v>
      </c>
      <c r="F2408" t="s">
        <v>754</v>
      </c>
      <c r="G2408" t="s">
        <v>765</v>
      </c>
      <c r="H2408" t="s">
        <v>31</v>
      </c>
      <c r="I2408" s="28" t="s">
        <v>26</v>
      </c>
    </row>
    <row r="2409" spans="1:9" x14ac:dyDescent="0.3">
      <c r="A2409" s="26">
        <v>45336</v>
      </c>
      <c r="B2409" t="s">
        <v>752</v>
      </c>
      <c r="C2409" t="s">
        <v>753</v>
      </c>
      <c r="D2409">
        <v>0.3</v>
      </c>
      <c r="E2409" t="s">
        <v>664</v>
      </c>
      <c r="F2409" t="s">
        <v>754</v>
      </c>
      <c r="G2409" t="s">
        <v>1735</v>
      </c>
      <c r="H2409" t="s">
        <v>31</v>
      </c>
      <c r="I2409" s="28" t="s">
        <v>26</v>
      </c>
    </row>
    <row r="2410" spans="1:9" x14ac:dyDescent="0.3">
      <c r="A2410" s="26">
        <v>45336</v>
      </c>
      <c r="B2410" t="s">
        <v>752</v>
      </c>
      <c r="C2410" t="s">
        <v>753</v>
      </c>
      <c r="D2410">
        <v>0.37</v>
      </c>
      <c r="E2410" t="s">
        <v>757</v>
      </c>
      <c r="F2410" t="s">
        <v>754</v>
      </c>
      <c r="G2410" t="s">
        <v>2590</v>
      </c>
      <c r="H2410" t="s">
        <v>31</v>
      </c>
      <c r="I2410" s="28" t="s">
        <v>26</v>
      </c>
    </row>
    <row r="2411" spans="1:9" x14ac:dyDescent="0.3">
      <c r="A2411" s="26">
        <v>45336</v>
      </c>
      <c r="B2411" t="s">
        <v>752</v>
      </c>
      <c r="C2411" t="s">
        <v>753</v>
      </c>
      <c r="D2411">
        <v>0.48</v>
      </c>
      <c r="E2411" t="s">
        <v>430</v>
      </c>
      <c r="F2411" t="s">
        <v>754</v>
      </c>
      <c r="G2411" t="s">
        <v>2407</v>
      </c>
      <c r="H2411" t="s">
        <v>31</v>
      </c>
      <c r="I2411" s="28" t="s">
        <v>26</v>
      </c>
    </row>
    <row r="2412" spans="1:9" x14ac:dyDescent="0.3">
      <c r="A2412" s="26">
        <v>45336</v>
      </c>
      <c r="B2412" t="s">
        <v>752</v>
      </c>
      <c r="C2412" t="s">
        <v>753</v>
      </c>
      <c r="D2412">
        <v>0.7</v>
      </c>
      <c r="E2412" t="s">
        <v>757</v>
      </c>
      <c r="F2412" t="s">
        <v>754</v>
      </c>
      <c r="G2412" t="s">
        <v>2591</v>
      </c>
      <c r="H2412" t="s">
        <v>31</v>
      </c>
      <c r="I2412" s="28" t="s">
        <v>26</v>
      </c>
    </row>
    <row r="2413" spans="1:9" x14ac:dyDescent="0.3">
      <c r="A2413" s="26">
        <v>45336</v>
      </c>
      <c r="B2413" t="s">
        <v>752</v>
      </c>
      <c r="C2413" t="s">
        <v>753</v>
      </c>
      <c r="D2413">
        <v>1.07</v>
      </c>
      <c r="E2413" t="s">
        <v>757</v>
      </c>
      <c r="F2413" t="s">
        <v>754</v>
      </c>
      <c r="G2413" t="s">
        <v>765</v>
      </c>
      <c r="H2413" t="s">
        <v>31</v>
      </c>
      <c r="I2413" s="28" t="s">
        <v>26</v>
      </c>
    </row>
    <row r="2414" spans="1:9" x14ac:dyDescent="0.3">
      <c r="A2414" s="26">
        <v>45336</v>
      </c>
      <c r="B2414" t="s">
        <v>752</v>
      </c>
      <c r="C2414" t="s">
        <v>753</v>
      </c>
      <c r="D2414">
        <v>1.48</v>
      </c>
      <c r="E2414" t="s">
        <v>659</v>
      </c>
      <c r="F2414" t="s">
        <v>754</v>
      </c>
      <c r="G2414" t="s">
        <v>765</v>
      </c>
      <c r="H2414" t="s">
        <v>31</v>
      </c>
      <c r="I2414" s="28" t="s">
        <v>26</v>
      </c>
    </row>
    <row r="2415" spans="1:9" x14ac:dyDescent="0.3">
      <c r="A2415" s="26">
        <v>45336</v>
      </c>
      <c r="B2415" t="s">
        <v>752</v>
      </c>
      <c r="C2415" t="s">
        <v>771</v>
      </c>
      <c r="D2415">
        <v>0.1</v>
      </c>
      <c r="E2415" t="s">
        <v>7</v>
      </c>
      <c r="F2415" t="s">
        <v>772</v>
      </c>
      <c r="G2415" t="s">
        <v>2592</v>
      </c>
      <c r="H2415" t="s">
        <v>31</v>
      </c>
      <c r="I2415" s="28" t="s">
        <v>26</v>
      </c>
    </row>
    <row r="2416" spans="1:9" x14ac:dyDescent="0.3">
      <c r="A2416" s="26">
        <v>45336</v>
      </c>
      <c r="B2416" t="s">
        <v>752</v>
      </c>
      <c r="C2416" t="s">
        <v>771</v>
      </c>
      <c r="D2416">
        <v>0.13</v>
      </c>
      <c r="E2416" t="s">
        <v>7</v>
      </c>
      <c r="F2416" t="s">
        <v>772</v>
      </c>
      <c r="G2416" t="s">
        <v>2593</v>
      </c>
      <c r="H2416" t="s">
        <v>31</v>
      </c>
      <c r="I2416" s="28" t="s">
        <v>26</v>
      </c>
    </row>
    <row r="2417" spans="1:9" x14ac:dyDescent="0.3">
      <c r="A2417" s="26">
        <v>45336</v>
      </c>
      <c r="B2417" t="s">
        <v>752</v>
      </c>
      <c r="C2417" t="s">
        <v>771</v>
      </c>
      <c r="D2417">
        <v>0.17</v>
      </c>
      <c r="E2417" t="s">
        <v>7</v>
      </c>
      <c r="F2417" t="s">
        <v>772</v>
      </c>
      <c r="G2417" t="s">
        <v>2410</v>
      </c>
      <c r="H2417" t="s">
        <v>31</v>
      </c>
      <c r="I2417" s="28" t="s">
        <v>26</v>
      </c>
    </row>
    <row r="2418" spans="1:9" x14ac:dyDescent="0.3">
      <c r="A2418" s="26">
        <v>45336</v>
      </c>
      <c r="B2418" t="s">
        <v>752</v>
      </c>
      <c r="C2418" t="s">
        <v>771</v>
      </c>
      <c r="D2418">
        <v>0.25</v>
      </c>
      <c r="E2418" t="s">
        <v>7</v>
      </c>
      <c r="F2418" t="s">
        <v>772</v>
      </c>
      <c r="G2418" t="s">
        <v>774</v>
      </c>
      <c r="H2418" t="s">
        <v>31</v>
      </c>
      <c r="I2418" s="28" t="s">
        <v>26</v>
      </c>
    </row>
    <row r="2419" spans="1:9" x14ac:dyDescent="0.3">
      <c r="A2419" s="26">
        <v>45336</v>
      </c>
      <c r="B2419" t="s">
        <v>752</v>
      </c>
      <c r="C2419" t="s">
        <v>771</v>
      </c>
      <c r="D2419">
        <v>0.25</v>
      </c>
      <c r="E2419" t="s">
        <v>7</v>
      </c>
      <c r="F2419" t="s">
        <v>772</v>
      </c>
      <c r="G2419" t="s">
        <v>775</v>
      </c>
      <c r="H2419" t="s">
        <v>31</v>
      </c>
      <c r="I2419" s="28" t="s">
        <v>26</v>
      </c>
    </row>
    <row r="2420" spans="1:9" x14ac:dyDescent="0.3">
      <c r="A2420" s="26">
        <v>45336</v>
      </c>
      <c r="B2420" t="s">
        <v>752</v>
      </c>
      <c r="C2420" t="s">
        <v>834</v>
      </c>
      <c r="D2420">
        <v>0.42</v>
      </c>
      <c r="E2420" t="s">
        <v>7</v>
      </c>
      <c r="F2420" t="s">
        <v>772</v>
      </c>
      <c r="G2420" t="s">
        <v>2060</v>
      </c>
      <c r="H2420" t="s">
        <v>31</v>
      </c>
      <c r="I2420" s="28" t="s">
        <v>26</v>
      </c>
    </row>
    <row r="2421" spans="1:9" x14ac:dyDescent="0.3">
      <c r="A2421" s="26">
        <v>45336</v>
      </c>
      <c r="B2421" t="s">
        <v>752</v>
      </c>
      <c r="C2421" t="s">
        <v>776</v>
      </c>
      <c r="D2421">
        <v>0.05</v>
      </c>
      <c r="E2421" t="s">
        <v>458</v>
      </c>
      <c r="F2421" t="s">
        <v>754</v>
      </c>
      <c r="G2421" t="s">
        <v>755</v>
      </c>
      <c r="H2421" t="s">
        <v>31</v>
      </c>
      <c r="I2421" s="28" t="s">
        <v>26</v>
      </c>
    </row>
    <row r="2422" spans="1:9" x14ac:dyDescent="0.3">
      <c r="A2422" s="26">
        <v>45336</v>
      </c>
      <c r="B2422" t="s">
        <v>752</v>
      </c>
      <c r="C2422" t="s">
        <v>776</v>
      </c>
      <c r="D2422">
        <v>0.17</v>
      </c>
      <c r="E2422" t="s">
        <v>659</v>
      </c>
      <c r="F2422" t="s">
        <v>754</v>
      </c>
      <c r="G2422" t="s">
        <v>768</v>
      </c>
      <c r="H2422" t="s">
        <v>31</v>
      </c>
      <c r="I2422" s="28" t="s">
        <v>26</v>
      </c>
    </row>
    <row r="2423" spans="1:9" x14ac:dyDescent="0.3">
      <c r="A2423" s="26">
        <v>45336</v>
      </c>
      <c r="B2423" t="s">
        <v>752</v>
      </c>
      <c r="C2423" t="s">
        <v>776</v>
      </c>
      <c r="D2423">
        <v>0.6</v>
      </c>
      <c r="E2423" t="s">
        <v>561</v>
      </c>
      <c r="F2423" t="s">
        <v>754</v>
      </c>
      <c r="H2423" t="s">
        <v>31</v>
      </c>
      <c r="I2423" s="28" t="s">
        <v>26</v>
      </c>
    </row>
    <row r="2424" spans="1:9" x14ac:dyDescent="0.3">
      <c r="A2424" s="26">
        <v>45336</v>
      </c>
      <c r="B2424" t="s">
        <v>1093</v>
      </c>
      <c r="C2424" t="s">
        <v>1522</v>
      </c>
      <c r="D2424">
        <v>4.5</v>
      </c>
      <c r="E2424" t="s">
        <v>455</v>
      </c>
      <c r="F2424" t="s">
        <v>754</v>
      </c>
      <c r="G2424" t="s">
        <v>2594</v>
      </c>
      <c r="H2424" t="s">
        <v>31</v>
      </c>
      <c r="I2424" s="28" t="s">
        <v>26</v>
      </c>
    </row>
    <row r="2425" spans="1:9" x14ac:dyDescent="0.3">
      <c r="A2425" s="26">
        <v>45336</v>
      </c>
      <c r="B2425" t="s">
        <v>1093</v>
      </c>
      <c r="C2425" t="s">
        <v>1309</v>
      </c>
      <c r="D2425">
        <v>0.17</v>
      </c>
      <c r="E2425" t="s">
        <v>455</v>
      </c>
      <c r="F2425" t="s">
        <v>754</v>
      </c>
      <c r="G2425" t="s">
        <v>2595</v>
      </c>
      <c r="H2425" t="s">
        <v>31</v>
      </c>
      <c r="I2425" s="28" t="s">
        <v>26</v>
      </c>
    </row>
    <row r="2426" spans="1:9" x14ac:dyDescent="0.3">
      <c r="A2426" s="26">
        <v>45336</v>
      </c>
      <c r="B2426" t="s">
        <v>1093</v>
      </c>
      <c r="C2426" t="s">
        <v>1524</v>
      </c>
      <c r="D2426">
        <v>0.75</v>
      </c>
      <c r="E2426" t="s">
        <v>455</v>
      </c>
      <c r="F2426" t="s">
        <v>754</v>
      </c>
      <c r="G2426" t="s">
        <v>2596</v>
      </c>
      <c r="H2426" t="s">
        <v>31</v>
      </c>
      <c r="I2426" s="28" t="s">
        <v>26</v>
      </c>
    </row>
    <row r="2427" spans="1:9" x14ac:dyDescent="0.3">
      <c r="A2427" s="26">
        <v>45336</v>
      </c>
      <c r="B2427" t="s">
        <v>21</v>
      </c>
      <c r="C2427" t="s">
        <v>753</v>
      </c>
      <c r="D2427">
        <v>0.23</v>
      </c>
      <c r="E2427" t="s">
        <v>757</v>
      </c>
      <c r="F2427" t="s">
        <v>772</v>
      </c>
      <c r="G2427" t="s">
        <v>2597</v>
      </c>
      <c r="H2427" t="s">
        <v>31</v>
      </c>
      <c r="I2427" s="28" t="s">
        <v>26</v>
      </c>
    </row>
    <row r="2428" spans="1:9" x14ac:dyDescent="0.3">
      <c r="A2428" s="26">
        <v>45336</v>
      </c>
      <c r="B2428" t="s">
        <v>21</v>
      </c>
      <c r="C2428" t="s">
        <v>753</v>
      </c>
      <c r="D2428">
        <v>1.73</v>
      </c>
      <c r="E2428" t="s">
        <v>13</v>
      </c>
      <c r="F2428" t="s">
        <v>754</v>
      </c>
      <c r="H2428" t="s">
        <v>31</v>
      </c>
      <c r="I2428" s="28" t="s">
        <v>26</v>
      </c>
    </row>
    <row r="2429" spans="1:9" x14ac:dyDescent="0.3">
      <c r="A2429" s="26">
        <v>45336</v>
      </c>
      <c r="B2429" t="s">
        <v>21</v>
      </c>
      <c r="C2429" t="s">
        <v>771</v>
      </c>
      <c r="D2429">
        <v>0.35</v>
      </c>
      <c r="E2429" t="s">
        <v>7</v>
      </c>
      <c r="F2429" t="s">
        <v>772</v>
      </c>
      <c r="G2429" t="s">
        <v>2598</v>
      </c>
      <c r="H2429" t="s">
        <v>31</v>
      </c>
      <c r="I2429" s="28" t="s">
        <v>26</v>
      </c>
    </row>
    <row r="2430" spans="1:9" x14ac:dyDescent="0.3">
      <c r="A2430" s="26">
        <v>45336</v>
      </c>
      <c r="B2430" t="s">
        <v>21</v>
      </c>
      <c r="C2430" t="s">
        <v>771</v>
      </c>
      <c r="D2430">
        <v>0.38</v>
      </c>
      <c r="E2430" t="s">
        <v>7</v>
      </c>
      <c r="F2430" t="s">
        <v>772</v>
      </c>
      <c r="G2430" t="s">
        <v>2599</v>
      </c>
      <c r="H2430" t="s">
        <v>31</v>
      </c>
      <c r="I2430" s="28" t="s">
        <v>26</v>
      </c>
    </row>
    <row r="2431" spans="1:9" x14ac:dyDescent="0.3">
      <c r="A2431" s="26">
        <v>45336</v>
      </c>
      <c r="B2431" t="s">
        <v>21</v>
      </c>
      <c r="C2431" t="s">
        <v>771</v>
      </c>
      <c r="D2431">
        <v>0.42</v>
      </c>
      <c r="E2431" t="s">
        <v>7</v>
      </c>
      <c r="F2431" t="s">
        <v>772</v>
      </c>
      <c r="G2431" t="s">
        <v>2600</v>
      </c>
      <c r="H2431" t="s">
        <v>31</v>
      </c>
      <c r="I2431" s="28" t="s">
        <v>26</v>
      </c>
    </row>
    <row r="2432" spans="1:9" x14ac:dyDescent="0.3">
      <c r="A2432" s="26">
        <v>45336</v>
      </c>
      <c r="B2432" t="s">
        <v>21</v>
      </c>
      <c r="C2432" t="s">
        <v>771</v>
      </c>
      <c r="D2432">
        <v>0.45</v>
      </c>
      <c r="E2432" t="s">
        <v>7</v>
      </c>
      <c r="F2432" t="s">
        <v>772</v>
      </c>
      <c r="G2432" t="s">
        <v>2601</v>
      </c>
      <c r="H2432" t="s">
        <v>31</v>
      </c>
      <c r="I2432" s="28" t="s">
        <v>26</v>
      </c>
    </row>
    <row r="2433" spans="1:9" x14ac:dyDescent="0.3">
      <c r="A2433" s="26">
        <v>45336</v>
      </c>
      <c r="B2433" t="s">
        <v>21</v>
      </c>
      <c r="C2433" t="s">
        <v>771</v>
      </c>
      <c r="D2433">
        <v>0.87</v>
      </c>
      <c r="E2433" t="s">
        <v>7</v>
      </c>
      <c r="F2433" t="s">
        <v>772</v>
      </c>
      <c r="H2433" t="s">
        <v>31</v>
      </c>
      <c r="I2433" s="28" t="s">
        <v>26</v>
      </c>
    </row>
    <row r="2434" spans="1:9" x14ac:dyDescent="0.3">
      <c r="A2434" s="26">
        <v>45336</v>
      </c>
      <c r="B2434" t="s">
        <v>21</v>
      </c>
      <c r="C2434" t="s">
        <v>771</v>
      </c>
      <c r="D2434">
        <v>1.03</v>
      </c>
      <c r="E2434" t="s">
        <v>7</v>
      </c>
      <c r="F2434" t="s">
        <v>772</v>
      </c>
      <c r="G2434" t="s">
        <v>2602</v>
      </c>
      <c r="H2434" t="s">
        <v>31</v>
      </c>
      <c r="I2434" s="28" t="s">
        <v>26</v>
      </c>
    </row>
    <row r="2435" spans="1:9" x14ac:dyDescent="0.3">
      <c r="A2435" s="26">
        <v>45336</v>
      </c>
      <c r="B2435" t="s">
        <v>21</v>
      </c>
      <c r="C2435" t="s">
        <v>776</v>
      </c>
      <c r="D2435">
        <v>0.35</v>
      </c>
      <c r="E2435" t="s">
        <v>589</v>
      </c>
      <c r="F2435" t="s">
        <v>754</v>
      </c>
      <c r="H2435" t="s">
        <v>31</v>
      </c>
      <c r="I2435" s="28" t="s">
        <v>26</v>
      </c>
    </row>
    <row r="2436" spans="1:9" x14ac:dyDescent="0.3">
      <c r="A2436" s="26">
        <v>45336</v>
      </c>
      <c r="B2436" t="s">
        <v>21</v>
      </c>
      <c r="C2436" t="s">
        <v>776</v>
      </c>
      <c r="D2436">
        <v>2.2000000000000002</v>
      </c>
      <c r="E2436" t="s">
        <v>13</v>
      </c>
      <c r="F2436" t="s">
        <v>754</v>
      </c>
      <c r="H2436" t="s">
        <v>31</v>
      </c>
      <c r="I2436" s="28" t="s">
        <v>26</v>
      </c>
    </row>
    <row r="2437" spans="1:9" x14ac:dyDescent="0.3">
      <c r="A2437" s="26">
        <v>45336</v>
      </c>
      <c r="B2437" t="s">
        <v>783</v>
      </c>
      <c r="C2437" t="s">
        <v>1163</v>
      </c>
      <c r="D2437">
        <v>8</v>
      </c>
      <c r="E2437" t="s">
        <v>7</v>
      </c>
      <c r="F2437" t="s">
        <v>772</v>
      </c>
      <c r="H2437" t="s">
        <v>31</v>
      </c>
      <c r="I2437" s="28" t="s">
        <v>26</v>
      </c>
    </row>
    <row r="2438" spans="1:9" x14ac:dyDescent="0.3">
      <c r="A2438" s="26">
        <v>45336</v>
      </c>
      <c r="B2438" t="s">
        <v>785</v>
      </c>
      <c r="C2438" t="s">
        <v>786</v>
      </c>
      <c r="D2438">
        <v>8</v>
      </c>
      <c r="E2438" t="s">
        <v>7</v>
      </c>
      <c r="F2438" t="s">
        <v>772</v>
      </c>
      <c r="G2438" t="s">
        <v>2421</v>
      </c>
      <c r="H2438" t="s">
        <v>31</v>
      </c>
      <c r="I2438" s="28" t="s">
        <v>26</v>
      </c>
    </row>
    <row r="2439" spans="1:9" x14ac:dyDescent="0.3">
      <c r="A2439" s="26">
        <v>45336</v>
      </c>
      <c r="B2439" t="s">
        <v>788</v>
      </c>
      <c r="C2439" t="s">
        <v>786</v>
      </c>
      <c r="D2439">
        <v>8</v>
      </c>
      <c r="E2439" t="s">
        <v>7</v>
      </c>
      <c r="F2439" t="s">
        <v>772</v>
      </c>
      <c r="H2439" t="s">
        <v>31</v>
      </c>
      <c r="I2439" s="28" t="s">
        <v>26</v>
      </c>
    </row>
    <row r="2440" spans="1:9" x14ac:dyDescent="0.3">
      <c r="A2440" s="26">
        <v>45336</v>
      </c>
      <c r="B2440" t="s">
        <v>792</v>
      </c>
      <c r="C2440" t="s">
        <v>753</v>
      </c>
      <c r="D2440">
        <v>0.35</v>
      </c>
      <c r="E2440" t="s">
        <v>790</v>
      </c>
      <c r="F2440" t="s">
        <v>754</v>
      </c>
      <c r="G2440" t="s">
        <v>2603</v>
      </c>
      <c r="H2440" t="s">
        <v>31</v>
      </c>
      <c r="I2440" s="28" t="s">
        <v>26</v>
      </c>
    </row>
    <row r="2441" spans="1:9" x14ac:dyDescent="0.3">
      <c r="A2441" s="26">
        <v>45336</v>
      </c>
      <c r="B2441" t="s">
        <v>792</v>
      </c>
      <c r="C2441" t="s">
        <v>753</v>
      </c>
      <c r="D2441">
        <v>0.5</v>
      </c>
      <c r="E2441" t="s">
        <v>790</v>
      </c>
      <c r="F2441" t="s">
        <v>754</v>
      </c>
      <c r="G2441" t="s">
        <v>1539</v>
      </c>
      <c r="H2441" t="s">
        <v>31</v>
      </c>
      <c r="I2441" s="28" t="s">
        <v>26</v>
      </c>
    </row>
    <row r="2442" spans="1:9" x14ac:dyDescent="0.3">
      <c r="A2442" s="26">
        <v>45336</v>
      </c>
      <c r="B2442" t="s">
        <v>792</v>
      </c>
      <c r="C2442" t="s">
        <v>753</v>
      </c>
      <c r="D2442">
        <v>1.65</v>
      </c>
      <c r="E2442" t="s">
        <v>790</v>
      </c>
      <c r="F2442" t="s">
        <v>754</v>
      </c>
      <c r="G2442" t="s">
        <v>2426</v>
      </c>
      <c r="H2442" t="s">
        <v>31</v>
      </c>
      <c r="I2442" s="28" t="s">
        <v>26</v>
      </c>
    </row>
    <row r="2443" spans="1:9" x14ac:dyDescent="0.3">
      <c r="A2443" s="26">
        <v>45336</v>
      </c>
      <c r="B2443" t="s">
        <v>792</v>
      </c>
      <c r="C2443" t="s">
        <v>753</v>
      </c>
      <c r="D2443">
        <v>5.73</v>
      </c>
      <c r="E2443" t="s">
        <v>790</v>
      </c>
      <c r="F2443" t="s">
        <v>754</v>
      </c>
      <c r="G2443" t="s">
        <v>1541</v>
      </c>
      <c r="H2443" t="s">
        <v>31</v>
      </c>
      <c r="I2443" s="28" t="s">
        <v>26</v>
      </c>
    </row>
    <row r="2444" spans="1:9" x14ac:dyDescent="0.3">
      <c r="A2444" s="26">
        <v>45336</v>
      </c>
      <c r="B2444" t="s">
        <v>796</v>
      </c>
      <c r="C2444" t="s">
        <v>1163</v>
      </c>
      <c r="D2444">
        <v>8</v>
      </c>
      <c r="E2444" t="s">
        <v>7</v>
      </c>
      <c r="F2444" t="s">
        <v>772</v>
      </c>
      <c r="H2444" t="s">
        <v>31</v>
      </c>
      <c r="I2444" s="28" t="s">
        <v>26</v>
      </c>
    </row>
    <row r="2445" spans="1:9" x14ac:dyDescent="0.3">
      <c r="A2445" s="26">
        <v>45336</v>
      </c>
      <c r="B2445" t="s">
        <v>801</v>
      </c>
      <c r="C2445" t="s">
        <v>802</v>
      </c>
      <c r="D2445">
        <v>10.07</v>
      </c>
      <c r="E2445" t="s">
        <v>7</v>
      </c>
      <c r="F2445" t="s">
        <v>772</v>
      </c>
      <c r="H2445" t="s">
        <v>31</v>
      </c>
      <c r="I2445" s="28" t="s">
        <v>26</v>
      </c>
    </row>
    <row r="2446" spans="1:9" x14ac:dyDescent="0.3">
      <c r="A2446" s="26">
        <v>45336</v>
      </c>
      <c r="B2446" t="s">
        <v>803</v>
      </c>
      <c r="C2446" t="s">
        <v>804</v>
      </c>
      <c r="D2446">
        <v>0.02</v>
      </c>
      <c r="E2446" t="s">
        <v>2604</v>
      </c>
      <c r="F2446" t="s">
        <v>772</v>
      </c>
      <c r="H2446" t="s">
        <v>31</v>
      </c>
      <c r="I2446" s="28" t="s">
        <v>26</v>
      </c>
    </row>
    <row r="2447" spans="1:9" x14ac:dyDescent="0.3">
      <c r="A2447" s="26">
        <v>45336</v>
      </c>
      <c r="B2447" t="s">
        <v>803</v>
      </c>
      <c r="C2447" t="s">
        <v>804</v>
      </c>
      <c r="D2447">
        <v>0.02</v>
      </c>
      <c r="E2447" t="s">
        <v>2605</v>
      </c>
      <c r="F2447" t="s">
        <v>772</v>
      </c>
      <c r="H2447" t="s">
        <v>31</v>
      </c>
      <c r="I2447" s="28" t="s">
        <v>26</v>
      </c>
    </row>
    <row r="2448" spans="1:9" x14ac:dyDescent="0.3">
      <c r="A2448" s="26">
        <v>45336</v>
      </c>
      <c r="B2448" t="s">
        <v>808</v>
      </c>
      <c r="C2448" t="s">
        <v>802</v>
      </c>
      <c r="D2448">
        <v>9.25</v>
      </c>
      <c r="E2448" t="s">
        <v>7</v>
      </c>
      <c r="F2448" t="s">
        <v>772</v>
      </c>
      <c r="G2448" t="s">
        <v>2430</v>
      </c>
      <c r="H2448" t="s">
        <v>31</v>
      </c>
      <c r="I2448" s="28" t="s">
        <v>26</v>
      </c>
    </row>
    <row r="2449" spans="1:9" x14ac:dyDescent="0.3">
      <c r="A2449" s="26">
        <v>45336</v>
      </c>
      <c r="B2449" t="s">
        <v>810</v>
      </c>
      <c r="C2449" t="s">
        <v>753</v>
      </c>
      <c r="D2449">
        <v>0.33</v>
      </c>
      <c r="E2449" t="s">
        <v>687</v>
      </c>
      <c r="F2449" t="s">
        <v>754</v>
      </c>
      <c r="G2449" t="s">
        <v>849</v>
      </c>
      <c r="H2449" t="s">
        <v>31</v>
      </c>
      <c r="I2449" s="28" t="s">
        <v>26</v>
      </c>
    </row>
    <row r="2450" spans="1:9" x14ac:dyDescent="0.3">
      <c r="A2450" s="26">
        <v>45336</v>
      </c>
      <c r="B2450" t="s">
        <v>810</v>
      </c>
      <c r="C2450" t="s">
        <v>753</v>
      </c>
      <c r="D2450">
        <v>0.5</v>
      </c>
      <c r="E2450" t="s">
        <v>815</v>
      </c>
      <c r="F2450" t="s">
        <v>772</v>
      </c>
      <c r="G2450" t="s">
        <v>2606</v>
      </c>
      <c r="H2450" t="s">
        <v>31</v>
      </c>
      <c r="I2450" s="28" t="s">
        <v>26</v>
      </c>
    </row>
    <row r="2451" spans="1:9" x14ac:dyDescent="0.3">
      <c r="A2451" s="26">
        <v>45336</v>
      </c>
      <c r="B2451" t="s">
        <v>810</v>
      </c>
      <c r="C2451" t="s">
        <v>753</v>
      </c>
      <c r="D2451">
        <v>0.83</v>
      </c>
      <c r="E2451" t="s">
        <v>817</v>
      </c>
      <c r="F2451" t="s">
        <v>754</v>
      </c>
      <c r="G2451" t="s">
        <v>1549</v>
      </c>
      <c r="H2451" t="s">
        <v>31</v>
      </c>
      <c r="I2451" s="28" t="s">
        <v>26</v>
      </c>
    </row>
    <row r="2452" spans="1:9" x14ac:dyDescent="0.3">
      <c r="A2452" s="26">
        <v>45336</v>
      </c>
      <c r="B2452" t="s">
        <v>810</v>
      </c>
      <c r="C2452" t="s">
        <v>753</v>
      </c>
      <c r="D2452">
        <v>1.33</v>
      </c>
      <c r="E2452" t="s">
        <v>814</v>
      </c>
      <c r="F2452" t="s">
        <v>754</v>
      </c>
      <c r="G2452" t="s">
        <v>1549</v>
      </c>
      <c r="H2452" t="s">
        <v>31</v>
      </c>
      <c r="I2452" s="28" t="s">
        <v>26</v>
      </c>
    </row>
    <row r="2453" spans="1:9" x14ac:dyDescent="0.3">
      <c r="A2453" s="26">
        <v>45336</v>
      </c>
      <c r="B2453" t="s">
        <v>810</v>
      </c>
      <c r="C2453" t="s">
        <v>753</v>
      </c>
      <c r="D2453">
        <v>1.92</v>
      </c>
      <c r="E2453" t="s">
        <v>516</v>
      </c>
      <c r="F2453" t="s">
        <v>754</v>
      </c>
      <c r="G2453" t="s">
        <v>1337</v>
      </c>
      <c r="H2453" t="s">
        <v>31</v>
      </c>
      <c r="I2453" s="28" t="s">
        <v>26</v>
      </c>
    </row>
    <row r="2454" spans="1:9" x14ac:dyDescent="0.3">
      <c r="A2454" s="26">
        <v>45336</v>
      </c>
      <c r="B2454" t="s">
        <v>810</v>
      </c>
      <c r="C2454" t="s">
        <v>771</v>
      </c>
      <c r="D2454">
        <v>0.5</v>
      </c>
      <c r="E2454" t="s">
        <v>7</v>
      </c>
      <c r="F2454" t="s">
        <v>772</v>
      </c>
      <c r="G2454" t="s">
        <v>781</v>
      </c>
      <c r="H2454" t="s">
        <v>31</v>
      </c>
      <c r="I2454" s="28" t="s">
        <v>26</v>
      </c>
    </row>
    <row r="2455" spans="1:9" x14ac:dyDescent="0.3">
      <c r="A2455" s="26">
        <v>45336</v>
      </c>
      <c r="B2455" t="s">
        <v>810</v>
      </c>
      <c r="C2455" t="s">
        <v>919</v>
      </c>
      <c r="D2455">
        <v>0.17</v>
      </c>
      <c r="E2455" t="s">
        <v>1343</v>
      </c>
      <c r="F2455" t="s">
        <v>754</v>
      </c>
      <c r="G2455" t="s">
        <v>2607</v>
      </c>
      <c r="H2455" t="s">
        <v>31</v>
      </c>
      <c r="I2455" s="28" t="s">
        <v>26</v>
      </c>
    </row>
    <row r="2456" spans="1:9" x14ac:dyDescent="0.3">
      <c r="A2456" s="26">
        <v>45336</v>
      </c>
      <c r="B2456" t="s">
        <v>810</v>
      </c>
      <c r="C2456" t="s">
        <v>919</v>
      </c>
      <c r="D2456">
        <v>0.33</v>
      </c>
      <c r="E2456" t="s">
        <v>1342</v>
      </c>
      <c r="F2456" t="s">
        <v>754</v>
      </c>
      <c r="G2456" t="s">
        <v>2607</v>
      </c>
      <c r="H2456" t="s">
        <v>31</v>
      </c>
      <c r="I2456" s="28" t="s">
        <v>26</v>
      </c>
    </row>
    <row r="2457" spans="1:9" x14ac:dyDescent="0.3">
      <c r="A2457" s="26">
        <v>45336</v>
      </c>
      <c r="B2457" t="s">
        <v>810</v>
      </c>
      <c r="C2457" t="s">
        <v>919</v>
      </c>
      <c r="D2457">
        <v>2.08</v>
      </c>
      <c r="E2457" t="s">
        <v>2435</v>
      </c>
      <c r="F2457" t="s">
        <v>754</v>
      </c>
      <c r="G2457" t="s">
        <v>2608</v>
      </c>
      <c r="H2457" t="s">
        <v>31</v>
      </c>
      <c r="I2457" s="28" t="s">
        <v>26</v>
      </c>
    </row>
    <row r="2458" spans="1:9" x14ac:dyDescent="0.3">
      <c r="A2458" s="26">
        <v>45336</v>
      </c>
      <c r="B2458" t="s">
        <v>825</v>
      </c>
      <c r="C2458" t="s">
        <v>2609</v>
      </c>
      <c r="D2458">
        <v>0.67</v>
      </c>
      <c r="E2458" t="s">
        <v>296</v>
      </c>
      <c r="F2458" t="s">
        <v>754</v>
      </c>
      <c r="G2458" t="s">
        <v>2610</v>
      </c>
      <c r="H2458" t="s">
        <v>31</v>
      </c>
      <c r="I2458" s="28" t="s">
        <v>26</v>
      </c>
    </row>
    <row r="2459" spans="1:9" x14ac:dyDescent="0.3">
      <c r="A2459" s="26">
        <v>45336</v>
      </c>
      <c r="B2459" t="s">
        <v>825</v>
      </c>
      <c r="C2459" t="s">
        <v>2609</v>
      </c>
      <c r="D2459">
        <v>0.67</v>
      </c>
      <c r="E2459" t="s">
        <v>529</v>
      </c>
      <c r="F2459" t="s">
        <v>754</v>
      </c>
      <c r="G2459" t="s">
        <v>2611</v>
      </c>
      <c r="H2459" t="s">
        <v>31</v>
      </c>
      <c r="I2459" s="28" t="s">
        <v>26</v>
      </c>
    </row>
    <row r="2460" spans="1:9" x14ac:dyDescent="0.3">
      <c r="A2460" s="26">
        <v>45336</v>
      </c>
      <c r="B2460" t="s">
        <v>825</v>
      </c>
      <c r="C2460" t="s">
        <v>1975</v>
      </c>
      <c r="D2460">
        <v>1.5</v>
      </c>
      <c r="E2460" t="s">
        <v>250</v>
      </c>
      <c r="F2460" t="s">
        <v>754</v>
      </c>
      <c r="G2460" t="s">
        <v>2612</v>
      </c>
      <c r="H2460" t="s">
        <v>31</v>
      </c>
      <c r="I2460" s="28" t="s">
        <v>26</v>
      </c>
    </row>
    <row r="2461" spans="1:9" x14ac:dyDescent="0.3">
      <c r="A2461" s="26">
        <v>45336</v>
      </c>
      <c r="B2461" t="s">
        <v>829</v>
      </c>
      <c r="C2461" t="s">
        <v>753</v>
      </c>
      <c r="D2461">
        <v>0.2</v>
      </c>
      <c r="E2461" t="s">
        <v>2613</v>
      </c>
      <c r="F2461" t="s">
        <v>754</v>
      </c>
      <c r="G2461" t="s">
        <v>2614</v>
      </c>
      <c r="H2461" t="s">
        <v>31</v>
      </c>
      <c r="I2461" s="28" t="s">
        <v>26</v>
      </c>
    </row>
    <row r="2462" spans="1:9" x14ac:dyDescent="0.3">
      <c r="A2462" s="26">
        <v>45336</v>
      </c>
      <c r="B2462" t="s">
        <v>829</v>
      </c>
      <c r="C2462" t="s">
        <v>753</v>
      </c>
      <c r="D2462">
        <v>0.27</v>
      </c>
      <c r="E2462" t="s">
        <v>375</v>
      </c>
      <c r="F2462" t="s">
        <v>772</v>
      </c>
      <c r="G2462" t="s">
        <v>2615</v>
      </c>
      <c r="H2462" t="s">
        <v>31</v>
      </c>
      <c r="I2462" s="28" t="s">
        <v>26</v>
      </c>
    </row>
    <row r="2463" spans="1:9" x14ac:dyDescent="0.3">
      <c r="A2463" s="26">
        <v>45336</v>
      </c>
      <c r="B2463" t="s">
        <v>829</v>
      </c>
      <c r="C2463" t="s">
        <v>753</v>
      </c>
      <c r="D2463">
        <v>0.28000000000000003</v>
      </c>
      <c r="E2463" t="s">
        <v>248</v>
      </c>
      <c r="F2463" t="s">
        <v>754</v>
      </c>
      <c r="G2463" t="s">
        <v>2616</v>
      </c>
      <c r="H2463" t="s">
        <v>31</v>
      </c>
      <c r="I2463" s="28" t="s">
        <v>26</v>
      </c>
    </row>
    <row r="2464" spans="1:9" x14ac:dyDescent="0.3">
      <c r="A2464" s="26">
        <v>45336</v>
      </c>
      <c r="B2464" t="s">
        <v>829</v>
      </c>
      <c r="C2464" t="s">
        <v>753</v>
      </c>
      <c r="D2464">
        <v>0.4</v>
      </c>
      <c r="E2464" t="s">
        <v>857</v>
      </c>
      <c r="F2464" t="s">
        <v>754</v>
      </c>
      <c r="G2464" t="s">
        <v>2617</v>
      </c>
      <c r="H2464" t="s">
        <v>31</v>
      </c>
      <c r="I2464" s="28" t="s">
        <v>26</v>
      </c>
    </row>
    <row r="2465" spans="1:9" x14ac:dyDescent="0.3">
      <c r="A2465" s="26">
        <v>45336</v>
      </c>
      <c r="B2465" t="s">
        <v>829</v>
      </c>
      <c r="C2465" t="s">
        <v>753</v>
      </c>
      <c r="D2465">
        <v>1.02</v>
      </c>
      <c r="E2465" t="s">
        <v>2613</v>
      </c>
      <c r="F2465" t="s">
        <v>754</v>
      </c>
      <c r="G2465" t="s">
        <v>2618</v>
      </c>
      <c r="H2465" t="s">
        <v>31</v>
      </c>
      <c r="I2465" s="28" t="s">
        <v>26</v>
      </c>
    </row>
    <row r="2466" spans="1:9" x14ac:dyDescent="0.3">
      <c r="A2466" s="26">
        <v>45336</v>
      </c>
      <c r="B2466" t="s">
        <v>829</v>
      </c>
      <c r="C2466" t="s">
        <v>753</v>
      </c>
      <c r="D2466">
        <v>1.37</v>
      </c>
      <c r="E2466" t="s">
        <v>226</v>
      </c>
      <c r="F2466" t="s">
        <v>754</v>
      </c>
      <c r="G2466" t="s">
        <v>2442</v>
      </c>
      <c r="H2466" t="s">
        <v>31</v>
      </c>
      <c r="I2466" s="28" t="s">
        <v>26</v>
      </c>
    </row>
    <row r="2467" spans="1:9" x14ac:dyDescent="0.3">
      <c r="A2467" s="26">
        <v>45336</v>
      </c>
      <c r="B2467" t="s">
        <v>829</v>
      </c>
      <c r="C2467" t="s">
        <v>753</v>
      </c>
      <c r="D2467">
        <v>2.13</v>
      </c>
      <c r="E2467" t="s">
        <v>226</v>
      </c>
      <c r="F2467" t="s">
        <v>754</v>
      </c>
      <c r="G2467" t="s">
        <v>2619</v>
      </c>
      <c r="H2467" t="s">
        <v>31</v>
      </c>
      <c r="I2467" s="28" t="s">
        <v>26</v>
      </c>
    </row>
    <row r="2468" spans="1:9" x14ac:dyDescent="0.3">
      <c r="A2468" s="26">
        <v>45336</v>
      </c>
      <c r="B2468" t="s">
        <v>829</v>
      </c>
      <c r="C2468" t="s">
        <v>789</v>
      </c>
      <c r="D2468">
        <v>0.52</v>
      </c>
      <c r="E2468" t="s">
        <v>375</v>
      </c>
      <c r="F2468" t="s">
        <v>754</v>
      </c>
      <c r="G2468" t="s">
        <v>2620</v>
      </c>
      <c r="H2468" t="s">
        <v>31</v>
      </c>
      <c r="I2468" s="28" t="s">
        <v>26</v>
      </c>
    </row>
    <row r="2469" spans="1:9" x14ac:dyDescent="0.3">
      <c r="A2469" s="26">
        <v>45336</v>
      </c>
      <c r="B2469" t="s">
        <v>829</v>
      </c>
      <c r="C2469" t="s">
        <v>771</v>
      </c>
      <c r="D2469">
        <v>0.15</v>
      </c>
      <c r="E2469" t="s">
        <v>7</v>
      </c>
      <c r="F2469" t="s">
        <v>772</v>
      </c>
      <c r="G2469" t="s">
        <v>1557</v>
      </c>
      <c r="H2469" t="s">
        <v>31</v>
      </c>
      <c r="I2469" s="28" t="s">
        <v>26</v>
      </c>
    </row>
    <row r="2470" spans="1:9" x14ac:dyDescent="0.3">
      <c r="A2470" s="26">
        <v>45336</v>
      </c>
      <c r="B2470" t="s">
        <v>829</v>
      </c>
      <c r="C2470" t="s">
        <v>771</v>
      </c>
      <c r="D2470">
        <v>0.28000000000000003</v>
      </c>
      <c r="E2470" t="s">
        <v>7</v>
      </c>
      <c r="F2470" t="s">
        <v>772</v>
      </c>
      <c r="G2470" t="s">
        <v>2621</v>
      </c>
      <c r="H2470" t="s">
        <v>31</v>
      </c>
      <c r="I2470" s="28" t="s">
        <v>26</v>
      </c>
    </row>
    <row r="2471" spans="1:9" x14ac:dyDescent="0.3">
      <c r="A2471" s="26">
        <v>45336</v>
      </c>
      <c r="B2471" t="s">
        <v>829</v>
      </c>
      <c r="C2471" t="s">
        <v>771</v>
      </c>
      <c r="D2471">
        <v>0.72</v>
      </c>
      <c r="E2471" t="s">
        <v>7</v>
      </c>
      <c r="F2471" t="s">
        <v>772</v>
      </c>
      <c r="G2471" t="s">
        <v>2622</v>
      </c>
      <c r="H2471" t="s">
        <v>31</v>
      </c>
      <c r="I2471" s="28" t="s">
        <v>26</v>
      </c>
    </row>
    <row r="2472" spans="1:9" x14ac:dyDescent="0.3">
      <c r="A2472" s="26">
        <v>45336</v>
      </c>
      <c r="B2472" t="s">
        <v>829</v>
      </c>
      <c r="C2472" t="s">
        <v>916</v>
      </c>
      <c r="D2472">
        <v>0.45</v>
      </c>
      <c r="E2472" t="s">
        <v>210</v>
      </c>
      <c r="F2472" t="s">
        <v>754</v>
      </c>
      <c r="G2472" t="s">
        <v>2623</v>
      </c>
      <c r="H2472" t="s">
        <v>31</v>
      </c>
      <c r="I2472" s="28" t="s">
        <v>26</v>
      </c>
    </row>
    <row r="2473" spans="1:9" x14ac:dyDescent="0.3">
      <c r="A2473" s="26">
        <v>45336</v>
      </c>
      <c r="B2473" t="s">
        <v>829</v>
      </c>
      <c r="C2473" t="s">
        <v>835</v>
      </c>
      <c r="D2473">
        <v>0.22</v>
      </c>
      <c r="E2473" t="s">
        <v>375</v>
      </c>
      <c r="F2473" t="s">
        <v>754</v>
      </c>
      <c r="G2473" t="s">
        <v>2624</v>
      </c>
      <c r="H2473" t="s">
        <v>31</v>
      </c>
      <c r="I2473" s="28" t="s">
        <v>26</v>
      </c>
    </row>
    <row r="2474" spans="1:9" x14ac:dyDescent="0.3">
      <c r="A2474" s="26">
        <v>45336</v>
      </c>
      <c r="B2474" t="s">
        <v>840</v>
      </c>
      <c r="C2474" t="s">
        <v>771</v>
      </c>
      <c r="D2474">
        <v>9.6199999999999992</v>
      </c>
      <c r="E2474" t="s">
        <v>7</v>
      </c>
      <c r="F2474" t="s">
        <v>772</v>
      </c>
      <c r="G2474" t="e">
        <f>- ASIC - Arranged the delivery of Laptop to Sherly Oro. - call to ATO - Harmony Build - Checked and summarized application letter for Super Foods. - Created New Joiner Poster</f>
        <v>#NAME?</v>
      </c>
      <c r="H2474" t="s">
        <v>31</v>
      </c>
      <c r="I2474" s="28" t="s">
        <v>26</v>
      </c>
    </row>
    <row r="2475" spans="1:9" x14ac:dyDescent="0.3">
      <c r="A2475" s="26">
        <v>45336</v>
      </c>
      <c r="B2475" t="s">
        <v>843</v>
      </c>
      <c r="C2475" t="s">
        <v>753</v>
      </c>
      <c r="D2475">
        <v>0.56999999999999995</v>
      </c>
      <c r="E2475" t="s">
        <v>845</v>
      </c>
      <c r="F2475" t="s">
        <v>754</v>
      </c>
      <c r="G2475" t="s">
        <v>1143</v>
      </c>
      <c r="H2475" t="s">
        <v>31</v>
      </c>
      <c r="I2475" s="28" t="s">
        <v>26</v>
      </c>
    </row>
    <row r="2476" spans="1:9" x14ac:dyDescent="0.3">
      <c r="A2476" s="26">
        <v>45336</v>
      </c>
      <c r="B2476" t="s">
        <v>843</v>
      </c>
      <c r="C2476" t="s">
        <v>753</v>
      </c>
      <c r="D2476">
        <v>0.72</v>
      </c>
      <c r="E2476" t="s">
        <v>845</v>
      </c>
      <c r="F2476" t="s">
        <v>754</v>
      </c>
      <c r="G2476" t="s">
        <v>2625</v>
      </c>
      <c r="H2476" t="s">
        <v>31</v>
      </c>
      <c r="I2476" s="28" t="s">
        <v>26</v>
      </c>
    </row>
    <row r="2477" spans="1:9" x14ac:dyDescent="0.3">
      <c r="A2477" s="26">
        <v>45336</v>
      </c>
      <c r="B2477" t="s">
        <v>843</v>
      </c>
      <c r="C2477" t="s">
        <v>753</v>
      </c>
      <c r="D2477">
        <v>1.22</v>
      </c>
      <c r="E2477" t="s">
        <v>563</v>
      </c>
      <c r="F2477" t="s">
        <v>772</v>
      </c>
      <c r="G2477" t="s">
        <v>2626</v>
      </c>
      <c r="H2477" t="s">
        <v>31</v>
      </c>
      <c r="I2477" s="28" t="s">
        <v>26</v>
      </c>
    </row>
    <row r="2478" spans="1:9" x14ac:dyDescent="0.3">
      <c r="A2478" s="26">
        <v>45336</v>
      </c>
      <c r="B2478" t="s">
        <v>843</v>
      </c>
      <c r="C2478" t="s">
        <v>753</v>
      </c>
      <c r="D2478">
        <v>1.37</v>
      </c>
      <c r="E2478" t="s">
        <v>845</v>
      </c>
      <c r="F2478" t="s">
        <v>754</v>
      </c>
      <c r="G2478" t="s">
        <v>2627</v>
      </c>
      <c r="H2478" t="s">
        <v>31</v>
      </c>
      <c r="I2478" s="28" t="s">
        <v>26</v>
      </c>
    </row>
    <row r="2479" spans="1:9" x14ac:dyDescent="0.3">
      <c r="A2479" s="26">
        <v>45336</v>
      </c>
      <c r="B2479" t="s">
        <v>843</v>
      </c>
      <c r="C2479" t="s">
        <v>753</v>
      </c>
      <c r="D2479">
        <v>2.0299999999999998</v>
      </c>
      <c r="E2479" t="s">
        <v>234</v>
      </c>
      <c r="F2479" t="s">
        <v>754</v>
      </c>
      <c r="G2479" t="s">
        <v>2628</v>
      </c>
      <c r="H2479" t="s">
        <v>31</v>
      </c>
      <c r="I2479" s="28" t="s">
        <v>26</v>
      </c>
    </row>
    <row r="2480" spans="1:9" x14ac:dyDescent="0.3">
      <c r="A2480" s="26">
        <v>45336</v>
      </c>
      <c r="B2480" t="s">
        <v>843</v>
      </c>
      <c r="C2480" t="s">
        <v>853</v>
      </c>
      <c r="D2480">
        <v>0.72</v>
      </c>
      <c r="E2480" t="s">
        <v>259</v>
      </c>
      <c r="F2480" t="s">
        <v>754</v>
      </c>
      <c r="G2480" t="s">
        <v>846</v>
      </c>
      <c r="H2480" t="s">
        <v>31</v>
      </c>
      <c r="I2480" s="28" t="s">
        <v>26</v>
      </c>
    </row>
    <row r="2481" spans="1:9" x14ac:dyDescent="0.3">
      <c r="A2481" s="26">
        <v>45336</v>
      </c>
      <c r="B2481" t="s">
        <v>843</v>
      </c>
      <c r="C2481" t="s">
        <v>771</v>
      </c>
      <c r="D2481">
        <v>0.38</v>
      </c>
      <c r="E2481" t="s">
        <v>7</v>
      </c>
      <c r="F2481" t="s">
        <v>772</v>
      </c>
      <c r="G2481" t="s">
        <v>1012</v>
      </c>
      <c r="H2481" t="s">
        <v>31</v>
      </c>
      <c r="I2481" s="28" t="s">
        <v>26</v>
      </c>
    </row>
    <row r="2482" spans="1:9" x14ac:dyDescent="0.3">
      <c r="A2482" s="26">
        <v>45336</v>
      </c>
      <c r="B2482" t="s">
        <v>843</v>
      </c>
      <c r="C2482" t="s">
        <v>771</v>
      </c>
      <c r="D2482">
        <v>0.5</v>
      </c>
      <c r="E2482" t="s">
        <v>7</v>
      </c>
      <c r="F2482" t="s">
        <v>772</v>
      </c>
      <c r="G2482" t="s">
        <v>781</v>
      </c>
      <c r="H2482" t="s">
        <v>31</v>
      </c>
      <c r="I2482" s="28" t="s">
        <v>26</v>
      </c>
    </row>
    <row r="2483" spans="1:9" x14ac:dyDescent="0.3">
      <c r="A2483" s="26">
        <v>45336</v>
      </c>
      <c r="B2483" t="s">
        <v>843</v>
      </c>
      <c r="C2483" t="s">
        <v>874</v>
      </c>
      <c r="D2483">
        <v>0.5</v>
      </c>
      <c r="E2483" t="s">
        <v>7</v>
      </c>
      <c r="F2483" t="s">
        <v>772</v>
      </c>
      <c r="H2483" t="s">
        <v>31</v>
      </c>
      <c r="I2483" s="28" t="s">
        <v>26</v>
      </c>
    </row>
    <row r="2484" spans="1:9" x14ac:dyDescent="0.3">
      <c r="A2484" s="26">
        <v>45336</v>
      </c>
      <c r="B2484" t="s">
        <v>856</v>
      </c>
      <c r="C2484" t="s">
        <v>1163</v>
      </c>
      <c r="D2484">
        <v>8</v>
      </c>
      <c r="E2484" t="s">
        <v>7</v>
      </c>
      <c r="F2484" t="s">
        <v>772</v>
      </c>
      <c r="H2484" t="s">
        <v>31</v>
      </c>
      <c r="I2484" s="28" t="s">
        <v>26</v>
      </c>
    </row>
    <row r="2485" spans="1:9" x14ac:dyDescent="0.3">
      <c r="A2485" s="26">
        <v>45336</v>
      </c>
      <c r="B2485" t="s">
        <v>33</v>
      </c>
      <c r="C2485" t="s">
        <v>771</v>
      </c>
      <c r="D2485">
        <v>0.56999999999999995</v>
      </c>
      <c r="E2485" t="s">
        <v>7</v>
      </c>
      <c r="F2485" t="s">
        <v>772</v>
      </c>
      <c r="G2485" t="s">
        <v>2629</v>
      </c>
      <c r="H2485" t="s">
        <v>31</v>
      </c>
      <c r="I2485" s="28" t="s">
        <v>26</v>
      </c>
    </row>
    <row r="2486" spans="1:9" x14ac:dyDescent="0.3">
      <c r="A2486" s="26">
        <v>45336</v>
      </c>
      <c r="B2486" t="s">
        <v>33</v>
      </c>
      <c r="C2486" t="s">
        <v>771</v>
      </c>
      <c r="D2486">
        <v>0.6</v>
      </c>
      <c r="E2486" t="s">
        <v>7</v>
      </c>
      <c r="F2486" t="s">
        <v>772</v>
      </c>
      <c r="G2486" t="s">
        <v>2630</v>
      </c>
      <c r="H2486" t="s">
        <v>31</v>
      </c>
      <c r="I2486" s="28" t="s">
        <v>26</v>
      </c>
    </row>
    <row r="2487" spans="1:9" x14ac:dyDescent="0.3">
      <c r="A2487" s="26">
        <v>45336</v>
      </c>
      <c r="B2487" t="s">
        <v>33</v>
      </c>
      <c r="C2487" t="s">
        <v>771</v>
      </c>
      <c r="D2487">
        <v>1.23</v>
      </c>
      <c r="E2487" t="s">
        <v>7</v>
      </c>
      <c r="F2487" t="s">
        <v>772</v>
      </c>
      <c r="G2487" t="s">
        <v>2631</v>
      </c>
      <c r="H2487" t="s">
        <v>31</v>
      </c>
      <c r="I2487" s="28" t="s">
        <v>26</v>
      </c>
    </row>
    <row r="2488" spans="1:9" x14ac:dyDescent="0.3">
      <c r="A2488" s="26">
        <v>45336</v>
      </c>
      <c r="B2488" t="s">
        <v>33</v>
      </c>
      <c r="C2488" t="s">
        <v>771</v>
      </c>
      <c r="D2488">
        <v>1.35</v>
      </c>
      <c r="E2488" t="s">
        <v>7</v>
      </c>
      <c r="F2488" t="s">
        <v>772</v>
      </c>
      <c r="G2488" t="s">
        <v>2632</v>
      </c>
      <c r="H2488" t="s">
        <v>31</v>
      </c>
      <c r="I2488" s="28" t="s">
        <v>26</v>
      </c>
    </row>
    <row r="2489" spans="1:9" x14ac:dyDescent="0.3">
      <c r="A2489" s="26">
        <v>45336</v>
      </c>
      <c r="B2489" t="s">
        <v>33</v>
      </c>
      <c r="C2489" t="s">
        <v>771</v>
      </c>
      <c r="D2489">
        <v>1.35</v>
      </c>
      <c r="E2489" t="s">
        <v>7</v>
      </c>
      <c r="F2489" t="s">
        <v>772</v>
      </c>
      <c r="G2489" t="s">
        <v>2633</v>
      </c>
      <c r="H2489" t="s">
        <v>31</v>
      </c>
      <c r="I2489" s="28" t="s">
        <v>26</v>
      </c>
    </row>
    <row r="2490" spans="1:9" x14ac:dyDescent="0.3">
      <c r="A2490" s="26">
        <v>45336</v>
      </c>
      <c r="B2490" t="s">
        <v>33</v>
      </c>
      <c r="C2490" t="s">
        <v>771</v>
      </c>
      <c r="D2490">
        <v>2.38</v>
      </c>
      <c r="E2490" t="s">
        <v>7</v>
      </c>
      <c r="F2490" t="s">
        <v>772</v>
      </c>
      <c r="G2490" t="s">
        <v>2634</v>
      </c>
      <c r="H2490" t="s">
        <v>31</v>
      </c>
      <c r="I2490" s="28" t="s">
        <v>26</v>
      </c>
    </row>
    <row r="2491" spans="1:9" x14ac:dyDescent="0.3">
      <c r="A2491" s="26">
        <v>45336</v>
      </c>
      <c r="B2491" t="s">
        <v>33</v>
      </c>
      <c r="C2491" t="s">
        <v>874</v>
      </c>
      <c r="D2491">
        <v>0.23</v>
      </c>
      <c r="E2491" t="s">
        <v>7</v>
      </c>
      <c r="F2491" t="s">
        <v>772</v>
      </c>
      <c r="G2491" t="s">
        <v>2635</v>
      </c>
      <c r="H2491" t="s">
        <v>31</v>
      </c>
      <c r="I2491" s="28" t="s">
        <v>26</v>
      </c>
    </row>
    <row r="2492" spans="1:9" x14ac:dyDescent="0.3">
      <c r="A2492" s="26">
        <v>45336</v>
      </c>
      <c r="B2492" t="s">
        <v>876</v>
      </c>
      <c r="C2492" t="s">
        <v>776</v>
      </c>
      <c r="D2492">
        <v>1.8</v>
      </c>
      <c r="E2492" t="s">
        <v>11</v>
      </c>
      <c r="F2492" t="s">
        <v>754</v>
      </c>
      <c r="H2492" t="s">
        <v>31</v>
      </c>
      <c r="I2492" s="28" t="s">
        <v>26</v>
      </c>
    </row>
    <row r="2493" spans="1:9" x14ac:dyDescent="0.3">
      <c r="A2493" s="26">
        <v>45336</v>
      </c>
      <c r="B2493" t="s">
        <v>876</v>
      </c>
      <c r="C2493" t="s">
        <v>776</v>
      </c>
      <c r="D2493">
        <v>6.25</v>
      </c>
      <c r="E2493" t="s">
        <v>664</v>
      </c>
      <c r="F2493" t="s">
        <v>754</v>
      </c>
      <c r="H2493" t="s">
        <v>31</v>
      </c>
      <c r="I2493" s="28" t="s">
        <v>26</v>
      </c>
    </row>
    <row r="2494" spans="1:9" x14ac:dyDescent="0.3">
      <c r="A2494" s="26">
        <v>45336</v>
      </c>
      <c r="B2494" t="s">
        <v>877</v>
      </c>
      <c r="C2494" t="s">
        <v>878</v>
      </c>
      <c r="D2494">
        <v>1.83</v>
      </c>
      <c r="E2494" t="s">
        <v>882</v>
      </c>
      <c r="F2494" t="s">
        <v>754</v>
      </c>
      <c r="G2494" t="s">
        <v>2636</v>
      </c>
      <c r="H2494" t="s">
        <v>31</v>
      </c>
      <c r="I2494" s="28" t="s">
        <v>26</v>
      </c>
    </row>
    <row r="2495" spans="1:9" x14ac:dyDescent="0.3">
      <c r="A2495" s="26">
        <v>45336</v>
      </c>
      <c r="B2495" t="s">
        <v>877</v>
      </c>
      <c r="C2495" t="s">
        <v>878</v>
      </c>
      <c r="D2495">
        <v>4.83</v>
      </c>
      <c r="E2495" t="s">
        <v>879</v>
      </c>
      <c r="F2495" t="s">
        <v>754</v>
      </c>
      <c r="G2495" t="s">
        <v>2637</v>
      </c>
      <c r="H2495" t="s">
        <v>31</v>
      </c>
      <c r="I2495" s="28" t="s">
        <v>26</v>
      </c>
    </row>
    <row r="2496" spans="1:9" x14ac:dyDescent="0.3">
      <c r="A2496" s="26">
        <v>45336</v>
      </c>
      <c r="B2496" t="s">
        <v>884</v>
      </c>
      <c r="C2496" t="s">
        <v>753</v>
      </c>
      <c r="D2496">
        <v>0.08</v>
      </c>
      <c r="E2496" t="s">
        <v>646</v>
      </c>
      <c r="F2496" t="s">
        <v>754</v>
      </c>
      <c r="H2496" t="s">
        <v>31</v>
      </c>
      <c r="I2496" s="28" t="s">
        <v>26</v>
      </c>
    </row>
    <row r="2497" spans="1:9" x14ac:dyDescent="0.3">
      <c r="A2497" s="26">
        <v>45336</v>
      </c>
      <c r="B2497" t="s">
        <v>884</v>
      </c>
      <c r="C2497" t="s">
        <v>753</v>
      </c>
      <c r="D2497">
        <v>0.28000000000000003</v>
      </c>
      <c r="E2497" t="s">
        <v>375</v>
      </c>
      <c r="F2497" t="s">
        <v>754</v>
      </c>
      <c r="G2497" t="s">
        <v>2638</v>
      </c>
      <c r="H2497" t="s">
        <v>31</v>
      </c>
      <c r="I2497" s="28" t="s">
        <v>26</v>
      </c>
    </row>
    <row r="2498" spans="1:9" x14ac:dyDescent="0.3">
      <c r="A2498" s="26">
        <v>45336</v>
      </c>
      <c r="B2498" t="s">
        <v>884</v>
      </c>
      <c r="C2498" t="s">
        <v>753</v>
      </c>
      <c r="D2498">
        <v>0.42</v>
      </c>
      <c r="E2498" t="s">
        <v>11</v>
      </c>
      <c r="F2498" t="s">
        <v>754</v>
      </c>
      <c r="G2498" t="s">
        <v>2639</v>
      </c>
      <c r="H2498" t="s">
        <v>31</v>
      </c>
      <c r="I2498" s="28" t="s">
        <v>26</v>
      </c>
    </row>
    <row r="2499" spans="1:9" x14ac:dyDescent="0.3">
      <c r="A2499" s="26">
        <v>45336</v>
      </c>
      <c r="B2499" t="s">
        <v>884</v>
      </c>
      <c r="C2499" t="s">
        <v>753</v>
      </c>
      <c r="D2499">
        <v>0.47</v>
      </c>
      <c r="E2499" t="s">
        <v>248</v>
      </c>
      <c r="F2499" t="s">
        <v>754</v>
      </c>
      <c r="G2499" t="s">
        <v>849</v>
      </c>
      <c r="H2499" t="s">
        <v>31</v>
      </c>
      <c r="I2499" s="28" t="s">
        <v>26</v>
      </c>
    </row>
    <row r="2500" spans="1:9" x14ac:dyDescent="0.3">
      <c r="A2500" s="26">
        <v>45336</v>
      </c>
      <c r="B2500" t="s">
        <v>884</v>
      </c>
      <c r="C2500" t="s">
        <v>753</v>
      </c>
      <c r="D2500">
        <v>0.52</v>
      </c>
      <c r="E2500" t="s">
        <v>248</v>
      </c>
      <c r="F2500" t="s">
        <v>754</v>
      </c>
      <c r="G2500" t="s">
        <v>2640</v>
      </c>
      <c r="H2500" t="s">
        <v>31</v>
      </c>
      <c r="I2500" s="28" t="s">
        <v>26</v>
      </c>
    </row>
    <row r="2501" spans="1:9" x14ac:dyDescent="0.3">
      <c r="A2501" s="26">
        <v>45336</v>
      </c>
      <c r="B2501" t="s">
        <v>884</v>
      </c>
      <c r="C2501" t="s">
        <v>753</v>
      </c>
      <c r="D2501">
        <v>0.52</v>
      </c>
      <c r="E2501" t="s">
        <v>288</v>
      </c>
      <c r="F2501" t="s">
        <v>754</v>
      </c>
      <c r="G2501" t="s">
        <v>2641</v>
      </c>
      <c r="H2501" t="s">
        <v>31</v>
      </c>
      <c r="I2501" s="28" t="s">
        <v>26</v>
      </c>
    </row>
    <row r="2502" spans="1:9" x14ac:dyDescent="0.3">
      <c r="A2502" s="26">
        <v>45336</v>
      </c>
      <c r="B2502" t="s">
        <v>884</v>
      </c>
      <c r="C2502" t="s">
        <v>753</v>
      </c>
      <c r="D2502">
        <v>0.53</v>
      </c>
      <c r="E2502" t="s">
        <v>562</v>
      </c>
      <c r="F2502" t="s">
        <v>754</v>
      </c>
      <c r="G2502" t="s">
        <v>2642</v>
      </c>
      <c r="H2502" t="s">
        <v>31</v>
      </c>
      <c r="I2502" s="28" t="s">
        <v>26</v>
      </c>
    </row>
    <row r="2503" spans="1:9" x14ac:dyDescent="0.3">
      <c r="A2503" s="26">
        <v>45336</v>
      </c>
      <c r="B2503" t="s">
        <v>884</v>
      </c>
      <c r="C2503" t="s">
        <v>753</v>
      </c>
      <c r="D2503">
        <v>0.67</v>
      </c>
      <c r="E2503" t="s">
        <v>248</v>
      </c>
      <c r="F2503" t="s">
        <v>754</v>
      </c>
      <c r="G2503" t="s">
        <v>2643</v>
      </c>
      <c r="H2503" t="s">
        <v>31</v>
      </c>
      <c r="I2503" s="28" t="s">
        <v>26</v>
      </c>
    </row>
    <row r="2504" spans="1:9" x14ac:dyDescent="0.3">
      <c r="A2504" s="26">
        <v>45336</v>
      </c>
      <c r="B2504" t="s">
        <v>884</v>
      </c>
      <c r="C2504" t="s">
        <v>753</v>
      </c>
      <c r="D2504">
        <v>0.77</v>
      </c>
      <c r="E2504" t="s">
        <v>562</v>
      </c>
      <c r="F2504" t="s">
        <v>754</v>
      </c>
      <c r="G2504" t="s">
        <v>2644</v>
      </c>
      <c r="H2504" t="s">
        <v>31</v>
      </c>
      <c r="I2504" s="28" t="s">
        <v>26</v>
      </c>
    </row>
    <row r="2505" spans="1:9" x14ac:dyDescent="0.3">
      <c r="A2505" s="26">
        <v>45336</v>
      </c>
      <c r="B2505" t="s">
        <v>884</v>
      </c>
      <c r="C2505" t="s">
        <v>753</v>
      </c>
      <c r="D2505">
        <v>1.02</v>
      </c>
      <c r="E2505" t="s">
        <v>375</v>
      </c>
      <c r="F2505" t="s">
        <v>754</v>
      </c>
      <c r="G2505" t="s">
        <v>2645</v>
      </c>
      <c r="H2505" t="s">
        <v>31</v>
      </c>
      <c r="I2505" s="28" t="s">
        <v>26</v>
      </c>
    </row>
    <row r="2506" spans="1:9" x14ac:dyDescent="0.3">
      <c r="A2506" s="26">
        <v>45336</v>
      </c>
      <c r="B2506" t="s">
        <v>884</v>
      </c>
      <c r="C2506" t="s">
        <v>753</v>
      </c>
      <c r="D2506">
        <v>1.03</v>
      </c>
      <c r="E2506" t="s">
        <v>375</v>
      </c>
      <c r="F2506" t="s">
        <v>754</v>
      </c>
      <c r="G2506" t="s">
        <v>2646</v>
      </c>
      <c r="H2506" t="s">
        <v>31</v>
      </c>
      <c r="I2506" s="28" t="s">
        <v>26</v>
      </c>
    </row>
    <row r="2507" spans="1:9" x14ac:dyDescent="0.3">
      <c r="A2507" s="26">
        <v>45336</v>
      </c>
      <c r="B2507" t="s">
        <v>884</v>
      </c>
      <c r="C2507" t="s">
        <v>753</v>
      </c>
      <c r="D2507">
        <v>1.1000000000000001</v>
      </c>
      <c r="E2507" t="s">
        <v>375</v>
      </c>
      <c r="F2507" t="s">
        <v>754</v>
      </c>
      <c r="G2507" t="s">
        <v>2647</v>
      </c>
      <c r="H2507" t="s">
        <v>31</v>
      </c>
      <c r="I2507" s="28" t="s">
        <v>26</v>
      </c>
    </row>
    <row r="2508" spans="1:9" x14ac:dyDescent="0.3">
      <c r="A2508" s="26">
        <v>45336</v>
      </c>
      <c r="B2508" t="s">
        <v>884</v>
      </c>
      <c r="C2508" t="s">
        <v>874</v>
      </c>
      <c r="D2508">
        <v>0.15</v>
      </c>
      <c r="E2508" t="s">
        <v>7</v>
      </c>
      <c r="F2508" t="s">
        <v>772</v>
      </c>
      <c r="G2508" t="s">
        <v>2648</v>
      </c>
      <c r="H2508" t="s">
        <v>31</v>
      </c>
      <c r="I2508" s="28" t="s">
        <v>26</v>
      </c>
    </row>
    <row r="2509" spans="1:9" x14ac:dyDescent="0.3">
      <c r="A2509" s="26">
        <v>45336</v>
      </c>
      <c r="B2509" t="s">
        <v>884</v>
      </c>
      <c r="C2509" t="s">
        <v>776</v>
      </c>
      <c r="D2509">
        <v>0.5</v>
      </c>
      <c r="E2509" t="s">
        <v>562</v>
      </c>
      <c r="F2509" t="s">
        <v>754</v>
      </c>
      <c r="H2509" t="s">
        <v>31</v>
      </c>
      <c r="I2509" s="28" t="s">
        <v>26</v>
      </c>
    </row>
    <row r="2510" spans="1:9" x14ac:dyDescent="0.3">
      <c r="A2510" s="26">
        <v>45336</v>
      </c>
      <c r="B2510" t="s">
        <v>891</v>
      </c>
      <c r="C2510" t="s">
        <v>802</v>
      </c>
      <c r="D2510">
        <v>8</v>
      </c>
      <c r="E2510" t="s">
        <v>7</v>
      </c>
      <c r="F2510" t="s">
        <v>772</v>
      </c>
      <c r="G2510" t="s">
        <v>892</v>
      </c>
      <c r="H2510" t="s">
        <v>31</v>
      </c>
      <c r="I2510" s="28" t="s">
        <v>26</v>
      </c>
    </row>
    <row r="2511" spans="1:9" x14ac:dyDescent="0.3">
      <c r="A2511" s="26">
        <v>45336</v>
      </c>
      <c r="B2511" t="s">
        <v>34</v>
      </c>
      <c r="C2511" t="s">
        <v>802</v>
      </c>
      <c r="D2511">
        <v>8</v>
      </c>
      <c r="E2511" t="s">
        <v>7</v>
      </c>
      <c r="F2511" t="s">
        <v>772</v>
      </c>
      <c r="H2511" t="s">
        <v>31</v>
      </c>
      <c r="I2511" s="28" t="s">
        <v>26</v>
      </c>
    </row>
    <row r="2512" spans="1:9" x14ac:dyDescent="0.3">
      <c r="A2512" s="26">
        <v>45336</v>
      </c>
      <c r="B2512" t="s">
        <v>893</v>
      </c>
      <c r="C2512" t="s">
        <v>802</v>
      </c>
      <c r="D2512">
        <v>8</v>
      </c>
      <c r="E2512" t="s">
        <v>7</v>
      </c>
      <c r="F2512" t="s">
        <v>772</v>
      </c>
      <c r="G2512" t="s">
        <v>2649</v>
      </c>
      <c r="H2512" t="s">
        <v>31</v>
      </c>
      <c r="I2512" s="28" t="s">
        <v>26</v>
      </c>
    </row>
    <row r="2513" spans="1:9" x14ac:dyDescent="0.3">
      <c r="A2513" s="26">
        <v>45336</v>
      </c>
      <c r="B2513" t="s">
        <v>895</v>
      </c>
      <c r="C2513" t="s">
        <v>753</v>
      </c>
      <c r="D2513">
        <v>0.25</v>
      </c>
      <c r="E2513" t="s">
        <v>815</v>
      </c>
      <c r="F2513" t="s">
        <v>754</v>
      </c>
      <c r="G2513" t="s">
        <v>2650</v>
      </c>
      <c r="H2513" t="s">
        <v>31</v>
      </c>
      <c r="I2513" s="28" t="s">
        <v>26</v>
      </c>
    </row>
    <row r="2514" spans="1:9" x14ac:dyDescent="0.3">
      <c r="A2514" s="26">
        <v>45336</v>
      </c>
      <c r="B2514" t="s">
        <v>895</v>
      </c>
      <c r="C2514" t="s">
        <v>753</v>
      </c>
      <c r="D2514">
        <v>0.45</v>
      </c>
      <c r="E2514" t="s">
        <v>815</v>
      </c>
      <c r="F2514" t="s">
        <v>754</v>
      </c>
      <c r="G2514" t="s">
        <v>2651</v>
      </c>
      <c r="H2514" t="s">
        <v>31</v>
      </c>
      <c r="I2514" s="28" t="s">
        <v>26</v>
      </c>
    </row>
    <row r="2515" spans="1:9" x14ac:dyDescent="0.3">
      <c r="A2515" s="26">
        <v>45336</v>
      </c>
      <c r="B2515" t="s">
        <v>895</v>
      </c>
      <c r="C2515" t="s">
        <v>789</v>
      </c>
      <c r="D2515">
        <v>0.52</v>
      </c>
      <c r="E2515" t="s">
        <v>922</v>
      </c>
      <c r="F2515" t="s">
        <v>754</v>
      </c>
      <c r="G2515" t="s">
        <v>2652</v>
      </c>
      <c r="H2515" t="s">
        <v>31</v>
      </c>
      <c r="I2515" s="28" t="s">
        <v>26</v>
      </c>
    </row>
    <row r="2516" spans="1:9" x14ac:dyDescent="0.3">
      <c r="A2516" s="26">
        <v>45336</v>
      </c>
      <c r="B2516" t="s">
        <v>895</v>
      </c>
      <c r="C2516" t="s">
        <v>771</v>
      </c>
      <c r="D2516">
        <v>0.1</v>
      </c>
      <c r="E2516" t="s">
        <v>7</v>
      </c>
      <c r="F2516" t="s">
        <v>772</v>
      </c>
      <c r="G2516" t="s">
        <v>2653</v>
      </c>
      <c r="H2516" t="s">
        <v>31</v>
      </c>
      <c r="I2516" s="28" t="s">
        <v>26</v>
      </c>
    </row>
    <row r="2517" spans="1:9" x14ac:dyDescent="0.3">
      <c r="A2517" s="26">
        <v>45336</v>
      </c>
      <c r="B2517" t="s">
        <v>895</v>
      </c>
      <c r="C2517" t="s">
        <v>771</v>
      </c>
      <c r="D2517">
        <v>0.42</v>
      </c>
      <c r="E2517" t="s">
        <v>7</v>
      </c>
      <c r="F2517" t="s">
        <v>772</v>
      </c>
      <c r="G2517" t="s">
        <v>2654</v>
      </c>
      <c r="H2517" t="s">
        <v>31</v>
      </c>
      <c r="I2517" s="28" t="s">
        <v>26</v>
      </c>
    </row>
    <row r="2518" spans="1:9" x14ac:dyDescent="0.3">
      <c r="A2518" s="26">
        <v>45336</v>
      </c>
      <c r="B2518" t="s">
        <v>895</v>
      </c>
      <c r="C2518" t="s">
        <v>1441</v>
      </c>
      <c r="D2518">
        <v>0.12</v>
      </c>
      <c r="E2518" t="s">
        <v>2435</v>
      </c>
      <c r="F2518" t="s">
        <v>754</v>
      </c>
      <c r="G2518" t="s">
        <v>2655</v>
      </c>
      <c r="H2518" t="s">
        <v>31</v>
      </c>
      <c r="I2518" s="28" t="s">
        <v>26</v>
      </c>
    </row>
    <row r="2519" spans="1:9" x14ac:dyDescent="0.3">
      <c r="A2519" s="26">
        <v>45336</v>
      </c>
      <c r="B2519" t="s">
        <v>895</v>
      </c>
      <c r="C2519" t="s">
        <v>1441</v>
      </c>
      <c r="D2519">
        <v>0.42</v>
      </c>
      <c r="E2519" t="s">
        <v>2435</v>
      </c>
      <c r="F2519" t="s">
        <v>754</v>
      </c>
      <c r="G2519" t="s">
        <v>2656</v>
      </c>
      <c r="H2519" t="s">
        <v>31</v>
      </c>
      <c r="I2519" s="28" t="s">
        <v>26</v>
      </c>
    </row>
    <row r="2520" spans="1:9" x14ac:dyDescent="0.3">
      <c r="A2520" s="26">
        <v>45336</v>
      </c>
      <c r="B2520" t="s">
        <v>895</v>
      </c>
      <c r="C2520" t="s">
        <v>835</v>
      </c>
      <c r="D2520">
        <v>0.5</v>
      </c>
      <c r="E2520" t="s">
        <v>815</v>
      </c>
      <c r="F2520" t="s">
        <v>754</v>
      </c>
      <c r="G2520" t="s">
        <v>2657</v>
      </c>
      <c r="H2520" t="s">
        <v>31</v>
      </c>
      <c r="I2520" s="28" t="s">
        <v>26</v>
      </c>
    </row>
    <row r="2521" spans="1:9" x14ac:dyDescent="0.3">
      <c r="A2521" s="26">
        <v>45336</v>
      </c>
      <c r="B2521" t="s">
        <v>895</v>
      </c>
      <c r="C2521" t="s">
        <v>874</v>
      </c>
      <c r="D2521">
        <v>0.92</v>
      </c>
      <c r="E2521" t="s">
        <v>7</v>
      </c>
      <c r="F2521" t="s">
        <v>772</v>
      </c>
      <c r="G2521" t="s">
        <v>2658</v>
      </c>
      <c r="H2521" t="s">
        <v>31</v>
      </c>
      <c r="I2521" s="28" t="s">
        <v>26</v>
      </c>
    </row>
    <row r="2522" spans="1:9" x14ac:dyDescent="0.3">
      <c r="A2522" s="26">
        <v>45336</v>
      </c>
      <c r="B2522" t="s">
        <v>895</v>
      </c>
      <c r="C2522" t="s">
        <v>776</v>
      </c>
      <c r="D2522">
        <v>0.12</v>
      </c>
      <c r="E2522" t="s">
        <v>922</v>
      </c>
      <c r="F2522" t="s">
        <v>754</v>
      </c>
      <c r="G2522" t="s">
        <v>2659</v>
      </c>
      <c r="H2522" t="s">
        <v>31</v>
      </c>
      <c r="I2522" s="28" t="s">
        <v>26</v>
      </c>
    </row>
    <row r="2523" spans="1:9" x14ac:dyDescent="0.3">
      <c r="A2523" s="26">
        <v>45336</v>
      </c>
      <c r="B2523" t="s">
        <v>895</v>
      </c>
      <c r="C2523" t="s">
        <v>776</v>
      </c>
      <c r="D2523">
        <v>0.13</v>
      </c>
      <c r="E2523" t="s">
        <v>879</v>
      </c>
      <c r="F2523" t="s">
        <v>754</v>
      </c>
      <c r="H2523" t="s">
        <v>31</v>
      </c>
      <c r="I2523" s="28" t="s">
        <v>26</v>
      </c>
    </row>
    <row r="2524" spans="1:9" x14ac:dyDescent="0.3">
      <c r="A2524" s="26">
        <v>45336</v>
      </c>
      <c r="B2524" t="s">
        <v>895</v>
      </c>
      <c r="C2524" t="s">
        <v>776</v>
      </c>
      <c r="D2524">
        <v>0.13</v>
      </c>
      <c r="E2524" t="s">
        <v>879</v>
      </c>
      <c r="F2524" t="s">
        <v>754</v>
      </c>
      <c r="G2524" t="s">
        <v>2660</v>
      </c>
      <c r="H2524" t="s">
        <v>31</v>
      </c>
      <c r="I2524" s="28" t="s">
        <v>26</v>
      </c>
    </row>
    <row r="2525" spans="1:9" x14ac:dyDescent="0.3">
      <c r="A2525" s="26">
        <v>45336</v>
      </c>
      <c r="B2525" t="s">
        <v>895</v>
      </c>
      <c r="C2525" t="s">
        <v>776</v>
      </c>
      <c r="D2525">
        <v>0.15</v>
      </c>
      <c r="E2525" t="s">
        <v>815</v>
      </c>
      <c r="F2525" t="s">
        <v>754</v>
      </c>
      <c r="G2525" t="s">
        <v>2661</v>
      </c>
      <c r="H2525" t="s">
        <v>31</v>
      </c>
      <c r="I2525" s="28" t="s">
        <v>26</v>
      </c>
    </row>
    <row r="2526" spans="1:9" x14ac:dyDescent="0.3">
      <c r="A2526" s="26">
        <v>45336</v>
      </c>
      <c r="B2526" t="s">
        <v>895</v>
      </c>
      <c r="C2526" t="s">
        <v>776</v>
      </c>
      <c r="D2526">
        <v>0.25</v>
      </c>
      <c r="E2526" t="s">
        <v>879</v>
      </c>
      <c r="F2526" t="s">
        <v>754</v>
      </c>
      <c r="G2526" t="s">
        <v>2662</v>
      </c>
      <c r="H2526" t="s">
        <v>31</v>
      </c>
      <c r="I2526" s="28" t="s">
        <v>26</v>
      </c>
    </row>
    <row r="2527" spans="1:9" x14ac:dyDescent="0.3">
      <c r="A2527" s="26">
        <v>45336</v>
      </c>
      <c r="B2527" t="s">
        <v>895</v>
      </c>
      <c r="C2527" t="s">
        <v>776</v>
      </c>
      <c r="D2527">
        <v>0.25</v>
      </c>
      <c r="E2527" t="s">
        <v>879</v>
      </c>
      <c r="F2527" t="s">
        <v>754</v>
      </c>
      <c r="G2527" t="s">
        <v>2663</v>
      </c>
      <c r="H2527" t="s">
        <v>31</v>
      </c>
      <c r="I2527" s="28" t="s">
        <v>26</v>
      </c>
    </row>
    <row r="2528" spans="1:9" x14ac:dyDescent="0.3">
      <c r="A2528" s="26">
        <v>45336</v>
      </c>
      <c r="B2528" t="s">
        <v>895</v>
      </c>
      <c r="C2528" t="s">
        <v>776</v>
      </c>
      <c r="D2528">
        <v>0.55000000000000004</v>
      </c>
      <c r="E2528" t="s">
        <v>879</v>
      </c>
      <c r="F2528" t="s">
        <v>754</v>
      </c>
      <c r="G2528" t="s">
        <v>2664</v>
      </c>
      <c r="H2528" t="s">
        <v>31</v>
      </c>
      <c r="I2528" s="28" t="s">
        <v>26</v>
      </c>
    </row>
    <row r="2529" spans="1:9" x14ac:dyDescent="0.3">
      <c r="A2529" s="26">
        <v>45336</v>
      </c>
      <c r="B2529" t="s">
        <v>895</v>
      </c>
      <c r="C2529" t="s">
        <v>776</v>
      </c>
      <c r="D2529">
        <v>0.83</v>
      </c>
      <c r="E2529" t="s">
        <v>922</v>
      </c>
      <c r="F2529" t="s">
        <v>754</v>
      </c>
      <c r="G2529" t="s">
        <v>2665</v>
      </c>
      <c r="H2529" t="s">
        <v>31</v>
      </c>
      <c r="I2529" s="28" t="s">
        <v>26</v>
      </c>
    </row>
    <row r="2530" spans="1:9" x14ac:dyDescent="0.3">
      <c r="A2530" s="26">
        <v>45336</v>
      </c>
      <c r="B2530" t="s">
        <v>895</v>
      </c>
      <c r="C2530" t="s">
        <v>776</v>
      </c>
      <c r="D2530">
        <v>0.85</v>
      </c>
      <c r="E2530" t="s">
        <v>903</v>
      </c>
      <c r="F2530" t="s">
        <v>754</v>
      </c>
      <c r="G2530" t="s">
        <v>2666</v>
      </c>
      <c r="H2530" t="s">
        <v>31</v>
      </c>
      <c r="I2530" s="28" t="s">
        <v>26</v>
      </c>
    </row>
    <row r="2531" spans="1:9" x14ac:dyDescent="0.3">
      <c r="A2531" s="26">
        <v>45336</v>
      </c>
      <c r="B2531" t="s">
        <v>895</v>
      </c>
      <c r="C2531" t="s">
        <v>776</v>
      </c>
      <c r="D2531">
        <v>1.45</v>
      </c>
      <c r="E2531" t="s">
        <v>879</v>
      </c>
      <c r="F2531" t="s">
        <v>754</v>
      </c>
      <c r="G2531" t="s">
        <v>2667</v>
      </c>
      <c r="H2531" t="s">
        <v>31</v>
      </c>
      <c r="I2531" s="28" t="s">
        <v>26</v>
      </c>
    </row>
    <row r="2532" spans="1:9" x14ac:dyDescent="0.3">
      <c r="A2532" s="26">
        <v>45336</v>
      </c>
      <c r="B2532" t="s">
        <v>1391</v>
      </c>
      <c r="C2532" t="s">
        <v>874</v>
      </c>
      <c r="D2532">
        <v>0.5</v>
      </c>
      <c r="E2532" t="s">
        <v>7</v>
      </c>
      <c r="F2532" t="s">
        <v>772</v>
      </c>
      <c r="G2532" t="s">
        <v>2668</v>
      </c>
      <c r="H2532" t="s">
        <v>31</v>
      </c>
      <c r="I2532" s="28" t="s">
        <v>26</v>
      </c>
    </row>
    <row r="2533" spans="1:9" x14ac:dyDescent="0.3">
      <c r="A2533" s="26">
        <v>45336</v>
      </c>
      <c r="B2533" t="s">
        <v>1391</v>
      </c>
      <c r="C2533" t="s">
        <v>1522</v>
      </c>
      <c r="D2533">
        <v>0.08</v>
      </c>
      <c r="E2533" t="s">
        <v>455</v>
      </c>
      <c r="F2533" t="s">
        <v>754</v>
      </c>
      <c r="G2533" t="s">
        <v>2669</v>
      </c>
      <c r="H2533" t="s">
        <v>31</v>
      </c>
      <c r="I2533" s="28" t="s">
        <v>26</v>
      </c>
    </row>
    <row r="2534" spans="1:9" x14ac:dyDescent="0.3">
      <c r="A2534" s="26">
        <v>45336</v>
      </c>
      <c r="B2534" t="s">
        <v>1391</v>
      </c>
      <c r="C2534" t="s">
        <v>1522</v>
      </c>
      <c r="D2534">
        <v>0.08</v>
      </c>
      <c r="E2534" t="s">
        <v>455</v>
      </c>
      <c r="F2534" t="s">
        <v>754</v>
      </c>
      <c r="G2534" t="s">
        <v>2670</v>
      </c>
      <c r="H2534" t="s">
        <v>31</v>
      </c>
      <c r="I2534" s="28" t="s">
        <v>26</v>
      </c>
    </row>
    <row r="2535" spans="1:9" x14ac:dyDescent="0.3">
      <c r="A2535" s="26">
        <v>45336</v>
      </c>
      <c r="B2535" t="s">
        <v>1391</v>
      </c>
      <c r="C2535" t="s">
        <v>1094</v>
      </c>
      <c r="D2535">
        <v>0.08</v>
      </c>
      <c r="E2535" t="s">
        <v>455</v>
      </c>
      <c r="F2535" t="s">
        <v>754</v>
      </c>
      <c r="G2535" t="s">
        <v>2671</v>
      </c>
      <c r="H2535" t="s">
        <v>31</v>
      </c>
      <c r="I2535" s="28" t="s">
        <v>26</v>
      </c>
    </row>
    <row r="2536" spans="1:9" x14ac:dyDescent="0.3">
      <c r="A2536" s="26">
        <v>45336</v>
      </c>
      <c r="B2536" t="s">
        <v>1391</v>
      </c>
      <c r="C2536" t="s">
        <v>1094</v>
      </c>
      <c r="D2536">
        <v>0.08</v>
      </c>
      <c r="E2536" t="s">
        <v>455</v>
      </c>
      <c r="F2536" t="s">
        <v>754</v>
      </c>
      <c r="G2536" t="s">
        <v>2672</v>
      </c>
      <c r="H2536" t="s">
        <v>31</v>
      </c>
      <c r="I2536" s="28" t="s">
        <v>26</v>
      </c>
    </row>
    <row r="2537" spans="1:9" x14ac:dyDescent="0.3">
      <c r="A2537" s="26">
        <v>45336</v>
      </c>
      <c r="B2537" t="s">
        <v>1391</v>
      </c>
      <c r="C2537" t="s">
        <v>1094</v>
      </c>
      <c r="D2537">
        <v>0.08</v>
      </c>
      <c r="E2537" t="s">
        <v>455</v>
      </c>
      <c r="F2537" t="s">
        <v>754</v>
      </c>
      <c r="G2537" t="s">
        <v>2673</v>
      </c>
      <c r="H2537" t="s">
        <v>31</v>
      </c>
      <c r="I2537" s="28" t="s">
        <v>26</v>
      </c>
    </row>
    <row r="2538" spans="1:9" x14ac:dyDescent="0.3">
      <c r="A2538" s="26">
        <v>45336</v>
      </c>
      <c r="B2538" t="s">
        <v>1391</v>
      </c>
      <c r="C2538" t="s">
        <v>1094</v>
      </c>
      <c r="D2538">
        <v>0.17</v>
      </c>
      <c r="E2538" t="s">
        <v>455</v>
      </c>
      <c r="F2538" t="s">
        <v>754</v>
      </c>
      <c r="G2538" t="s">
        <v>2674</v>
      </c>
      <c r="H2538" t="s">
        <v>31</v>
      </c>
      <c r="I2538" s="28" t="s">
        <v>26</v>
      </c>
    </row>
    <row r="2539" spans="1:9" x14ac:dyDescent="0.3">
      <c r="A2539" s="26">
        <v>45336</v>
      </c>
      <c r="B2539" t="s">
        <v>1391</v>
      </c>
      <c r="C2539" t="s">
        <v>1094</v>
      </c>
      <c r="D2539">
        <v>0.33</v>
      </c>
      <c r="E2539" t="s">
        <v>455</v>
      </c>
      <c r="F2539" t="s">
        <v>754</v>
      </c>
      <c r="G2539" t="s">
        <v>2675</v>
      </c>
      <c r="H2539" t="s">
        <v>31</v>
      </c>
      <c r="I2539" s="28" t="s">
        <v>26</v>
      </c>
    </row>
    <row r="2540" spans="1:9" x14ac:dyDescent="0.3">
      <c r="A2540" s="26">
        <v>45336</v>
      </c>
      <c r="B2540" t="s">
        <v>1391</v>
      </c>
      <c r="C2540" t="s">
        <v>1094</v>
      </c>
      <c r="D2540">
        <v>0.5</v>
      </c>
      <c r="E2540" t="s">
        <v>455</v>
      </c>
      <c r="F2540" t="s">
        <v>754</v>
      </c>
      <c r="G2540" t="s">
        <v>2676</v>
      </c>
      <c r="H2540" t="s">
        <v>31</v>
      </c>
      <c r="I2540" s="28" t="s">
        <v>26</v>
      </c>
    </row>
    <row r="2541" spans="1:9" x14ac:dyDescent="0.3">
      <c r="A2541" s="26">
        <v>45336</v>
      </c>
      <c r="B2541" t="s">
        <v>1391</v>
      </c>
      <c r="C2541" t="s">
        <v>1094</v>
      </c>
      <c r="D2541">
        <v>0.5</v>
      </c>
      <c r="E2541" t="s">
        <v>455</v>
      </c>
      <c r="F2541" t="s">
        <v>754</v>
      </c>
      <c r="G2541" t="s">
        <v>2677</v>
      </c>
      <c r="H2541" t="s">
        <v>31</v>
      </c>
      <c r="I2541" s="28" t="s">
        <v>26</v>
      </c>
    </row>
    <row r="2542" spans="1:9" x14ac:dyDescent="0.3">
      <c r="A2542" s="26">
        <v>45336</v>
      </c>
      <c r="B2542" t="s">
        <v>1391</v>
      </c>
      <c r="C2542" t="s">
        <v>1094</v>
      </c>
      <c r="D2542">
        <v>0.5</v>
      </c>
      <c r="E2542" t="s">
        <v>455</v>
      </c>
      <c r="F2542" t="s">
        <v>754</v>
      </c>
      <c r="G2542" t="s">
        <v>2678</v>
      </c>
      <c r="H2542" t="s">
        <v>31</v>
      </c>
      <c r="I2542" s="28" t="s">
        <v>26</v>
      </c>
    </row>
    <row r="2543" spans="1:9" x14ac:dyDescent="0.3">
      <c r="A2543" s="26">
        <v>45336</v>
      </c>
      <c r="B2543" t="s">
        <v>929</v>
      </c>
      <c r="C2543" t="s">
        <v>789</v>
      </c>
      <c r="D2543">
        <v>0.08</v>
      </c>
      <c r="E2543" t="s">
        <v>898</v>
      </c>
      <c r="F2543" t="s">
        <v>754</v>
      </c>
      <c r="G2543" t="s">
        <v>2679</v>
      </c>
      <c r="H2543" t="s">
        <v>31</v>
      </c>
      <c r="I2543" s="28" t="s">
        <v>26</v>
      </c>
    </row>
    <row r="2544" spans="1:9" x14ac:dyDescent="0.3">
      <c r="A2544" s="26">
        <v>45336</v>
      </c>
      <c r="B2544" t="s">
        <v>929</v>
      </c>
      <c r="C2544" t="s">
        <v>789</v>
      </c>
      <c r="D2544">
        <v>0.08</v>
      </c>
      <c r="E2544" t="s">
        <v>2435</v>
      </c>
      <c r="F2544" t="s">
        <v>754</v>
      </c>
      <c r="G2544" t="s">
        <v>2679</v>
      </c>
      <c r="H2544" t="s">
        <v>31</v>
      </c>
      <c r="I2544" s="28" t="s">
        <v>26</v>
      </c>
    </row>
    <row r="2545" spans="1:9" x14ac:dyDescent="0.3">
      <c r="A2545" s="26">
        <v>45336</v>
      </c>
      <c r="B2545" t="s">
        <v>929</v>
      </c>
      <c r="C2545" t="s">
        <v>789</v>
      </c>
      <c r="D2545">
        <v>0.15</v>
      </c>
      <c r="E2545" t="s">
        <v>131</v>
      </c>
      <c r="F2545" t="s">
        <v>754</v>
      </c>
      <c r="G2545" t="s">
        <v>2680</v>
      </c>
      <c r="H2545" t="s">
        <v>31</v>
      </c>
      <c r="I2545" s="28" t="s">
        <v>26</v>
      </c>
    </row>
    <row r="2546" spans="1:9" x14ac:dyDescent="0.3">
      <c r="A2546" s="26">
        <v>45336</v>
      </c>
      <c r="B2546" t="s">
        <v>929</v>
      </c>
      <c r="C2546" t="s">
        <v>789</v>
      </c>
      <c r="D2546">
        <v>0.2</v>
      </c>
      <c r="E2546" t="s">
        <v>7</v>
      </c>
      <c r="F2546" t="s">
        <v>772</v>
      </c>
      <c r="G2546" t="s">
        <v>2681</v>
      </c>
      <c r="H2546" t="s">
        <v>31</v>
      </c>
      <c r="I2546" s="28" t="s">
        <v>26</v>
      </c>
    </row>
    <row r="2547" spans="1:9" x14ac:dyDescent="0.3">
      <c r="A2547" s="26">
        <v>45336</v>
      </c>
      <c r="B2547" t="s">
        <v>929</v>
      </c>
      <c r="C2547" t="s">
        <v>771</v>
      </c>
      <c r="D2547">
        <v>0.13</v>
      </c>
      <c r="E2547" t="s">
        <v>7</v>
      </c>
      <c r="F2547" t="s">
        <v>772</v>
      </c>
      <c r="G2547" t="s">
        <v>755</v>
      </c>
      <c r="H2547" t="s">
        <v>31</v>
      </c>
      <c r="I2547" s="28" t="s">
        <v>26</v>
      </c>
    </row>
    <row r="2548" spans="1:9" x14ac:dyDescent="0.3">
      <c r="A2548" s="26">
        <v>45336</v>
      </c>
      <c r="B2548" t="s">
        <v>929</v>
      </c>
      <c r="C2548" t="s">
        <v>771</v>
      </c>
      <c r="D2548">
        <v>0.22</v>
      </c>
      <c r="E2548" t="s">
        <v>7</v>
      </c>
      <c r="F2548" t="s">
        <v>772</v>
      </c>
      <c r="G2548" t="s">
        <v>2682</v>
      </c>
      <c r="H2548" t="s">
        <v>31</v>
      </c>
      <c r="I2548" s="28" t="s">
        <v>26</v>
      </c>
    </row>
    <row r="2549" spans="1:9" x14ac:dyDescent="0.3">
      <c r="A2549" s="26">
        <v>45336</v>
      </c>
      <c r="B2549" t="s">
        <v>929</v>
      </c>
      <c r="C2549" t="s">
        <v>771</v>
      </c>
      <c r="D2549">
        <v>0.25</v>
      </c>
      <c r="E2549" t="s">
        <v>7</v>
      </c>
      <c r="F2549" t="s">
        <v>772</v>
      </c>
      <c r="G2549" t="s">
        <v>2053</v>
      </c>
      <c r="H2549" t="s">
        <v>31</v>
      </c>
      <c r="I2549" s="28" t="s">
        <v>26</v>
      </c>
    </row>
    <row r="2550" spans="1:9" x14ac:dyDescent="0.3">
      <c r="A2550" s="26">
        <v>45336</v>
      </c>
      <c r="B2550" t="s">
        <v>929</v>
      </c>
      <c r="C2550" t="s">
        <v>771</v>
      </c>
      <c r="D2550">
        <v>0.25</v>
      </c>
      <c r="E2550" t="s">
        <v>7</v>
      </c>
      <c r="F2550" t="s">
        <v>772</v>
      </c>
      <c r="G2550" t="s">
        <v>2054</v>
      </c>
      <c r="H2550" t="s">
        <v>31</v>
      </c>
      <c r="I2550" s="28" t="s">
        <v>26</v>
      </c>
    </row>
    <row r="2551" spans="1:9" x14ac:dyDescent="0.3">
      <c r="A2551" s="26">
        <v>45336</v>
      </c>
      <c r="B2551" t="s">
        <v>929</v>
      </c>
      <c r="C2551" t="s">
        <v>771</v>
      </c>
      <c r="D2551">
        <v>0.52</v>
      </c>
      <c r="E2551" t="s">
        <v>7</v>
      </c>
      <c r="F2551" t="s">
        <v>772</v>
      </c>
      <c r="G2551" t="s">
        <v>2683</v>
      </c>
      <c r="H2551" t="s">
        <v>31</v>
      </c>
      <c r="I2551" s="28" t="s">
        <v>26</v>
      </c>
    </row>
    <row r="2552" spans="1:9" x14ac:dyDescent="0.3">
      <c r="A2552" s="26">
        <v>45336</v>
      </c>
      <c r="B2552" t="s">
        <v>929</v>
      </c>
      <c r="C2552" t="s">
        <v>1068</v>
      </c>
      <c r="D2552">
        <v>0.57999999999999996</v>
      </c>
      <c r="E2552" t="s">
        <v>2435</v>
      </c>
      <c r="F2552" t="s">
        <v>754</v>
      </c>
      <c r="G2552" t="s">
        <v>2684</v>
      </c>
      <c r="H2552" t="s">
        <v>31</v>
      </c>
      <c r="I2552" s="28" t="s">
        <v>26</v>
      </c>
    </row>
    <row r="2553" spans="1:9" x14ac:dyDescent="0.3">
      <c r="A2553" s="26">
        <v>45336</v>
      </c>
      <c r="B2553" t="s">
        <v>929</v>
      </c>
      <c r="C2553" t="s">
        <v>1441</v>
      </c>
      <c r="D2553">
        <v>0.03</v>
      </c>
      <c r="E2553" t="s">
        <v>1046</v>
      </c>
      <c r="F2553" t="s">
        <v>754</v>
      </c>
      <c r="G2553" t="s">
        <v>755</v>
      </c>
      <c r="H2553" t="s">
        <v>31</v>
      </c>
      <c r="I2553" s="28" t="s">
        <v>26</v>
      </c>
    </row>
    <row r="2554" spans="1:9" x14ac:dyDescent="0.3">
      <c r="A2554" s="26">
        <v>45336</v>
      </c>
      <c r="B2554" t="s">
        <v>929</v>
      </c>
      <c r="C2554" t="s">
        <v>1441</v>
      </c>
      <c r="D2554">
        <v>0.1</v>
      </c>
      <c r="E2554" t="s">
        <v>790</v>
      </c>
      <c r="F2554" t="s">
        <v>772</v>
      </c>
      <c r="G2554" t="s">
        <v>1398</v>
      </c>
      <c r="H2554" t="s">
        <v>31</v>
      </c>
      <c r="I2554" s="28" t="s">
        <v>26</v>
      </c>
    </row>
    <row r="2555" spans="1:9" x14ac:dyDescent="0.3">
      <c r="A2555" s="26">
        <v>45336</v>
      </c>
      <c r="B2555" t="s">
        <v>929</v>
      </c>
      <c r="C2555" t="s">
        <v>1441</v>
      </c>
      <c r="D2555">
        <v>0.4</v>
      </c>
      <c r="E2555" t="s">
        <v>898</v>
      </c>
      <c r="F2555" t="s">
        <v>754</v>
      </c>
      <c r="G2555" t="s">
        <v>2685</v>
      </c>
      <c r="H2555" t="s">
        <v>31</v>
      </c>
      <c r="I2555" s="28" t="s">
        <v>26</v>
      </c>
    </row>
    <row r="2556" spans="1:9" x14ac:dyDescent="0.3">
      <c r="A2556" s="26">
        <v>45336</v>
      </c>
      <c r="B2556" t="s">
        <v>929</v>
      </c>
      <c r="C2556" t="s">
        <v>1441</v>
      </c>
      <c r="D2556">
        <v>1.37</v>
      </c>
      <c r="E2556" t="s">
        <v>898</v>
      </c>
      <c r="F2556" t="s">
        <v>754</v>
      </c>
      <c r="G2556" t="s">
        <v>2686</v>
      </c>
      <c r="H2556" t="s">
        <v>31</v>
      </c>
      <c r="I2556" s="28" t="s">
        <v>26</v>
      </c>
    </row>
    <row r="2557" spans="1:9" x14ac:dyDescent="0.3">
      <c r="A2557" s="26">
        <v>45336</v>
      </c>
      <c r="B2557" t="s">
        <v>929</v>
      </c>
      <c r="C2557" t="s">
        <v>2687</v>
      </c>
      <c r="D2557">
        <v>0.15</v>
      </c>
      <c r="E2557" t="s">
        <v>1172</v>
      </c>
      <c r="F2557" t="s">
        <v>754</v>
      </c>
      <c r="G2557" t="s">
        <v>2688</v>
      </c>
      <c r="H2557" t="s">
        <v>31</v>
      </c>
      <c r="I2557" s="28" t="s">
        <v>26</v>
      </c>
    </row>
    <row r="2558" spans="1:9" x14ac:dyDescent="0.3">
      <c r="A2558" s="26">
        <v>45336</v>
      </c>
      <c r="B2558" t="s">
        <v>929</v>
      </c>
      <c r="C2558" t="s">
        <v>916</v>
      </c>
      <c r="D2558">
        <v>0.57999999999999996</v>
      </c>
      <c r="E2558" t="s">
        <v>717</v>
      </c>
      <c r="F2558" t="s">
        <v>754</v>
      </c>
      <c r="G2558" t="s">
        <v>2689</v>
      </c>
      <c r="H2558" t="s">
        <v>31</v>
      </c>
      <c r="I2558" s="28" t="s">
        <v>26</v>
      </c>
    </row>
    <row r="2559" spans="1:9" x14ac:dyDescent="0.3">
      <c r="A2559" s="26">
        <v>45336</v>
      </c>
      <c r="B2559" t="s">
        <v>929</v>
      </c>
      <c r="C2559" t="s">
        <v>916</v>
      </c>
      <c r="D2559">
        <v>0.57999999999999996</v>
      </c>
      <c r="E2559" t="s">
        <v>630</v>
      </c>
      <c r="F2559" t="s">
        <v>754</v>
      </c>
      <c r="G2559" t="s">
        <v>2493</v>
      </c>
      <c r="H2559" t="s">
        <v>31</v>
      </c>
      <c r="I2559" s="28" t="s">
        <v>26</v>
      </c>
    </row>
    <row r="2560" spans="1:9" x14ac:dyDescent="0.3">
      <c r="A2560" s="26">
        <v>45336</v>
      </c>
      <c r="B2560" t="s">
        <v>929</v>
      </c>
      <c r="C2560" t="s">
        <v>916</v>
      </c>
      <c r="D2560">
        <v>0.82</v>
      </c>
      <c r="E2560" t="s">
        <v>717</v>
      </c>
      <c r="F2560" t="s">
        <v>754</v>
      </c>
      <c r="G2560" t="s">
        <v>2493</v>
      </c>
      <c r="H2560" t="s">
        <v>31</v>
      </c>
      <c r="I2560" s="28" t="s">
        <v>26</v>
      </c>
    </row>
    <row r="2561" spans="1:9" x14ac:dyDescent="0.3">
      <c r="A2561" s="26">
        <v>45336</v>
      </c>
      <c r="B2561" t="s">
        <v>929</v>
      </c>
      <c r="C2561" t="s">
        <v>916</v>
      </c>
      <c r="D2561">
        <v>1.02</v>
      </c>
      <c r="E2561" t="s">
        <v>964</v>
      </c>
      <c r="F2561" t="s">
        <v>754</v>
      </c>
      <c r="G2561" t="s">
        <v>2690</v>
      </c>
      <c r="H2561" t="s">
        <v>31</v>
      </c>
      <c r="I2561" s="28" t="s">
        <v>26</v>
      </c>
    </row>
    <row r="2562" spans="1:9" x14ac:dyDescent="0.3">
      <c r="A2562" s="26">
        <v>45336</v>
      </c>
      <c r="B2562" t="s">
        <v>929</v>
      </c>
      <c r="C2562" t="s">
        <v>982</v>
      </c>
      <c r="D2562">
        <v>0.3</v>
      </c>
      <c r="E2562" t="s">
        <v>7</v>
      </c>
      <c r="F2562" t="s">
        <v>772</v>
      </c>
      <c r="G2562" t="s">
        <v>2691</v>
      </c>
      <c r="H2562" t="s">
        <v>31</v>
      </c>
      <c r="I2562" s="28" t="s">
        <v>26</v>
      </c>
    </row>
    <row r="2563" spans="1:9" x14ac:dyDescent="0.3">
      <c r="A2563" s="26">
        <v>45336</v>
      </c>
      <c r="B2563" t="s">
        <v>929</v>
      </c>
      <c r="C2563" t="s">
        <v>2501</v>
      </c>
      <c r="D2563">
        <v>0.1</v>
      </c>
      <c r="E2563" t="s">
        <v>7</v>
      </c>
      <c r="F2563" t="s">
        <v>772</v>
      </c>
      <c r="G2563" t="s">
        <v>2692</v>
      </c>
      <c r="H2563" t="s">
        <v>31</v>
      </c>
      <c r="I2563" s="28" t="s">
        <v>26</v>
      </c>
    </row>
    <row r="2564" spans="1:9" x14ac:dyDescent="0.3">
      <c r="A2564" s="26">
        <v>45336</v>
      </c>
      <c r="B2564" t="s">
        <v>929</v>
      </c>
      <c r="C2564" t="s">
        <v>2501</v>
      </c>
      <c r="D2564">
        <v>0.1</v>
      </c>
      <c r="E2564" t="s">
        <v>7</v>
      </c>
      <c r="F2564" t="s">
        <v>772</v>
      </c>
      <c r="G2564" t="s">
        <v>2693</v>
      </c>
      <c r="H2564" t="s">
        <v>31</v>
      </c>
      <c r="I2564" s="28" t="s">
        <v>26</v>
      </c>
    </row>
    <row r="2565" spans="1:9" x14ac:dyDescent="0.3">
      <c r="A2565" s="26">
        <v>45336</v>
      </c>
      <c r="B2565" t="s">
        <v>959</v>
      </c>
      <c r="C2565" t="s">
        <v>878</v>
      </c>
      <c r="D2565">
        <v>8</v>
      </c>
      <c r="E2565" t="s">
        <v>430</v>
      </c>
      <c r="F2565" t="s">
        <v>754</v>
      </c>
      <c r="G2565" t="s">
        <v>2694</v>
      </c>
      <c r="H2565" t="s">
        <v>31</v>
      </c>
      <c r="I2565" s="28" t="s">
        <v>26</v>
      </c>
    </row>
    <row r="2566" spans="1:9" x14ac:dyDescent="0.3">
      <c r="A2566" s="26">
        <v>45336</v>
      </c>
      <c r="B2566" t="s">
        <v>961</v>
      </c>
      <c r="C2566" t="s">
        <v>802</v>
      </c>
      <c r="D2566">
        <v>0.55000000000000004</v>
      </c>
      <c r="E2566" t="s">
        <v>7</v>
      </c>
      <c r="F2566" t="s">
        <v>772</v>
      </c>
      <c r="G2566" t="s">
        <v>2695</v>
      </c>
      <c r="H2566" t="s">
        <v>31</v>
      </c>
      <c r="I2566" s="28" t="s">
        <v>26</v>
      </c>
    </row>
    <row r="2567" spans="1:9" x14ac:dyDescent="0.3">
      <c r="A2567" s="26">
        <v>45336</v>
      </c>
      <c r="B2567" t="s">
        <v>961</v>
      </c>
      <c r="C2567" t="s">
        <v>753</v>
      </c>
      <c r="D2567">
        <v>0.92</v>
      </c>
      <c r="E2567" t="s">
        <v>1013</v>
      </c>
      <c r="F2567" t="s">
        <v>754</v>
      </c>
      <c r="G2567" t="s">
        <v>2696</v>
      </c>
      <c r="H2567" t="s">
        <v>31</v>
      </c>
      <c r="I2567" s="28" t="s">
        <v>26</v>
      </c>
    </row>
    <row r="2568" spans="1:9" x14ac:dyDescent="0.3">
      <c r="A2568" s="26">
        <v>45336</v>
      </c>
      <c r="B2568" t="s">
        <v>961</v>
      </c>
      <c r="C2568" t="s">
        <v>753</v>
      </c>
      <c r="D2568">
        <v>0.93</v>
      </c>
      <c r="E2568" t="s">
        <v>1013</v>
      </c>
      <c r="F2568" t="s">
        <v>754</v>
      </c>
      <c r="G2568" t="s">
        <v>2697</v>
      </c>
      <c r="H2568" t="s">
        <v>31</v>
      </c>
      <c r="I2568" s="28" t="s">
        <v>26</v>
      </c>
    </row>
    <row r="2569" spans="1:9" x14ac:dyDescent="0.3">
      <c r="A2569" s="26">
        <v>45336</v>
      </c>
      <c r="B2569" t="s">
        <v>961</v>
      </c>
      <c r="C2569" t="s">
        <v>753</v>
      </c>
      <c r="D2569">
        <v>2.35</v>
      </c>
      <c r="E2569" t="s">
        <v>655</v>
      </c>
      <c r="F2569" t="s">
        <v>754</v>
      </c>
      <c r="H2569" t="s">
        <v>31</v>
      </c>
      <c r="I2569" s="28" t="s">
        <v>26</v>
      </c>
    </row>
    <row r="2570" spans="1:9" x14ac:dyDescent="0.3">
      <c r="A2570" s="26">
        <v>45336</v>
      </c>
      <c r="B2570" t="s">
        <v>961</v>
      </c>
      <c r="C2570" t="s">
        <v>753</v>
      </c>
      <c r="D2570">
        <v>2.92</v>
      </c>
      <c r="E2570" t="s">
        <v>790</v>
      </c>
      <c r="F2570" t="s">
        <v>754</v>
      </c>
      <c r="H2570" t="s">
        <v>31</v>
      </c>
      <c r="I2570" s="28" t="s">
        <v>26</v>
      </c>
    </row>
    <row r="2571" spans="1:9" x14ac:dyDescent="0.3">
      <c r="A2571" s="26">
        <v>45336</v>
      </c>
      <c r="B2571" t="s">
        <v>961</v>
      </c>
      <c r="C2571" t="s">
        <v>776</v>
      </c>
      <c r="D2571">
        <v>0.48</v>
      </c>
      <c r="E2571" t="s">
        <v>655</v>
      </c>
      <c r="F2571" t="s">
        <v>754</v>
      </c>
      <c r="H2571" t="s">
        <v>31</v>
      </c>
      <c r="I2571" s="28" t="s">
        <v>26</v>
      </c>
    </row>
    <row r="2572" spans="1:9" x14ac:dyDescent="0.3">
      <c r="A2572" s="26">
        <v>45336</v>
      </c>
      <c r="B2572" t="s">
        <v>966</v>
      </c>
      <c r="C2572" t="s">
        <v>970</v>
      </c>
      <c r="D2572">
        <v>1</v>
      </c>
      <c r="E2572" t="s">
        <v>790</v>
      </c>
      <c r="F2572" t="s">
        <v>772</v>
      </c>
      <c r="G2572" t="s">
        <v>2698</v>
      </c>
      <c r="H2572" t="s">
        <v>31</v>
      </c>
      <c r="I2572" s="28" t="s">
        <v>26</v>
      </c>
    </row>
    <row r="2573" spans="1:9" x14ac:dyDescent="0.3">
      <c r="A2573" s="26">
        <v>45336</v>
      </c>
      <c r="B2573" t="s">
        <v>966</v>
      </c>
      <c r="C2573" t="s">
        <v>967</v>
      </c>
      <c r="D2573">
        <v>3</v>
      </c>
      <c r="E2573" t="s">
        <v>7</v>
      </c>
      <c r="F2573" t="s">
        <v>754</v>
      </c>
      <c r="H2573" t="s">
        <v>31</v>
      </c>
      <c r="I2573" s="28" t="s">
        <v>26</v>
      </c>
    </row>
    <row r="2574" spans="1:9" x14ac:dyDescent="0.3">
      <c r="A2574" s="26">
        <v>45336</v>
      </c>
      <c r="B2574" t="s">
        <v>966</v>
      </c>
      <c r="C2574" t="s">
        <v>967</v>
      </c>
      <c r="D2574">
        <v>3.5</v>
      </c>
      <c r="E2574" t="s">
        <v>790</v>
      </c>
      <c r="F2574" t="s">
        <v>754</v>
      </c>
      <c r="H2574" t="s">
        <v>31</v>
      </c>
      <c r="I2574" s="28" t="s">
        <v>26</v>
      </c>
    </row>
    <row r="2575" spans="1:9" x14ac:dyDescent="0.3">
      <c r="A2575" s="26">
        <v>45336</v>
      </c>
      <c r="B2575" t="s">
        <v>966</v>
      </c>
      <c r="C2575" t="s">
        <v>771</v>
      </c>
      <c r="D2575">
        <v>0.5</v>
      </c>
      <c r="E2575" t="s">
        <v>7</v>
      </c>
      <c r="F2575" t="s">
        <v>772</v>
      </c>
      <c r="G2575" t="s">
        <v>2070</v>
      </c>
      <c r="H2575" t="s">
        <v>31</v>
      </c>
      <c r="I2575" s="28" t="s">
        <v>26</v>
      </c>
    </row>
    <row r="2576" spans="1:9" x14ac:dyDescent="0.3">
      <c r="A2576" s="26">
        <v>45336</v>
      </c>
      <c r="B2576" t="s">
        <v>969</v>
      </c>
      <c r="C2576" t="s">
        <v>1163</v>
      </c>
      <c r="D2576">
        <v>4</v>
      </c>
      <c r="E2576" t="s">
        <v>7</v>
      </c>
      <c r="F2576" t="s">
        <v>772</v>
      </c>
      <c r="H2576" t="s">
        <v>31</v>
      </c>
      <c r="I2576" s="28" t="s">
        <v>26</v>
      </c>
    </row>
    <row r="2577" spans="1:9" x14ac:dyDescent="0.3">
      <c r="A2577" s="26">
        <v>45336</v>
      </c>
      <c r="B2577" t="s">
        <v>969</v>
      </c>
      <c r="C2577" t="s">
        <v>753</v>
      </c>
      <c r="D2577">
        <v>0.55000000000000004</v>
      </c>
      <c r="E2577" t="s">
        <v>790</v>
      </c>
      <c r="F2577" t="s">
        <v>772</v>
      </c>
      <c r="G2577" t="s">
        <v>2699</v>
      </c>
      <c r="H2577" t="s">
        <v>31</v>
      </c>
      <c r="I2577" s="28" t="s">
        <v>26</v>
      </c>
    </row>
    <row r="2578" spans="1:9" x14ac:dyDescent="0.3">
      <c r="A2578" s="26">
        <v>45336</v>
      </c>
      <c r="B2578" t="s">
        <v>969</v>
      </c>
      <c r="C2578" t="s">
        <v>789</v>
      </c>
      <c r="D2578">
        <v>0.22</v>
      </c>
      <c r="E2578" t="s">
        <v>790</v>
      </c>
      <c r="F2578" t="s">
        <v>754</v>
      </c>
      <c r="G2578" t="s">
        <v>2700</v>
      </c>
      <c r="H2578" t="s">
        <v>31</v>
      </c>
      <c r="I2578" s="28" t="s">
        <v>26</v>
      </c>
    </row>
    <row r="2579" spans="1:9" x14ac:dyDescent="0.3">
      <c r="A2579" s="26">
        <v>45336</v>
      </c>
      <c r="B2579" t="s">
        <v>969</v>
      </c>
      <c r="C2579" t="s">
        <v>789</v>
      </c>
      <c r="D2579">
        <v>0.22</v>
      </c>
      <c r="E2579" t="s">
        <v>7</v>
      </c>
      <c r="F2579" t="s">
        <v>772</v>
      </c>
      <c r="G2579" t="s">
        <v>1012</v>
      </c>
      <c r="H2579" t="s">
        <v>31</v>
      </c>
      <c r="I2579" s="28" t="s">
        <v>26</v>
      </c>
    </row>
    <row r="2580" spans="1:9" x14ac:dyDescent="0.3">
      <c r="A2580" s="26">
        <v>45336</v>
      </c>
      <c r="B2580" t="s">
        <v>969</v>
      </c>
      <c r="C2580" t="s">
        <v>789</v>
      </c>
      <c r="D2580">
        <v>0.23</v>
      </c>
      <c r="E2580" t="s">
        <v>7</v>
      </c>
      <c r="F2580" t="s">
        <v>772</v>
      </c>
      <c r="G2580" t="s">
        <v>2701</v>
      </c>
      <c r="H2580" t="s">
        <v>31</v>
      </c>
      <c r="I2580" s="28" t="s">
        <v>26</v>
      </c>
    </row>
    <row r="2581" spans="1:9" x14ac:dyDescent="0.3">
      <c r="A2581" s="26">
        <v>45336</v>
      </c>
      <c r="B2581" t="s">
        <v>969</v>
      </c>
      <c r="C2581" t="s">
        <v>789</v>
      </c>
      <c r="D2581">
        <v>1.1200000000000001</v>
      </c>
      <c r="E2581" t="s">
        <v>790</v>
      </c>
      <c r="F2581" t="s">
        <v>754</v>
      </c>
      <c r="G2581" t="s">
        <v>2200</v>
      </c>
      <c r="H2581" t="s">
        <v>31</v>
      </c>
      <c r="I2581" s="28" t="s">
        <v>26</v>
      </c>
    </row>
    <row r="2582" spans="1:9" x14ac:dyDescent="0.3">
      <c r="A2582" s="26">
        <v>45336</v>
      </c>
      <c r="B2582" t="s">
        <v>969</v>
      </c>
      <c r="C2582" t="s">
        <v>1441</v>
      </c>
      <c r="D2582">
        <v>0.72</v>
      </c>
      <c r="E2582" t="s">
        <v>790</v>
      </c>
      <c r="F2582" t="s">
        <v>754</v>
      </c>
      <c r="G2582" t="s">
        <v>2702</v>
      </c>
      <c r="H2582" t="s">
        <v>31</v>
      </c>
      <c r="I2582" s="28" t="s">
        <v>26</v>
      </c>
    </row>
    <row r="2583" spans="1:9" x14ac:dyDescent="0.3">
      <c r="A2583" s="26">
        <v>45336</v>
      </c>
      <c r="B2583" t="s">
        <v>969</v>
      </c>
      <c r="C2583" t="s">
        <v>776</v>
      </c>
      <c r="D2583">
        <v>0.7</v>
      </c>
      <c r="E2583" t="s">
        <v>7</v>
      </c>
      <c r="F2583" t="s">
        <v>772</v>
      </c>
      <c r="H2583" t="s">
        <v>31</v>
      </c>
      <c r="I2583" s="28" t="s">
        <v>26</v>
      </c>
    </row>
    <row r="2584" spans="1:9" x14ac:dyDescent="0.3">
      <c r="A2584" s="26">
        <v>45336</v>
      </c>
      <c r="B2584" t="s">
        <v>969</v>
      </c>
      <c r="C2584" t="s">
        <v>776</v>
      </c>
      <c r="D2584">
        <v>1.2</v>
      </c>
      <c r="E2584" t="s">
        <v>7</v>
      </c>
      <c r="F2584" t="s">
        <v>772</v>
      </c>
      <c r="G2584" t="s">
        <v>2703</v>
      </c>
      <c r="H2584" t="s">
        <v>31</v>
      </c>
      <c r="I2584" s="28" t="s">
        <v>26</v>
      </c>
    </row>
    <row r="2585" spans="1:9" x14ac:dyDescent="0.3">
      <c r="A2585" s="26">
        <v>45336</v>
      </c>
      <c r="B2585" t="s">
        <v>977</v>
      </c>
      <c r="C2585" t="s">
        <v>753</v>
      </c>
      <c r="D2585">
        <v>1.52</v>
      </c>
      <c r="E2585" t="s">
        <v>978</v>
      </c>
      <c r="F2585" t="s">
        <v>754</v>
      </c>
      <c r="G2585" t="s">
        <v>2704</v>
      </c>
      <c r="H2585" t="s">
        <v>31</v>
      </c>
      <c r="I2585" s="28" t="s">
        <v>26</v>
      </c>
    </row>
    <row r="2586" spans="1:9" x14ac:dyDescent="0.3">
      <c r="A2586" s="26">
        <v>45336</v>
      </c>
      <c r="B2586" t="s">
        <v>977</v>
      </c>
      <c r="C2586" t="s">
        <v>753</v>
      </c>
      <c r="D2586">
        <v>1.57</v>
      </c>
      <c r="E2586" t="s">
        <v>978</v>
      </c>
      <c r="F2586" t="s">
        <v>754</v>
      </c>
      <c r="G2586" t="s">
        <v>2705</v>
      </c>
      <c r="H2586" t="s">
        <v>31</v>
      </c>
      <c r="I2586" s="28" t="s">
        <v>26</v>
      </c>
    </row>
    <row r="2587" spans="1:9" x14ac:dyDescent="0.3">
      <c r="A2587" s="26">
        <v>45336</v>
      </c>
      <c r="B2587" t="s">
        <v>977</v>
      </c>
      <c r="C2587" t="s">
        <v>753</v>
      </c>
      <c r="D2587">
        <v>4.42</v>
      </c>
      <c r="E2587" t="s">
        <v>978</v>
      </c>
      <c r="F2587" t="s">
        <v>754</v>
      </c>
      <c r="G2587" t="s">
        <v>2706</v>
      </c>
      <c r="H2587" t="s">
        <v>31</v>
      </c>
      <c r="I2587" s="28" t="s">
        <v>26</v>
      </c>
    </row>
    <row r="2588" spans="1:9" x14ac:dyDescent="0.3">
      <c r="A2588" s="26">
        <v>45336</v>
      </c>
      <c r="B2588" t="s">
        <v>977</v>
      </c>
      <c r="C2588" t="s">
        <v>771</v>
      </c>
      <c r="D2588">
        <v>0.5</v>
      </c>
      <c r="E2588" t="s">
        <v>7</v>
      </c>
      <c r="F2588" t="s">
        <v>772</v>
      </c>
      <c r="G2588" t="s">
        <v>820</v>
      </c>
      <c r="H2588" t="s">
        <v>31</v>
      </c>
      <c r="I2588" s="28" t="s">
        <v>26</v>
      </c>
    </row>
    <row r="2589" spans="1:9" x14ac:dyDescent="0.3">
      <c r="A2589" s="26">
        <v>45336</v>
      </c>
      <c r="B2589" t="s">
        <v>981</v>
      </c>
      <c r="C2589" t="s">
        <v>982</v>
      </c>
      <c r="D2589">
        <v>9</v>
      </c>
      <c r="E2589" t="s">
        <v>7</v>
      </c>
      <c r="F2589" t="s">
        <v>772</v>
      </c>
      <c r="G2589" t="s">
        <v>983</v>
      </c>
      <c r="H2589" t="s">
        <v>31</v>
      </c>
      <c r="I2589" s="28" t="s">
        <v>26</v>
      </c>
    </row>
    <row r="2590" spans="1:9" x14ac:dyDescent="0.3">
      <c r="A2590" s="26">
        <v>45336</v>
      </c>
      <c r="B2590" t="s">
        <v>984</v>
      </c>
      <c r="C2590" t="s">
        <v>753</v>
      </c>
      <c r="D2590">
        <v>2.87</v>
      </c>
      <c r="E2590" t="s">
        <v>13</v>
      </c>
      <c r="F2590" t="s">
        <v>754</v>
      </c>
      <c r="H2590" t="s">
        <v>31</v>
      </c>
      <c r="I2590" s="28" t="s">
        <v>26</v>
      </c>
    </row>
    <row r="2591" spans="1:9" x14ac:dyDescent="0.3">
      <c r="A2591" s="26">
        <v>45336</v>
      </c>
      <c r="B2591" t="s">
        <v>984</v>
      </c>
      <c r="C2591" t="s">
        <v>753</v>
      </c>
      <c r="D2591">
        <v>3.73</v>
      </c>
      <c r="E2591" t="s">
        <v>13</v>
      </c>
      <c r="F2591" t="s">
        <v>754</v>
      </c>
      <c r="G2591" t="s">
        <v>2707</v>
      </c>
      <c r="H2591" t="s">
        <v>31</v>
      </c>
      <c r="I2591" s="28" t="s">
        <v>26</v>
      </c>
    </row>
    <row r="2592" spans="1:9" x14ac:dyDescent="0.3">
      <c r="A2592" s="26">
        <v>45336</v>
      </c>
      <c r="B2592" t="s">
        <v>984</v>
      </c>
      <c r="C2592" t="s">
        <v>771</v>
      </c>
      <c r="D2592">
        <v>0.72</v>
      </c>
      <c r="E2592" t="s">
        <v>7</v>
      </c>
      <c r="F2592" t="s">
        <v>772</v>
      </c>
      <c r="G2592" t="s">
        <v>2708</v>
      </c>
      <c r="H2592" t="s">
        <v>31</v>
      </c>
      <c r="I2592" s="28" t="s">
        <v>26</v>
      </c>
    </row>
    <row r="2593" spans="1:9" x14ac:dyDescent="0.3">
      <c r="A2593" s="26">
        <v>45336</v>
      </c>
      <c r="B2593" t="s">
        <v>984</v>
      </c>
      <c r="C2593" t="s">
        <v>776</v>
      </c>
      <c r="D2593">
        <v>0.87</v>
      </c>
      <c r="E2593" t="s">
        <v>602</v>
      </c>
      <c r="F2593" t="s">
        <v>754</v>
      </c>
      <c r="G2593" t="s">
        <v>2709</v>
      </c>
      <c r="H2593" t="s">
        <v>31</v>
      </c>
      <c r="I2593" s="28" t="s">
        <v>26</v>
      </c>
    </row>
    <row r="2594" spans="1:9" x14ac:dyDescent="0.3">
      <c r="A2594" s="26">
        <v>45336</v>
      </c>
      <c r="B2594" t="s">
        <v>991</v>
      </c>
      <c r="C2594" t="s">
        <v>992</v>
      </c>
      <c r="D2594">
        <v>0.37</v>
      </c>
      <c r="E2594" t="s">
        <v>7</v>
      </c>
      <c r="F2594" t="s">
        <v>772</v>
      </c>
      <c r="G2594" t="s">
        <v>2710</v>
      </c>
      <c r="H2594" t="s">
        <v>31</v>
      </c>
      <c r="I2594" s="28" t="s">
        <v>26</v>
      </c>
    </row>
    <row r="2595" spans="1:9" x14ac:dyDescent="0.3">
      <c r="A2595" s="26">
        <v>45336</v>
      </c>
      <c r="B2595" t="s">
        <v>991</v>
      </c>
      <c r="C2595" t="s">
        <v>992</v>
      </c>
      <c r="D2595">
        <v>1.9</v>
      </c>
      <c r="E2595" t="s">
        <v>7</v>
      </c>
      <c r="F2595" t="s">
        <v>772</v>
      </c>
      <c r="G2595" t="s">
        <v>2711</v>
      </c>
      <c r="H2595" t="s">
        <v>31</v>
      </c>
      <c r="I2595" s="28" t="s">
        <v>26</v>
      </c>
    </row>
    <row r="2596" spans="1:9" x14ac:dyDescent="0.3">
      <c r="A2596" s="26">
        <v>45336</v>
      </c>
      <c r="B2596" t="s">
        <v>991</v>
      </c>
      <c r="C2596" t="s">
        <v>753</v>
      </c>
      <c r="D2596">
        <v>0.52</v>
      </c>
      <c r="E2596" t="s">
        <v>7</v>
      </c>
      <c r="F2596" t="s">
        <v>772</v>
      </c>
      <c r="G2596" t="s">
        <v>2712</v>
      </c>
      <c r="H2596" t="s">
        <v>31</v>
      </c>
      <c r="I2596" s="28" t="s">
        <v>26</v>
      </c>
    </row>
    <row r="2597" spans="1:9" x14ac:dyDescent="0.3">
      <c r="A2597" s="26">
        <v>45336</v>
      </c>
      <c r="B2597" t="s">
        <v>991</v>
      </c>
      <c r="C2597" t="s">
        <v>1870</v>
      </c>
      <c r="D2597">
        <v>5.22</v>
      </c>
      <c r="E2597" t="s">
        <v>999</v>
      </c>
      <c r="F2597" t="s">
        <v>772</v>
      </c>
      <c r="G2597" t="s">
        <v>2713</v>
      </c>
      <c r="H2597" t="s">
        <v>31</v>
      </c>
      <c r="I2597" s="28" t="s">
        <v>26</v>
      </c>
    </row>
    <row r="2598" spans="1:9" x14ac:dyDescent="0.3">
      <c r="A2598" s="26">
        <v>45336</v>
      </c>
      <c r="B2598" t="s">
        <v>1002</v>
      </c>
      <c r="C2598" t="s">
        <v>1003</v>
      </c>
      <c r="D2598">
        <v>10</v>
      </c>
      <c r="E2598" t="s">
        <v>7</v>
      </c>
      <c r="F2598" t="s">
        <v>772</v>
      </c>
      <c r="G2598" t="s">
        <v>2714</v>
      </c>
      <c r="H2598" t="s">
        <v>31</v>
      </c>
      <c r="I2598" s="28" t="s">
        <v>26</v>
      </c>
    </row>
    <row r="2599" spans="1:9" x14ac:dyDescent="0.3">
      <c r="A2599" s="26">
        <v>45336</v>
      </c>
      <c r="B2599" t="s">
        <v>1005</v>
      </c>
      <c r="C2599" t="s">
        <v>753</v>
      </c>
      <c r="D2599">
        <v>0.5</v>
      </c>
      <c r="E2599" t="s">
        <v>1438</v>
      </c>
      <c r="F2599" t="s">
        <v>754</v>
      </c>
      <c r="G2599" t="s">
        <v>2715</v>
      </c>
      <c r="H2599" t="s">
        <v>31</v>
      </c>
      <c r="I2599" s="28" t="s">
        <v>26</v>
      </c>
    </row>
    <row r="2600" spans="1:9" x14ac:dyDescent="0.3">
      <c r="A2600" s="26">
        <v>45336</v>
      </c>
      <c r="B2600" t="s">
        <v>1005</v>
      </c>
      <c r="C2600" t="s">
        <v>753</v>
      </c>
      <c r="D2600">
        <v>0.5</v>
      </c>
      <c r="E2600" t="s">
        <v>1438</v>
      </c>
      <c r="F2600" t="s">
        <v>754</v>
      </c>
      <c r="G2600" t="s">
        <v>2716</v>
      </c>
      <c r="H2600" t="s">
        <v>31</v>
      </c>
      <c r="I2600" s="28" t="s">
        <v>26</v>
      </c>
    </row>
    <row r="2601" spans="1:9" x14ac:dyDescent="0.3">
      <c r="A2601" s="26">
        <v>45336</v>
      </c>
      <c r="B2601" t="s">
        <v>1005</v>
      </c>
      <c r="C2601" t="s">
        <v>753</v>
      </c>
      <c r="D2601">
        <v>0.5</v>
      </c>
      <c r="E2601" t="s">
        <v>161</v>
      </c>
      <c r="F2601" t="s">
        <v>754</v>
      </c>
      <c r="H2601" t="s">
        <v>31</v>
      </c>
      <c r="I2601" s="28" t="s">
        <v>26</v>
      </c>
    </row>
    <row r="2602" spans="1:9" x14ac:dyDescent="0.3">
      <c r="A2602" s="26">
        <v>45336</v>
      </c>
      <c r="B2602" t="s">
        <v>1005</v>
      </c>
      <c r="C2602" t="s">
        <v>753</v>
      </c>
      <c r="D2602">
        <v>0.75</v>
      </c>
      <c r="E2602" t="s">
        <v>201</v>
      </c>
      <c r="F2602" t="s">
        <v>754</v>
      </c>
      <c r="H2602" t="s">
        <v>31</v>
      </c>
      <c r="I2602" s="28" t="s">
        <v>26</v>
      </c>
    </row>
    <row r="2603" spans="1:9" x14ac:dyDescent="0.3">
      <c r="A2603" s="26">
        <v>45336</v>
      </c>
      <c r="B2603" t="s">
        <v>1005</v>
      </c>
      <c r="C2603" t="s">
        <v>753</v>
      </c>
      <c r="D2603">
        <v>1</v>
      </c>
      <c r="E2603" t="s">
        <v>430</v>
      </c>
      <c r="F2603" t="s">
        <v>754</v>
      </c>
      <c r="H2603" t="s">
        <v>31</v>
      </c>
      <c r="I2603" s="28" t="s">
        <v>26</v>
      </c>
    </row>
    <row r="2604" spans="1:9" x14ac:dyDescent="0.3">
      <c r="A2604" s="26">
        <v>45336</v>
      </c>
      <c r="B2604" t="s">
        <v>1005</v>
      </c>
      <c r="C2604" t="s">
        <v>753</v>
      </c>
      <c r="D2604">
        <v>1</v>
      </c>
      <c r="E2604" t="s">
        <v>471</v>
      </c>
      <c r="F2604" t="s">
        <v>754</v>
      </c>
      <c r="H2604" t="s">
        <v>31</v>
      </c>
      <c r="I2604" s="28" t="s">
        <v>26</v>
      </c>
    </row>
    <row r="2605" spans="1:9" x14ac:dyDescent="0.3">
      <c r="A2605" s="26">
        <v>45336</v>
      </c>
      <c r="B2605" t="s">
        <v>1005</v>
      </c>
      <c r="C2605" t="s">
        <v>776</v>
      </c>
      <c r="D2605">
        <v>0.25</v>
      </c>
      <c r="E2605" t="s">
        <v>141</v>
      </c>
      <c r="F2605" t="s">
        <v>754</v>
      </c>
      <c r="H2605" t="s">
        <v>31</v>
      </c>
      <c r="I2605" s="28" t="s">
        <v>26</v>
      </c>
    </row>
    <row r="2606" spans="1:9" x14ac:dyDescent="0.3">
      <c r="A2606" s="26">
        <v>45336</v>
      </c>
      <c r="B2606" t="s">
        <v>1006</v>
      </c>
      <c r="C2606" t="s">
        <v>753</v>
      </c>
      <c r="D2606">
        <v>0.25</v>
      </c>
      <c r="E2606" t="s">
        <v>757</v>
      </c>
      <c r="F2606" t="s">
        <v>754</v>
      </c>
      <c r="G2606" t="s">
        <v>2717</v>
      </c>
      <c r="H2606" t="s">
        <v>31</v>
      </c>
      <c r="I2606" s="28" t="s">
        <v>26</v>
      </c>
    </row>
    <row r="2607" spans="1:9" x14ac:dyDescent="0.3">
      <c r="A2607" s="26">
        <v>45336</v>
      </c>
      <c r="B2607" t="s">
        <v>1006</v>
      </c>
      <c r="C2607" t="s">
        <v>909</v>
      </c>
      <c r="D2607">
        <v>7.0000000000000007E-2</v>
      </c>
      <c r="E2607" t="s">
        <v>922</v>
      </c>
      <c r="F2607" t="s">
        <v>754</v>
      </c>
      <c r="G2607" t="s">
        <v>1012</v>
      </c>
      <c r="H2607" t="s">
        <v>31</v>
      </c>
      <c r="I2607" s="28" t="s">
        <v>26</v>
      </c>
    </row>
    <row r="2608" spans="1:9" x14ac:dyDescent="0.3">
      <c r="A2608" s="26">
        <v>45336</v>
      </c>
      <c r="B2608" t="s">
        <v>1006</v>
      </c>
      <c r="C2608" t="s">
        <v>909</v>
      </c>
      <c r="D2608">
        <v>0.08</v>
      </c>
      <c r="E2608" t="s">
        <v>2525</v>
      </c>
      <c r="F2608" t="s">
        <v>754</v>
      </c>
      <c r="G2608" t="s">
        <v>2718</v>
      </c>
      <c r="H2608" t="s">
        <v>31</v>
      </c>
      <c r="I2608" s="28" t="s">
        <v>26</v>
      </c>
    </row>
    <row r="2609" spans="1:9" x14ac:dyDescent="0.3">
      <c r="A2609" s="26">
        <v>45336</v>
      </c>
      <c r="B2609" t="s">
        <v>1006</v>
      </c>
      <c r="C2609" t="s">
        <v>909</v>
      </c>
      <c r="D2609">
        <v>0.33</v>
      </c>
      <c r="E2609" t="s">
        <v>151</v>
      </c>
      <c r="F2609" t="s">
        <v>754</v>
      </c>
      <c r="G2609" t="s">
        <v>2354</v>
      </c>
      <c r="H2609" t="s">
        <v>31</v>
      </c>
      <c r="I2609" s="28" t="s">
        <v>26</v>
      </c>
    </row>
    <row r="2610" spans="1:9" x14ac:dyDescent="0.3">
      <c r="A2610" s="26">
        <v>45336</v>
      </c>
      <c r="B2610" t="s">
        <v>1006</v>
      </c>
      <c r="C2610" t="s">
        <v>909</v>
      </c>
      <c r="D2610">
        <v>1.22</v>
      </c>
      <c r="E2610" t="s">
        <v>757</v>
      </c>
      <c r="F2610" t="s">
        <v>772</v>
      </c>
      <c r="G2610" t="s">
        <v>2719</v>
      </c>
      <c r="H2610" t="s">
        <v>31</v>
      </c>
      <c r="I2610" s="28" t="s">
        <v>26</v>
      </c>
    </row>
    <row r="2611" spans="1:9" x14ac:dyDescent="0.3">
      <c r="A2611" s="26">
        <v>45336</v>
      </c>
      <c r="B2611" t="s">
        <v>1006</v>
      </c>
      <c r="C2611" t="s">
        <v>909</v>
      </c>
      <c r="D2611">
        <v>1.93</v>
      </c>
      <c r="E2611" t="s">
        <v>757</v>
      </c>
      <c r="F2611" t="s">
        <v>754</v>
      </c>
      <c r="G2611" t="s">
        <v>2354</v>
      </c>
      <c r="H2611" t="s">
        <v>31</v>
      </c>
      <c r="I2611" s="28" t="s">
        <v>26</v>
      </c>
    </row>
    <row r="2612" spans="1:9" x14ac:dyDescent="0.3">
      <c r="A2612" s="26">
        <v>45336</v>
      </c>
      <c r="B2612" t="s">
        <v>1006</v>
      </c>
      <c r="C2612" t="s">
        <v>789</v>
      </c>
      <c r="D2612">
        <v>0.25</v>
      </c>
      <c r="E2612" t="s">
        <v>922</v>
      </c>
      <c r="F2612" t="s">
        <v>754</v>
      </c>
      <c r="G2612" t="s">
        <v>2720</v>
      </c>
      <c r="H2612" t="s">
        <v>31</v>
      </c>
      <c r="I2612" s="28" t="s">
        <v>26</v>
      </c>
    </row>
    <row r="2613" spans="1:9" x14ac:dyDescent="0.3">
      <c r="A2613" s="26">
        <v>45336</v>
      </c>
      <c r="B2613" t="s">
        <v>1006</v>
      </c>
      <c r="C2613" t="s">
        <v>789</v>
      </c>
      <c r="D2613">
        <v>1.02</v>
      </c>
      <c r="E2613" t="s">
        <v>151</v>
      </c>
      <c r="F2613" t="s">
        <v>754</v>
      </c>
      <c r="G2613" t="s">
        <v>2721</v>
      </c>
      <c r="H2613" t="s">
        <v>31</v>
      </c>
      <c r="I2613" s="28" t="s">
        <v>26</v>
      </c>
    </row>
    <row r="2614" spans="1:9" x14ac:dyDescent="0.3">
      <c r="A2614" s="26">
        <v>45336</v>
      </c>
      <c r="B2614" t="s">
        <v>1006</v>
      </c>
      <c r="C2614" t="s">
        <v>771</v>
      </c>
      <c r="D2614">
        <v>0.85</v>
      </c>
      <c r="E2614" t="s">
        <v>7</v>
      </c>
      <c r="F2614" t="s">
        <v>772</v>
      </c>
      <c r="G2614" t="s">
        <v>1010</v>
      </c>
      <c r="H2614" t="s">
        <v>31</v>
      </c>
      <c r="I2614" s="28" t="s">
        <v>26</v>
      </c>
    </row>
    <row r="2615" spans="1:9" x14ac:dyDescent="0.3">
      <c r="A2615" s="26">
        <v>45336</v>
      </c>
      <c r="B2615" t="s">
        <v>1011</v>
      </c>
      <c r="C2615" t="s">
        <v>753</v>
      </c>
      <c r="D2615">
        <v>0.18</v>
      </c>
      <c r="E2615" t="s">
        <v>589</v>
      </c>
      <c r="F2615" t="s">
        <v>754</v>
      </c>
      <c r="G2615" t="s">
        <v>2722</v>
      </c>
      <c r="H2615" t="s">
        <v>31</v>
      </c>
      <c r="I2615" s="28" t="s">
        <v>26</v>
      </c>
    </row>
    <row r="2616" spans="1:9" x14ac:dyDescent="0.3">
      <c r="A2616" s="26">
        <v>45336</v>
      </c>
      <c r="B2616" t="s">
        <v>1011</v>
      </c>
      <c r="C2616" t="s">
        <v>753</v>
      </c>
      <c r="D2616">
        <v>0.43</v>
      </c>
      <c r="E2616" t="s">
        <v>1013</v>
      </c>
      <c r="F2616" t="s">
        <v>754</v>
      </c>
      <c r="G2616" t="s">
        <v>2723</v>
      </c>
      <c r="H2616" t="s">
        <v>31</v>
      </c>
      <c r="I2616" s="28" t="s">
        <v>26</v>
      </c>
    </row>
    <row r="2617" spans="1:9" x14ac:dyDescent="0.3">
      <c r="A2617" s="26">
        <v>45336</v>
      </c>
      <c r="B2617" t="s">
        <v>1011</v>
      </c>
      <c r="C2617" t="s">
        <v>753</v>
      </c>
      <c r="D2617">
        <v>0.57999999999999996</v>
      </c>
      <c r="E2617" t="s">
        <v>1013</v>
      </c>
      <c r="F2617" t="s">
        <v>754</v>
      </c>
      <c r="G2617" t="s">
        <v>2724</v>
      </c>
      <c r="H2617" t="s">
        <v>31</v>
      </c>
      <c r="I2617" s="28" t="s">
        <v>26</v>
      </c>
    </row>
    <row r="2618" spans="1:9" x14ac:dyDescent="0.3">
      <c r="A2618" s="26">
        <v>45336</v>
      </c>
      <c r="B2618" t="s">
        <v>1011</v>
      </c>
      <c r="C2618" t="s">
        <v>753</v>
      </c>
      <c r="D2618">
        <v>0.83</v>
      </c>
      <c r="E2618" t="s">
        <v>1013</v>
      </c>
      <c r="F2618" t="s">
        <v>754</v>
      </c>
      <c r="G2618" t="s">
        <v>2725</v>
      </c>
      <c r="H2618" t="s">
        <v>31</v>
      </c>
      <c r="I2618" s="28" t="s">
        <v>26</v>
      </c>
    </row>
    <row r="2619" spans="1:9" x14ac:dyDescent="0.3">
      <c r="A2619" s="26">
        <v>45336</v>
      </c>
      <c r="B2619" t="s">
        <v>1011</v>
      </c>
      <c r="C2619" t="s">
        <v>753</v>
      </c>
      <c r="D2619">
        <v>1</v>
      </c>
      <c r="E2619" t="s">
        <v>1013</v>
      </c>
      <c r="F2619" t="s">
        <v>772</v>
      </c>
      <c r="G2619" t="s">
        <v>2726</v>
      </c>
      <c r="H2619" t="s">
        <v>31</v>
      </c>
      <c r="I2619" s="28" t="s">
        <v>26</v>
      </c>
    </row>
    <row r="2620" spans="1:9" x14ac:dyDescent="0.3">
      <c r="A2620" s="26">
        <v>45336</v>
      </c>
      <c r="B2620" t="s">
        <v>1011</v>
      </c>
      <c r="C2620" t="s">
        <v>753</v>
      </c>
      <c r="D2620">
        <v>1.1499999999999999</v>
      </c>
      <c r="E2620" t="s">
        <v>1013</v>
      </c>
      <c r="F2620" t="s">
        <v>754</v>
      </c>
      <c r="G2620" t="s">
        <v>2727</v>
      </c>
      <c r="H2620" t="s">
        <v>31</v>
      </c>
      <c r="I2620" s="28" t="s">
        <v>26</v>
      </c>
    </row>
    <row r="2621" spans="1:9" x14ac:dyDescent="0.3">
      <c r="A2621" s="26">
        <v>45336</v>
      </c>
      <c r="B2621" t="s">
        <v>1011</v>
      </c>
      <c r="C2621" t="s">
        <v>753</v>
      </c>
      <c r="D2621">
        <v>3.05</v>
      </c>
      <c r="E2621" t="s">
        <v>1013</v>
      </c>
      <c r="F2621" t="s">
        <v>754</v>
      </c>
      <c r="G2621" t="s">
        <v>2728</v>
      </c>
      <c r="H2621" t="s">
        <v>31</v>
      </c>
      <c r="I2621" s="28" t="s">
        <v>26</v>
      </c>
    </row>
    <row r="2622" spans="1:9" x14ac:dyDescent="0.3">
      <c r="A2622" s="26">
        <v>45336</v>
      </c>
      <c r="B2622" t="s">
        <v>1011</v>
      </c>
      <c r="C2622" t="s">
        <v>771</v>
      </c>
      <c r="D2622">
        <v>0.38</v>
      </c>
      <c r="E2622" t="s">
        <v>7</v>
      </c>
      <c r="F2622" t="s">
        <v>772</v>
      </c>
      <c r="G2622" t="s">
        <v>2060</v>
      </c>
      <c r="H2622" t="s">
        <v>31</v>
      </c>
      <c r="I2622" s="28" t="s">
        <v>26</v>
      </c>
    </row>
    <row r="2623" spans="1:9" x14ac:dyDescent="0.3">
      <c r="A2623" s="26">
        <v>45336</v>
      </c>
      <c r="B2623" t="s">
        <v>1020</v>
      </c>
      <c r="C2623" t="s">
        <v>1163</v>
      </c>
      <c r="D2623">
        <v>8</v>
      </c>
      <c r="E2623" t="s">
        <v>7</v>
      </c>
      <c r="F2623" t="s">
        <v>772</v>
      </c>
      <c r="H2623" t="s">
        <v>31</v>
      </c>
      <c r="I2623" s="28" t="s">
        <v>26</v>
      </c>
    </row>
    <row r="2624" spans="1:9" x14ac:dyDescent="0.3">
      <c r="A2624" s="26">
        <v>45336</v>
      </c>
      <c r="B2624" t="s">
        <v>1026</v>
      </c>
      <c r="C2624" t="s">
        <v>771</v>
      </c>
      <c r="D2624">
        <v>4.33</v>
      </c>
      <c r="E2624" t="s">
        <v>7</v>
      </c>
      <c r="F2624" t="s">
        <v>772</v>
      </c>
      <c r="G2624" t="s">
        <v>2729</v>
      </c>
      <c r="H2624" t="s">
        <v>31</v>
      </c>
      <c r="I2624" s="28" t="s">
        <v>26</v>
      </c>
    </row>
    <row r="2625" spans="1:9" x14ac:dyDescent="0.3">
      <c r="A2625" s="26">
        <v>45336</v>
      </c>
      <c r="B2625" t="s">
        <v>1026</v>
      </c>
      <c r="C2625" t="s">
        <v>771</v>
      </c>
      <c r="D2625">
        <v>4.9000000000000004</v>
      </c>
      <c r="E2625" t="s">
        <v>7</v>
      </c>
      <c r="F2625" t="s">
        <v>772</v>
      </c>
      <c r="G2625" t="s">
        <v>2730</v>
      </c>
      <c r="H2625" t="s">
        <v>31</v>
      </c>
      <c r="I2625" s="28" t="s">
        <v>26</v>
      </c>
    </row>
    <row r="2626" spans="1:9" x14ac:dyDescent="0.3">
      <c r="A2626" s="26">
        <v>45336</v>
      </c>
      <c r="B2626" t="s">
        <v>1032</v>
      </c>
      <c r="C2626" t="s">
        <v>753</v>
      </c>
      <c r="D2626">
        <v>3.92</v>
      </c>
      <c r="E2626" t="s">
        <v>790</v>
      </c>
      <c r="F2626" t="s">
        <v>754</v>
      </c>
      <c r="H2626" t="s">
        <v>31</v>
      </c>
      <c r="I2626" s="28" t="s">
        <v>26</v>
      </c>
    </row>
    <row r="2627" spans="1:9" x14ac:dyDescent="0.3">
      <c r="A2627" s="26">
        <v>45336</v>
      </c>
      <c r="B2627" t="s">
        <v>1032</v>
      </c>
      <c r="C2627" t="s">
        <v>789</v>
      </c>
      <c r="D2627">
        <v>0.8</v>
      </c>
      <c r="E2627" t="s">
        <v>790</v>
      </c>
      <c r="F2627" t="s">
        <v>754</v>
      </c>
      <c r="G2627" t="s">
        <v>2731</v>
      </c>
      <c r="H2627" t="s">
        <v>31</v>
      </c>
      <c r="I2627" s="28" t="s">
        <v>26</v>
      </c>
    </row>
    <row r="2628" spans="1:9" x14ac:dyDescent="0.3">
      <c r="A2628" s="26">
        <v>45336</v>
      </c>
      <c r="B2628" t="s">
        <v>1032</v>
      </c>
      <c r="C2628" t="s">
        <v>776</v>
      </c>
      <c r="D2628">
        <v>3.63</v>
      </c>
      <c r="E2628" t="s">
        <v>790</v>
      </c>
      <c r="F2628" t="s">
        <v>754</v>
      </c>
      <c r="G2628" t="s">
        <v>2732</v>
      </c>
      <c r="H2628" t="s">
        <v>31</v>
      </c>
      <c r="I2628" s="28" t="s">
        <v>26</v>
      </c>
    </row>
    <row r="2629" spans="1:9" x14ac:dyDescent="0.3">
      <c r="A2629" s="26">
        <v>45336</v>
      </c>
      <c r="B2629" t="s">
        <v>1034</v>
      </c>
      <c r="C2629" t="s">
        <v>753</v>
      </c>
      <c r="D2629">
        <v>0.43</v>
      </c>
      <c r="E2629" t="s">
        <v>234</v>
      </c>
      <c r="F2629" t="s">
        <v>754</v>
      </c>
      <c r="G2629" t="s">
        <v>2270</v>
      </c>
      <c r="H2629" t="s">
        <v>31</v>
      </c>
      <c r="I2629" s="28" t="s">
        <v>26</v>
      </c>
    </row>
    <row r="2630" spans="1:9" x14ac:dyDescent="0.3">
      <c r="A2630" s="26">
        <v>45336</v>
      </c>
      <c r="B2630" t="s">
        <v>1034</v>
      </c>
      <c r="C2630" t="s">
        <v>753</v>
      </c>
      <c r="D2630">
        <v>0.45</v>
      </c>
      <c r="E2630" t="s">
        <v>978</v>
      </c>
      <c r="F2630" t="s">
        <v>754</v>
      </c>
      <c r="G2630" t="s">
        <v>2733</v>
      </c>
      <c r="H2630" t="s">
        <v>31</v>
      </c>
      <c r="I2630" s="28" t="s">
        <v>26</v>
      </c>
    </row>
    <row r="2631" spans="1:9" x14ac:dyDescent="0.3">
      <c r="A2631" s="26">
        <v>45336</v>
      </c>
      <c r="B2631" t="s">
        <v>1034</v>
      </c>
      <c r="C2631" t="s">
        <v>753</v>
      </c>
      <c r="D2631">
        <v>0.78</v>
      </c>
      <c r="E2631" t="s">
        <v>1013</v>
      </c>
      <c r="F2631" t="s">
        <v>754</v>
      </c>
      <c r="G2631" t="s">
        <v>2734</v>
      </c>
      <c r="H2631" t="s">
        <v>31</v>
      </c>
      <c r="I2631" s="28" t="s">
        <v>26</v>
      </c>
    </row>
    <row r="2632" spans="1:9" x14ac:dyDescent="0.3">
      <c r="A2632" s="26">
        <v>45336</v>
      </c>
      <c r="B2632" t="s">
        <v>1034</v>
      </c>
      <c r="C2632" t="s">
        <v>753</v>
      </c>
      <c r="D2632">
        <v>0.97</v>
      </c>
      <c r="E2632" t="s">
        <v>170</v>
      </c>
      <c r="F2632" t="s">
        <v>754</v>
      </c>
      <c r="G2632" t="s">
        <v>2735</v>
      </c>
      <c r="H2632" t="s">
        <v>31</v>
      </c>
      <c r="I2632" s="28" t="s">
        <v>26</v>
      </c>
    </row>
    <row r="2633" spans="1:9" x14ac:dyDescent="0.3">
      <c r="A2633" s="26">
        <v>45336</v>
      </c>
      <c r="B2633" t="s">
        <v>1034</v>
      </c>
      <c r="C2633" t="s">
        <v>771</v>
      </c>
      <c r="D2633">
        <v>0.5</v>
      </c>
      <c r="E2633" t="s">
        <v>7</v>
      </c>
      <c r="F2633" t="s">
        <v>772</v>
      </c>
      <c r="G2633" t="s">
        <v>820</v>
      </c>
      <c r="H2633" t="s">
        <v>31</v>
      </c>
      <c r="I2633" s="28" t="s">
        <v>26</v>
      </c>
    </row>
    <row r="2634" spans="1:9" x14ac:dyDescent="0.3">
      <c r="A2634" s="26">
        <v>45336</v>
      </c>
      <c r="B2634" t="s">
        <v>1034</v>
      </c>
      <c r="C2634" t="s">
        <v>771</v>
      </c>
      <c r="D2634">
        <v>0.55000000000000004</v>
      </c>
      <c r="E2634" t="s">
        <v>7</v>
      </c>
      <c r="F2634" t="s">
        <v>772</v>
      </c>
      <c r="G2634" t="s">
        <v>2182</v>
      </c>
      <c r="H2634" t="s">
        <v>31</v>
      </c>
      <c r="I2634" s="28" t="s">
        <v>26</v>
      </c>
    </row>
    <row r="2635" spans="1:9" x14ac:dyDescent="0.3">
      <c r="A2635" s="26">
        <v>45336</v>
      </c>
      <c r="B2635" t="s">
        <v>1034</v>
      </c>
      <c r="C2635" t="s">
        <v>916</v>
      </c>
      <c r="D2635">
        <v>0.32</v>
      </c>
      <c r="E2635" t="s">
        <v>1543</v>
      </c>
      <c r="F2635" t="s">
        <v>754</v>
      </c>
      <c r="G2635" t="s">
        <v>2736</v>
      </c>
      <c r="H2635" t="s">
        <v>31</v>
      </c>
      <c r="I2635" s="28" t="s">
        <v>26</v>
      </c>
    </row>
    <row r="2636" spans="1:9" x14ac:dyDescent="0.3">
      <c r="A2636" s="26">
        <v>45336</v>
      </c>
      <c r="B2636" t="s">
        <v>1034</v>
      </c>
      <c r="C2636" t="s">
        <v>916</v>
      </c>
      <c r="D2636">
        <v>0.5</v>
      </c>
      <c r="E2636" t="s">
        <v>1543</v>
      </c>
      <c r="F2636" t="s">
        <v>754</v>
      </c>
      <c r="G2636" t="s">
        <v>2737</v>
      </c>
      <c r="H2636" t="s">
        <v>31</v>
      </c>
      <c r="I2636" s="28" t="s">
        <v>26</v>
      </c>
    </row>
    <row r="2637" spans="1:9" x14ac:dyDescent="0.3">
      <c r="A2637" s="26">
        <v>45336</v>
      </c>
      <c r="B2637" t="s">
        <v>1034</v>
      </c>
      <c r="C2637" t="s">
        <v>916</v>
      </c>
      <c r="D2637">
        <v>1.95</v>
      </c>
      <c r="E2637" t="s">
        <v>237</v>
      </c>
      <c r="F2637" t="s">
        <v>754</v>
      </c>
      <c r="G2637" t="s">
        <v>2738</v>
      </c>
      <c r="H2637" t="s">
        <v>31</v>
      </c>
      <c r="I2637" s="28" t="s">
        <v>26</v>
      </c>
    </row>
    <row r="2638" spans="1:9" x14ac:dyDescent="0.3">
      <c r="A2638" s="26">
        <v>45336</v>
      </c>
      <c r="B2638" t="s">
        <v>1034</v>
      </c>
      <c r="C2638" t="s">
        <v>874</v>
      </c>
      <c r="D2638">
        <v>0.15</v>
      </c>
      <c r="E2638" t="s">
        <v>7</v>
      </c>
      <c r="F2638" t="s">
        <v>772</v>
      </c>
      <c r="G2638" t="s">
        <v>2739</v>
      </c>
      <c r="H2638" t="s">
        <v>31</v>
      </c>
      <c r="I2638" s="28" t="s">
        <v>26</v>
      </c>
    </row>
    <row r="2639" spans="1:9" x14ac:dyDescent="0.3">
      <c r="A2639" s="26">
        <v>45336</v>
      </c>
      <c r="B2639" t="s">
        <v>1034</v>
      </c>
      <c r="C2639" t="s">
        <v>776</v>
      </c>
      <c r="D2639">
        <v>0.6</v>
      </c>
      <c r="E2639" t="s">
        <v>879</v>
      </c>
      <c r="F2639" t="s">
        <v>754</v>
      </c>
      <c r="G2639" t="s">
        <v>2740</v>
      </c>
      <c r="H2639" t="s">
        <v>31</v>
      </c>
      <c r="I2639" s="28" t="s">
        <v>26</v>
      </c>
    </row>
    <row r="2640" spans="1:9" x14ac:dyDescent="0.3">
      <c r="A2640" s="26">
        <v>45336</v>
      </c>
      <c r="B2640" t="s">
        <v>1034</v>
      </c>
      <c r="C2640" t="s">
        <v>776</v>
      </c>
      <c r="D2640">
        <v>0.8</v>
      </c>
      <c r="E2640" t="s">
        <v>790</v>
      </c>
      <c r="F2640" t="s">
        <v>754</v>
      </c>
      <c r="G2640" t="s">
        <v>2741</v>
      </c>
      <c r="H2640" t="s">
        <v>31</v>
      </c>
      <c r="I2640" s="28" t="s">
        <v>26</v>
      </c>
    </row>
    <row r="2641" spans="1:9" x14ac:dyDescent="0.3">
      <c r="A2641" s="26">
        <v>45336</v>
      </c>
      <c r="B2641" t="s">
        <v>1049</v>
      </c>
      <c r="C2641" t="s">
        <v>753</v>
      </c>
      <c r="D2641">
        <v>0.1</v>
      </c>
      <c r="E2641" t="s">
        <v>316</v>
      </c>
      <c r="F2641" t="s">
        <v>754</v>
      </c>
      <c r="G2641" t="s">
        <v>2742</v>
      </c>
      <c r="H2641" t="s">
        <v>31</v>
      </c>
      <c r="I2641" s="28" t="s">
        <v>26</v>
      </c>
    </row>
    <row r="2642" spans="1:9" x14ac:dyDescent="0.3">
      <c r="A2642" s="26">
        <v>45336</v>
      </c>
      <c r="B2642" t="s">
        <v>1049</v>
      </c>
      <c r="C2642" t="s">
        <v>753</v>
      </c>
      <c r="D2642">
        <v>0.23</v>
      </c>
      <c r="E2642" t="s">
        <v>562</v>
      </c>
      <c r="F2642" t="s">
        <v>754</v>
      </c>
      <c r="G2642" t="s">
        <v>1906</v>
      </c>
      <c r="H2642" t="s">
        <v>31</v>
      </c>
      <c r="I2642" s="28" t="s">
        <v>26</v>
      </c>
    </row>
    <row r="2643" spans="1:9" x14ac:dyDescent="0.3">
      <c r="A2643" s="26">
        <v>45336</v>
      </c>
      <c r="B2643" t="s">
        <v>1049</v>
      </c>
      <c r="C2643" t="s">
        <v>753</v>
      </c>
      <c r="D2643">
        <v>0.57999999999999996</v>
      </c>
      <c r="E2643" t="s">
        <v>316</v>
      </c>
      <c r="F2643" t="s">
        <v>754</v>
      </c>
      <c r="G2643" t="s">
        <v>2743</v>
      </c>
      <c r="H2643" t="s">
        <v>31</v>
      </c>
      <c r="I2643" s="28" t="s">
        <v>26</v>
      </c>
    </row>
    <row r="2644" spans="1:9" x14ac:dyDescent="0.3">
      <c r="A2644" s="26">
        <v>45336</v>
      </c>
      <c r="B2644" t="s">
        <v>1049</v>
      </c>
      <c r="C2644" t="s">
        <v>771</v>
      </c>
      <c r="D2644">
        <v>0.5</v>
      </c>
      <c r="E2644" t="s">
        <v>7</v>
      </c>
      <c r="F2644" t="s">
        <v>772</v>
      </c>
      <c r="G2644" t="s">
        <v>1058</v>
      </c>
      <c r="H2644" t="s">
        <v>31</v>
      </c>
      <c r="I2644" s="28" t="s">
        <v>26</v>
      </c>
    </row>
    <row r="2645" spans="1:9" x14ac:dyDescent="0.3">
      <c r="A2645" s="26">
        <v>45336</v>
      </c>
      <c r="B2645" t="s">
        <v>1049</v>
      </c>
      <c r="C2645" t="s">
        <v>834</v>
      </c>
      <c r="D2645">
        <v>2.75</v>
      </c>
      <c r="E2645" t="s">
        <v>7</v>
      </c>
      <c r="F2645" t="s">
        <v>772</v>
      </c>
      <c r="G2645" t="s">
        <v>2744</v>
      </c>
      <c r="H2645" t="s">
        <v>31</v>
      </c>
      <c r="I2645" s="28" t="s">
        <v>26</v>
      </c>
    </row>
    <row r="2646" spans="1:9" x14ac:dyDescent="0.3">
      <c r="A2646" s="26">
        <v>45336</v>
      </c>
      <c r="B2646" t="s">
        <v>1049</v>
      </c>
      <c r="C2646" t="s">
        <v>776</v>
      </c>
      <c r="D2646">
        <v>0.1</v>
      </c>
      <c r="E2646" t="s">
        <v>1273</v>
      </c>
      <c r="F2646" t="s">
        <v>754</v>
      </c>
      <c r="G2646" t="s">
        <v>2745</v>
      </c>
      <c r="H2646" t="s">
        <v>31</v>
      </c>
      <c r="I2646" s="28" t="s">
        <v>26</v>
      </c>
    </row>
    <row r="2647" spans="1:9" x14ac:dyDescent="0.3">
      <c r="A2647" s="26">
        <v>45336</v>
      </c>
      <c r="B2647" t="s">
        <v>1049</v>
      </c>
      <c r="C2647" t="s">
        <v>776</v>
      </c>
      <c r="D2647">
        <v>0.12</v>
      </c>
      <c r="E2647" t="s">
        <v>815</v>
      </c>
      <c r="F2647" t="s">
        <v>754</v>
      </c>
      <c r="G2647" t="s">
        <v>1916</v>
      </c>
      <c r="H2647" t="s">
        <v>31</v>
      </c>
      <c r="I2647" s="28" t="s">
        <v>26</v>
      </c>
    </row>
    <row r="2648" spans="1:9" x14ac:dyDescent="0.3">
      <c r="A2648" s="26">
        <v>45336</v>
      </c>
      <c r="B2648" t="s">
        <v>1049</v>
      </c>
      <c r="C2648" t="s">
        <v>776</v>
      </c>
      <c r="D2648">
        <v>0.13</v>
      </c>
      <c r="E2648" t="s">
        <v>815</v>
      </c>
      <c r="F2648" t="s">
        <v>754</v>
      </c>
      <c r="G2648" t="s">
        <v>2746</v>
      </c>
      <c r="H2648" t="s">
        <v>31</v>
      </c>
      <c r="I2648" s="28" t="s">
        <v>26</v>
      </c>
    </row>
    <row r="2649" spans="1:9" x14ac:dyDescent="0.3">
      <c r="A2649" s="26">
        <v>45336</v>
      </c>
      <c r="B2649" t="s">
        <v>1049</v>
      </c>
      <c r="C2649" t="s">
        <v>776</v>
      </c>
      <c r="D2649">
        <v>0.13</v>
      </c>
      <c r="E2649" t="s">
        <v>1069</v>
      </c>
      <c r="F2649" t="s">
        <v>754</v>
      </c>
      <c r="G2649" t="s">
        <v>1916</v>
      </c>
      <c r="H2649" t="s">
        <v>31</v>
      </c>
      <c r="I2649" s="28" t="s">
        <v>26</v>
      </c>
    </row>
    <row r="2650" spans="1:9" x14ac:dyDescent="0.3">
      <c r="A2650" s="26">
        <v>45336</v>
      </c>
      <c r="B2650" t="s">
        <v>1049</v>
      </c>
      <c r="C2650" t="s">
        <v>776</v>
      </c>
      <c r="D2650">
        <v>0.18</v>
      </c>
      <c r="E2650" t="s">
        <v>811</v>
      </c>
      <c r="F2650" t="s">
        <v>754</v>
      </c>
      <c r="G2650" t="s">
        <v>2747</v>
      </c>
      <c r="H2650" t="s">
        <v>31</v>
      </c>
      <c r="I2650" s="28" t="s">
        <v>26</v>
      </c>
    </row>
    <row r="2651" spans="1:9" x14ac:dyDescent="0.3">
      <c r="A2651" s="26">
        <v>45336</v>
      </c>
      <c r="B2651" t="s">
        <v>1049</v>
      </c>
      <c r="C2651" t="s">
        <v>776</v>
      </c>
      <c r="D2651">
        <v>0.2</v>
      </c>
      <c r="E2651" t="s">
        <v>811</v>
      </c>
      <c r="F2651" t="s">
        <v>754</v>
      </c>
      <c r="G2651" t="s">
        <v>2748</v>
      </c>
      <c r="H2651" t="s">
        <v>31</v>
      </c>
      <c r="I2651" s="28" t="s">
        <v>26</v>
      </c>
    </row>
    <row r="2652" spans="1:9" x14ac:dyDescent="0.3">
      <c r="A2652" s="26">
        <v>45336</v>
      </c>
      <c r="B2652" t="s">
        <v>1049</v>
      </c>
      <c r="C2652" t="s">
        <v>776</v>
      </c>
      <c r="D2652">
        <v>0.2</v>
      </c>
      <c r="E2652" t="s">
        <v>813</v>
      </c>
      <c r="F2652" t="s">
        <v>754</v>
      </c>
      <c r="G2652" t="s">
        <v>2749</v>
      </c>
      <c r="H2652" t="s">
        <v>31</v>
      </c>
      <c r="I2652" s="28" t="s">
        <v>26</v>
      </c>
    </row>
    <row r="2653" spans="1:9" x14ac:dyDescent="0.3">
      <c r="A2653" s="26">
        <v>45336</v>
      </c>
      <c r="B2653" t="s">
        <v>1049</v>
      </c>
      <c r="C2653" t="s">
        <v>776</v>
      </c>
      <c r="D2653">
        <v>0.23</v>
      </c>
      <c r="E2653" t="s">
        <v>813</v>
      </c>
      <c r="F2653" t="s">
        <v>754</v>
      </c>
      <c r="G2653" t="s">
        <v>2747</v>
      </c>
      <c r="H2653" t="s">
        <v>31</v>
      </c>
      <c r="I2653" s="28" t="s">
        <v>26</v>
      </c>
    </row>
    <row r="2654" spans="1:9" x14ac:dyDescent="0.3">
      <c r="A2654" s="26">
        <v>45336</v>
      </c>
      <c r="B2654" t="s">
        <v>1049</v>
      </c>
      <c r="C2654" t="s">
        <v>776</v>
      </c>
      <c r="D2654">
        <v>0.25</v>
      </c>
      <c r="E2654" t="s">
        <v>1273</v>
      </c>
      <c r="F2654" t="s">
        <v>754</v>
      </c>
      <c r="G2654" t="s">
        <v>1916</v>
      </c>
      <c r="H2654" t="s">
        <v>31</v>
      </c>
      <c r="I2654" s="28" t="s">
        <v>26</v>
      </c>
    </row>
    <row r="2655" spans="1:9" x14ac:dyDescent="0.3">
      <c r="A2655" s="26">
        <v>45336</v>
      </c>
      <c r="B2655" t="s">
        <v>1049</v>
      </c>
      <c r="C2655" t="s">
        <v>776</v>
      </c>
      <c r="D2655">
        <v>0.38</v>
      </c>
      <c r="E2655" t="s">
        <v>1273</v>
      </c>
      <c r="F2655" t="s">
        <v>754</v>
      </c>
      <c r="G2655" t="s">
        <v>2750</v>
      </c>
      <c r="H2655" t="s">
        <v>31</v>
      </c>
      <c r="I2655" s="28" t="s">
        <v>26</v>
      </c>
    </row>
    <row r="2656" spans="1:9" x14ac:dyDescent="0.3">
      <c r="A2656" s="26">
        <v>45336</v>
      </c>
      <c r="B2656" t="s">
        <v>1049</v>
      </c>
      <c r="C2656" t="s">
        <v>776</v>
      </c>
      <c r="D2656">
        <v>1.62</v>
      </c>
      <c r="E2656" t="s">
        <v>1273</v>
      </c>
      <c r="F2656" t="s">
        <v>754</v>
      </c>
      <c r="G2656" t="s">
        <v>2751</v>
      </c>
      <c r="H2656" t="s">
        <v>31</v>
      </c>
      <c r="I2656" s="28" t="s">
        <v>26</v>
      </c>
    </row>
    <row r="2657" spans="1:9" x14ac:dyDescent="0.3">
      <c r="A2657" s="26">
        <v>45336</v>
      </c>
      <c r="B2657" t="s">
        <v>1049</v>
      </c>
      <c r="C2657" t="s">
        <v>1278</v>
      </c>
      <c r="D2657">
        <v>0.32</v>
      </c>
      <c r="E2657" t="s">
        <v>562</v>
      </c>
      <c r="F2657" t="s">
        <v>754</v>
      </c>
      <c r="G2657" t="s">
        <v>1466</v>
      </c>
      <c r="H2657" t="s">
        <v>31</v>
      </c>
      <c r="I2657" s="28" t="s">
        <v>26</v>
      </c>
    </row>
    <row r="2658" spans="1:9" x14ac:dyDescent="0.3">
      <c r="A2658" s="26">
        <v>45336</v>
      </c>
      <c r="B2658" t="s">
        <v>1060</v>
      </c>
      <c r="C2658" t="s">
        <v>909</v>
      </c>
      <c r="D2658">
        <v>0.25</v>
      </c>
      <c r="E2658" t="s">
        <v>563</v>
      </c>
      <c r="F2658" t="s">
        <v>772</v>
      </c>
      <c r="G2658" t="s">
        <v>2752</v>
      </c>
      <c r="H2658" t="s">
        <v>31</v>
      </c>
      <c r="I2658" s="28" t="s">
        <v>26</v>
      </c>
    </row>
    <row r="2659" spans="1:9" x14ac:dyDescent="0.3">
      <c r="A2659" s="26">
        <v>45336</v>
      </c>
      <c r="B2659" t="s">
        <v>1060</v>
      </c>
      <c r="C2659" t="s">
        <v>909</v>
      </c>
      <c r="D2659">
        <v>0.5</v>
      </c>
      <c r="E2659" t="s">
        <v>2604</v>
      </c>
      <c r="F2659" t="s">
        <v>772</v>
      </c>
      <c r="G2659" t="s">
        <v>2753</v>
      </c>
      <c r="H2659" t="s">
        <v>31</v>
      </c>
      <c r="I2659" s="28" t="s">
        <v>26</v>
      </c>
    </row>
    <row r="2660" spans="1:9" x14ac:dyDescent="0.3">
      <c r="A2660" s="26">
        <v>45336</v>
      </c>
      <c r="B2660" t="s">
        <v>1060</v>
      </c>
      <c r="C2660" t="s">
        <v>909</v>
      </c>
      <c r="D2660">
        <v>0.5</v>
      </c>
      <c r="E2660" t="s">
        <v>2613</v>
      </c>
      <c r="F2660" t="s">
        <v>754</v>
      </c>
      <c r="G2660" t="s">
        <v>2754</v>
      </c>
      <c r="H2660" t="s">
        <v>31</v>
      </c>
      <c r="I2660" s="28" t="s">
        <v>26</v>
      </c>
    </row>
    <row r="2661" spans="1:9" x14ac:dyDescent="0.3">
      <c r="A2661" s="26">
        <v>45336</v>
      </c>
      <c r="B2661" t="s">
        <v>1060</v>
      </c>
      <c r="C2661" t="s">
        <v>909</v>
      </c>
      <c r="D2661">
        <v>0.5</v>
      </c>
      <c r="E2661" t="s">
        <v>316</v>
      </c>
      <c r="F2661" t="s">
        <v>754</v>
      </c>
      <c r="G2661" t="s">
        <v>2755</v>
      </c>
      <c r="H2661" t="s">
        <v>31</v>
      </c>
      <c r="I2661" s="28" t="s">
        <v>26</v>
      </c>
    </row>
    <row r="2662" spans="1:9" x14ac:dyDescent="0.3">
      <c r="A2662" s="26">
        <v>45336</v>
      </c>
      <c r="B2662" t="s">
        <v>1060</v>
      </c>
      <c r="C2662" t="s">
        <v>909</v>
      </c>
      <c r="D2662">
        <v>0.5</v>
      </c>
      <c r="E2662" t="s">
        <v>375</v>
      </c>
      <c r="F2662" t="s">
        <v>754</v>
      </c>
      <c r="G2662" t="s">
        <v>2756</v>
      </c>
      <c r="H2662" t="s">
        <v>31</v>
      </c>
      <c r="I2662" s="28" t="s">
        <v>26</v>
      </c>
    </row>
    <row r="2663" spans="1:9" x14ac:dyDescent="0.3">
      <c r="A2663" s="26">
        <v>45336</v>
      </c>
      <c r="B2663" t="s">
        <v>1060</v>
      </c>
      <c r="C2663" t="s">
        <v>909</v>
      </c>
      <c r="D2663">
        <v>0.5</v>
      </c>
      <c r="E2663" t="s">
        <v>375</v>
      </c>
      <c r="F2663" t="s">
        <v>754</v>
      </c>
      <c r="G2663" t="s">
        <v>2757</v>
      </c>
      <c r="H2663" t="s">
        <v>31</v>
      </c>
      <c r="I2663" s="28" t="s">
        <v>26</v>
      </c>
    </row>
    <row r="2664" spans="1:9" x14ac:dyDescent="0.3">
      <c r="A2664" s="26">
        <v>45336</v>
      </c>
      <c r="B2664" t="s">
        <v>1060</v>
      </c>
      <c r="C2664" t="s">
        <v>909</v>
      </c>
      <c r="D2664">
        <v>0.5</v>
      </c>
      <c r="E2664" t="s">
        <v>623</v>
      </c>
      <c r="F2664" t="s">
        <v>754</v>
      </c>
      <c r="G2664" t="s">
        <v>2758</v>
      </c>
      <c r="H2664" t="s">
        <v>31</v>
      </c>
      <c r="I2664" s="28" t="s">
        <v>26</v>
      </c>
    </row>
    <row r="2665" spans="1:9" x14ac:dyDescent="0.3">
      <c r="A2665" s="26">
        <v>45336</v>
      </c>
      <c r="B2665" t="s">
        <v>1060</v>
      </c>
      <c r="C2665" t="s">
        <v>909</v>
      </c>
      <c r="D2665">
        <v>1.5</v>
      </c>
      <c r="E2665" t="s">
        <v>201</v>
      </c>
      <c r="F2665" t="s">
        <v>754</v>
      </c>
      <c r="G2665" t="s">
        <v>2759</v>
      </c>
      <c r="H2665" t="s">
        <v>31</v>
      </c>
      <c r="I2665" s="28" t="s">
        <v>26</v>
      </c>
    </row>
    <row r="2666" spans="1:9" x14ac:dyDescent="0.3">
      <c r="A2666" s="26">
        <v>45336</v>
      </c>
      <c r="B2666" t="s">
        <v>1060</v>
      </c>
      <c r="C2666" t="s">
        <v>771</v>
      </c>
      <c r="D2666">
        <v>2.75</v>
      </c>
      <c r="E2666" t="s">
        <v>7</v>
      </c>
      <c r="F2666" t="s">
        <v>772</v>
      </c>
      <c r="G2666" t="s">
        <v>2760</v>
      </c>
      <c r="H2666" t="s">
        <v>31</v>
      </c>
      <c r="I2666" s="28" t="s">
        <v>26</v>
      </c>
    </row>
    <row r="2667" spans="1:9" x14ac:dyDescent="0.3">
      <c r="A2667" s="26">
        <v>45336</v>
      </c>
      <c r="B2667" t="s">
        <v>1074</v>
      </c>
      <c r="C2667" t="s">
        <v>753</v>
      </c>
      <c r="D2667">
        <v>0.6</v>
      </c>
      <c r="E2667" t="s">
        <v>964</v>
      </c>
      <c r="F2667" t="s">
        <v>754</v>
      </c>
      <c r="G2667" t="s">
        <v>2761</v>
      </c>
      <c r="H2667" t="s">
        <v>31</v>
      </c>
      <c r="I2667" s="28" t="s">
        <v>26</v>
      </c>
    </row>
    <row r="2668" spans="1:9" x14ac:dyDescent="0.3">
      <c r="A2668" s="26">
        <v>45336</v>
      </c>
      <c r="B2668" t="s">
        <v>1074</v>
      </c>
      <c r="C2668" t="s">
        <v>753</v>
      </c>
      <c r="D2668">
        <v>0.9</v>
      </c>
      <c r="E2668" t="s">
        <v>964</v>
      </c>
      <c r="F2668" t="s">
        <v>754</v>
      </c>
      <c r="G2668" t="s">
        <v>2762</v>
      </c>
      <c r="H2668" t="s">
        <v>31</v>
      </c>
      <c r="I2668" s="28" t="s">
        <v>26</v>
      </c>
    </row>
    <row r="2669" spans="1:9" x14ac:dyDescent="0.3">
      <c r="A2669" s="26">
        <v>45336</v>
      </c>
      <c r="B2669" t="s">
        <v>1074</v>
      </c>
      <c r="C2669" t="s">
        <v>753</v>
      </c>
      <c r="D2669">
        <v>1</v>
      </c>
      <c r="E2669" t="s">
        <v>561</v>
      </c>
      <c r="F2669" t="s">
        <v>754</v>
      </c>
      <c r="G2669" t="s">
        <v>2763</v>
      </c>
      <c r="H2669" t="s">
        <v>31</v>
      </c>
      <c r="I2669" s="28" t="s">
        <v>26</v>
      </c>
    </row>
    <row r="2670" spans="1:9" x14ac:dyDescent="0.3">
      <c r="A2670" s="26">
        <v>45336</v>
      </c>
      <c r="B2670" t="s">
        <v>1074</v>
      </c>
      <c r="C2670" t="s">
        <v>753</v>
      </c>
      <c r="D2670">
        <v>2.5</v>
      </c>
      <c r="E2670" t="s">
        <v>964</v>
      </c>
      <c r="F2670" t="s">
        <v>754</v>
      </c>
      <c r="G2670" t="s">
        <v>2764</v>
      </c>
      <c r="H2670" t="s">
        <v>31</v>
      </c>
      <c r="I2670" s="28" t="s">
        <v>26</v>
      </c>
    </row>
    <row r="2671" spans="1:9" x14ac:dyDescent="0.3">
      <c r="A2671" s="26">
        <v>45336</v>
      </c>
      <c r="B2671" t="s">
        <v>1074</v>
      </c>
      <c r="C2671" t="s">
        <v>906</v>
      </c>
      <c r="D2671">
        <v>0.3</v>
      </c>
      <c r="E2671" t="s">
        <v>7</v>
      </c>
      <c r="F2671" t="s">
        <v>772</v>
      </c>
      <c r="G2671" t="s">
        <v>2765</v>
      </c>
      <c r="H2671" t="s">
        <v>31</v>
      </c>
      <c r="I2671" s="28" t="s">
        <v>26</v>
      </c>
    </row>
    <row r="2672" spans="1:9" x14ac:dyDescent="0.3">
      <c r="A2672" s="26">
        <v>45336</v>
      </c>
      <c r="B2672" t="s">
        <v>1074</v>
      </c>
      <c r="C2672" t="s">
        <v>909</v>
      </c>
      <c r="D2672">
        <v>0.5</v>
      </c>
      <c r="E2672" t="s">
        <v>1096</v>
      </c>
      <c r="F2672" t="s">
        <v>754</v>
      </c>
      <c r="G2672" t="s">
        <v>2766</v>
      </c>
      <c r="H2672" t="s">
        <v>31</v>
      </c>
      <c r="I2672" s="28" t="s">
        <v>26</v>
      </c>
    </row>
    <row r="2673" spans="1:9" x14ac:dyDescent="0.3">
      <c r="A2673" s="26">
        <v>45336</v>
      </c>
      <c r="B2673" t="s">
        <v>1074</v>
      </c>
      <c r="C2673" t="s">
        <v>909</v>
      </c>
      <c r="D2673">
        <v>0.8</v>
      </c>
      <c r="E2673" t="s">
        <v>964</v>
      </c>
      <c r="F2673" t="s">
        <v>754</v>
      </c>
      <c r="G2673" t="s">
        <v>2767</v>
      </c>
      <c r="H2673" t="s">
        <v>31</v>
      </c>
      <c r="I2673" s="28" t="s">
        <v>26</v>
      </c>
    </row>
    <row r="2674" spans="1:9" x14ac:dyDescent="0.3">
      <c r="A2674" s="26">
        <v>45336</v>
      </c>
      <c r="B2674" t="s">
        <v>1074</v>
      </c>
      <c r="C2674" t="s">
        <v>771</v>
      </c>
      <c r="D2674">
        <v>0.6</v>
      </c>
      <c r="E2674" t="s">
        <v>7</v>
      </c>
      <c r="F2674" t="s">
        <v>772</v>
      </c>
      <c r="G2674" t="s">
        <v>2768</v>
      </c>
      <c r="H2674" t="s">
        <v>31</v>
      </c>
      <c r="I2674" s="28" t="s">
        <v>26</v>
      </c>
    </row>
    <row r="2675" spans="1:9" x14ac:dyDescent="0.3">
      <c r="A2675" s="26">
        <v>45336</v>
      </c>
      <c r="B2675" t="s">
        <v>1074</v>
      </c>
      <c r="C2675" t="s">
        <v>916</v>
      </c>
      <c r="D2675">
        <v>0.4</v>
      </c>
      <c r="E2675" t="s">
        <v>964</v>
      </c>
      <c r="F2675" t="s">
        <v>754</v>
      </c>
      <c r="G2675" t="s">
        <v>2769</v>
      </c>
      <c r="H2675" t="s">
        <v>31</v>
      </c>
      <c r="I2675" s="28" t="s">
        <v>26</v>
      </c>
    </row>
    <row r="2676" spans="1:9" x14ac:dyDescent="0.3">
      <c r="A2676" s="26">
        <v>45336</v>
      </c>
      <c r="B2676" t="s">
        <v>1505</v>
      </c>
      <c r="C2676" t="s">
        <v>802</v>
      </c>
      <c r="D2676">
        <v>2</v>
      </c>
      <c r="E2676" t="s">
        <v>7</v>
      </c>
      <c r="F2676" t="s">
        <v>772</v>
      </c>
      <c r="G2676" t="s">
        <v>1506</v>
      </c>
      <c r="H2676" t="s">
        <v>31</v>
      </c>
      <c r="I2676" s="28" t="s">
        <v>26</v>
      </c>
    </row>
    <row r="2677" spans="1:9" x14ac:dyDescent="0.3">
      <c r="A2677" s="26">
        <v>45336</v>
      </c>
      <c r="B2677" t="s">
        <v>1081</v>
      </c>
      <c r="C2677" t="s">
        <v>771</v>
      </c>
      <c r="D2677">
        <v>4</v>
      </c>
      <c r="E2677" t="s">
        <v>7</v>
      </c>
      <c r="F2677" t="s">
        <v>772</v>
      </c>
      <c r="G2677" t="s">
        <v>2770</v>
      </c>
      <c r="H2677" t="s">
        <v>31</v>
      </c>
      <c r="I2677" s="28" t="s">
        <v>26</v>
      </c>
    </row>
    <row r="2678" spans="1:9" x14ac:dyDescent="0.3">
      <c r="A2678" s="26">
        <v>45336</v>
      </c>
      <c r="B2678" t="s">
        <v>1081</v>
      </c>
      <c r="C2678" t="s">
        <v>771</v>
      </c>
      <c r="D2678">
        <v>4</v>
      </c>
      <c r="E2678" t="s">
        <v>7</v>
      </c>
      <c r="F2678" t="s">
        <v>772</v>
      </c>
      <c r="G2678" t="s">
        <v>2771</v>
      </c>
      <c r="H2678" t="s">
        <v>31</v>
      </c>
      <c r="I2678" s="28" t="s">
        <v>26</v>
      </c>
    </row>
    <row r="2679" spans="1:9" x14ac:dyDescent="0.3">
      <c r="A2679" s="26">
        <v>45337</v>
      </c>
      <c r="B2679" t="s">
        <v>752</v>
      </c>
      <c r="C2679" t="s">
        <v>753</v>
      </c>
      <c r="D2679">
        <v>0.15</v>
      </c>
      <c r="E2679" t="s">
        <v>630</v>
      </c>
      <c r="F2679" t="s">
        <v>754</v>
      </c>
      <c r="G2679" t="s">
        <v>758</v>
      </c>
      <c r="H2679" t="s">
        <v>31</v>
      </c>
      <c r="I2679" s="28" t="s">
        <v>27</v>
      </c>
    </row>
    <row r="2680" spans="1:9" x14ac:dyDescent="0.3">
      <c r="A2680" s="26">
        <v>45337</v>
      </c>
      <c r="B2680" t="s">
        <v>752</v>
      </c>
      <c r="C2680" t="s">
        <v>753</v>
      </c>
      <c r="D2680">
        <v>0.18</v>
      </c>
      <c r="E2680" t="s">
        <v>561</v>
      </c>
      <c r="F2680" t="s">
        <v>754</v>
      </c>
      <c r="G2680" t="s">
        <v>2772</v>
      </c>
      <c r="H2680" t="s">
        <v>31</v>
      </c>
      <c r="I2680" s="28" t="s">
        <v>27</v>
      </c>
    </row>
    <row r="2681" spans="1:9" x14ac:dyDescent="0.3">
      <c r="A2681" s="26">
        <v>45337</v>
      </c>
      <c r="B2681" t="s">
        <v>752</v>
      </c>
      <c r="C2681" t="s">
        <v>753</v>
      </c>
      <c r="D2681">
        <v>0.18</v>
      </c>
      <c r="E2681" t="s">
        <v>630</v>
      </c>
      <c r="F2681" t="s">
        <v>754</v>
      </c>
      <c r="G2681" t="s">
        <v>769</v>
      </c>
      <c r="H2681" t="s">
        <v>31</v>
      </c>
      <c r="I2681" s="28" t="s">
        <v>27</v>
      </c>
    </row>
    <row r="2682" spans="1:9" x14ac:dyDescent="0.3">
      <c r="A2682" s="26">
        <v>45337</v>
      </c>
      <c r="B2682" t="s">
        <v>752</v>
      </c>
      <c r="C2682" t="s">
        <v>753</v>
      </c>
      <c r="D2682">
        <v>0.18</v>
      </c>
      <c r="E2682" t="s">
        <v>664</v>
      </c>
      <c r="F2682" t="s">
        <v>754</v>
      </c>
      <c r="G2682" t="s">
        <v>2773</v>
      </c>
      <c r="H2682" t="s">
        <v>31</v>
      </c>
      <c r="I2682" s="28" t="s">
        <v>27</v>
      </c>
    </row>
    <row r="2683" spans="1:9" x14ac:dyDescent="0.3">
      <c r="A2683" s="26">
        <v>45337</v>
      </c>
      <c r="B2683" t="s">
        <v>752</v>
      </c>
      <c r="C2683" t="s">
        <v>753</v>
      </c>
      <c r="D2683">
        <v>0.27</v>
      </c>
      <c r="E2683" t="s">
        <v>602</v>
      </c>
      <c r="F2683" t="s">
        <v>754</v>
      </c>
      <c r="G2683" t="s">
        <v>766</v>
      </c>
      <c r="H2683" t="s">
        <v>31</v>
      </c>
      <c r="I2683" s="28" t="s">
        <v>27</v>
      </c>
    </row>
    <row r="2684" spans="1:9" x14ac:dyDescent="0.3">
      <c r="A2684" s="26">
        <v>45337</v>
      </c>
      <c r="B2684" t="s">
        <v>752</v>
      </c>
      <c r="C2684" t="s">
        <v>753</v>
      </c>
      <c r="D2684">
        <v>0.35</v>
      </c>
      <c r="E2684" t="s">
        <v>561</v>
      </c>
      <c r="F2684" t="s">
        <v>754</v>
      </c>
      <c r="G2684" t="s">
        <v>769</v>
      </c>
      <c r="H2684" t="s">
        <v>31</v>
      </c>
      <c r="I2684" s="28" t="s">
        <v>27</v>
      </c>
    </row>
    <row r="2685" spans="1:9" x14ac:dyDescent="0.3">
      <c r="A2685" s="26">
        <v>45337</v>
      </c>
      <c r="B2685" t="s">
        <v>752</v>
      </c>
      <c r="C2685" t="s">
        <v>753</v>
      </c>
      <c r="D2685">
        <v>0.37</v>
      </c>
      <c r="E2685" t="s">
        <v>767</v>
      </c>
      <c r="F2685" t="s">
        <v>754</v>
      </c>
      <c r="G2685" t="s">
        <v>765</v>
      </c>
      <c r="H2685" t="s">
        <v>31</v>
      </c>
      <c r="I2685" s="28" t="s">
        <v>27</v>
      </c>
    </row>
    <row r="2686" spans="1:9" x14ac:dyDescent="0.3">
      <c r="A2686" s="26">
        <v>45337</v>
      </c>
      <c r="B2686" t="s">
        <v>752</v>
      </c>
      <c r="C2686" t="s">
        <v>753</v>
      </c>
      <c r="D2686">
        <v>0.38</v>
      </c>
      <c r="E2686" t="s">
        <v>770</v>
      </c>
      <c r="F2686" t="s">
        <v>754</v>
      </c>
      <c r="G2686" t="s">
        <v>765</v>
      </c>
      <c r="H2686" t="s">
        <v>31</v>
      </c>
      <c r="I2686" s="28" t="s">
        <v>27</v>
      </c>
    </row>
    <row r="2687" spans="1:9" x14ac:dyDescent="0.3">
      <c r="A2687" s="26">
        <v>45337</v>
      </c>
      <c r="B2687" t="s">
        <v>752</v>
      </c>
      <c r="C2687" t="s">
        <v>753</v>
      </c>
      <c r="D2687">
        <v>0.47</v>
      </c>
      <c r="E2687" t="s">
        <v>757</v>
      </c>
      <c r="F2687" t="s">
        <v>772</v>
      </c>
      <c r="G2687" t="s">
        <v>2774</v>
      </c>
      <c r="H2687" t="s">
        <v>31</v>
      </c>
      <c r="I2687" s="28" t="s">
        <v>27</v>
      </c>
    </row>
    <row r="2688" spans="1:9" x14ac:dyDescent="0.3">
      <c r="A2688" s="26">
        <v>45337</v>
      </c>
      <c r="B2688" t="s">
        <v>752</v>
      </c>
      <c r="C2688" t="s">
        <v>753</v>
      </c>
      <c r="D2688">
        <v>0.5</v>
      </c>
      <c r="E2688" t="s">
        <v>602</v>
      </c>
      <c r="F2688" t="s">
        <v>754</v>
      </c>
      <c r="G2688" t="s">
        <v>769</v>
      </c>
      <c r="H2688" t="s">
        <v>31</v>
      </c>
      <c r="I2688" s="28" t="s">
        <v>27</v>
      </c>
    </row>
    <row r="2689" spans="1:9" x14ac:dyDescent="0.3">
      <c r="A2689" s="26">
        <v>45337</v>
      </c>
      <c r="B2689" t="s">
        <v>752</v>
      </c>
      <c r="C2689" t="s">
        <v>753</v>
      </c>
      <c r="D2689">
        <v>0.56999999999999995</v>
      </c>
      <c r="E2689" t="s">
        <v>1084</v>
      </c>
      <c r="F2689" t="s">
        <v>754</v>
      </c>
      <c r="G2689" t="s">
        <v>2775</v>
      </c>
      <c r="H2689" t="s">
        <v>31</v>
      </c>
      <c r="I2689" s="28" t="s">
        <v>27</v>
      </c>
    </row>
    <row r="2690" spans="1:9" x14ac:dyDescent="0.3">
      <c r="A2690" s="26">
        <v>45337</v>
      </c>
      <c r="B2690" t="s">
        <v>752</v>
      </c>
      <c r="C2690" t="s">
        <v>753</v>
      </c>
      <c r="D2690">
        <v>1.1499999999999999</v>
      </c>
      <c r="E2690" t="s">
        <v>664</v>
      </c>
      <c r="F2690" t="s">
        <v>754</v>
      </c>
      <c r="G2690" t="s">
        <v>2776</v>
      </c>
      <c r="H2690" t="s">
        <v>31</v>
      </c>
      <c r="I2690" s="28" t="s">
        <v>27</v>
      </c>
    </row>
    <row r="2691" spans="1:9" x14ac:dyDescent="0.3">
      <c r="A2691" s="26">
        <v>45337</v>
      </c>
      <c r="B2691" t="s">
        <v>752</v>
      </c>
      <c r="C2691" t="s">
        <v>771</v>
      </c>
      <c r="D2691">
        <v>0.25</v>
      </c>
      <c r="E2691" t="s">
        <v>7</v>
      </c>
      <c r="F2691" t="s">
        <v>772</v>
      </c>
      <c r="G2691" t="s">
        <v>774</v>
      </c>
      <c r="H2691" t="s">
        <v>31</v>
      </c>
      <c r="I2691" s="28" t="s">
        <v>27</v>
      </c>
    </row>
    <row r="2692" spans="1:9" x14ac:dyDescent="0.3">
      <c r="A2692" s="26">
        <v>45337</v>
      </c>
      <c r="B2692" t="s">
        <v>752</v>
      </c>
      <c r="C2692" t="s">
        <v>771</v>
      </c>
      <c r="D2692">
        <v>0.25</v>
      </c>
      <c r="E2692" t="s">
        <v>7</v>
      </c>
      <c r="F2692" t="s">
        <v>772</v>
      </c>
      <c r="G2692" t="s">
        <v>775</v>
      </c>
      <c r="H2692" t="s">
        <v>31</v>
      </c>
      <c r="I2692" s="28" t="s">
        <v>27</v>
      </c>
    </row>
    <row r="2693" spans="1:9" x14ac:dyDescent="0.3">
      <c r="A2693" s="26">
        <v>45337</v>
      </c>
      <c r="B2693" t="s">
        <v>752</v>
      </c>
      <c r="C2693" t="s">
        <v>835</v>
      </c>
      <c r="D2693">
        <v>0.47</v>
      </c>
      <c r="E2693" t="s">
        <v>417</v>
      </c>
      <c r="F2693" t="s">
        <v>754</v>
      </c>
      <c r="G2693" t="s">
        <v>2777</v>
      </c>
      <c r="H2693" t="s">
        <v>31</v>
      </c>
      <c r="I2693" s="28" t="s">
        <v>27</v>
      </c>
    </row>
    <row r="2694" spans="1:9" x14ac:dyDescent="0.3">
      <c r="A2694" s="26">
        <v>45337</v>
      </c>
      <c r="B2694" t="s">
        <v>752</v>
      </c>
      <c r="C2694" t="s">
        <v>835</v>
      </c>
      <c r="D2694">
        <v>1.87</v>
      </c>
      <c r="E2694" t="s">
        <v>561</v>
      </c>
      <c r="F2694" t="s">
        <v>754</v>
      </c>
      <c r="G2694" t="s">
        <v>2411</v>
      </c>
      <c r="H2694" t="s">
        <v>31</v>
      </c>
      <c r="I2694" s="28" t="s">
        <v>27</v>
      </c>
    </row>
    <row r="2695" spans="1:9" x14ac:dyDescent="0.3">
      <c r="A2695" s="26">
        <v>45337</v>
      </c>
      <c r="B2695" t="s">
        <v>752</v>
      </c>
      <c r="C2695" t="s">
        <v>776</v>
      </c>
      <c r="D2695">
        <v>0.42</v>
      </c>
      <c r="E2695" t="s">
        <v>561</v>
      </c>
      <c r="F2695" t="s">
        <v>754</v>
      </c>
      <c r="H2695" t="s">
        <v>31</v>
      </c>
      <c r="I2695" s="28" t="s">
        <v>27</v>
      </c>
    </row>
    <row r="2696" spans="1:9" x14ac:dyDescent="0.3">
      <c r="A2696" s="26">
        <v>45337</v>
      </c>
      <c r="B2696" t="s">
        <v>1093</v>
      </c>
      <c r="C2696" t="s">
        <v>1522</v>
      </c>
      <c r="D2696">
        <v>2.75</v>
      </c>
      <c r="E2696" t="s">
        <v>455</v>
      </c>
      <c r="F2696" t="s">
        <v>754</v>
      </c>
      <c r="G2696" t="s">
        <v>2778</v>
      </c>
      <c r="H2696" t="s">
        <v>31</v>
      </c>
      <c r="I2696" s="28" t="s">
        <v>27</v>
      </c>
    </row>
    <row r="2697" spans="1:9" x14ac:dyDescent="0.3">
      <c r="A2697" s="26">
        <v>45337</v>
      </c>
      <c r="B2697" t="s">
        <v>1093</v>
      </c>
      <c r="C2697" t="s">
        <v>1309</v>
      </c>
      <c r="D2697">
        <v>1.42</v>
      </c>
      <c r="E2697" t="s">
        <v>455</v>
      </c>
      <c r="F2697" t="s">
        <v>754</v>
      </c>
      <c r="G2697" t="s">
        <v>2779</v>
      </c>
      <c r="H2697" t="s">
        <v>31</v>
      </c>
      <c r="I2697" s="28" t="s">
        <v>27</v>
      </c>
    </row>
    <row r="2698" spans="1:9" x14ac:dyDescent="0.3">
      <c r="A2698" s="26">
        <v>45337</v>
      </c>
      <c r="B2698" t="s">
        <v>1093</v>
      </c>
      <c r="C2698" t="s">
        <v>1094</v>
      </c>
      <c r="D2698">
        <v>1</v>
      </c>
      <c r="E2698" t="s">
        <v>455</v>
      </c>
      <c r="F2698" t="s">
        <v>754</v>
      </c>
      <c r="G2698" t="s">
        <v>2780</v>
      </c>
      <c r="H2698" t="s">
        <v>31</v>
      </c>
      <c r="I2698" s="28" t="s">
        <v>27</v>
      </c>
    </row>
    <row r="2699" spans="1:9" x14ac:dyDescent="0.3">
      <c r="A2699" s="26">
        <v>45337</v>
      </c>
      <c r="B2699" t="s">
        <v>21</v>
      </c>
      <c r="C2699" t="s">
        <v>753</v>
      </c>
      <c r="D2699">
        <v>0.08</v>
      </c>
      <c r="E2699" t="s">
        <v>1096</v>
      </c>
      <c r="F2699" t="s">
        <v>754</v>
      </c>
      <c r="G2699" t="s">
        <v>2781</v>
      </c>
      <c r="H2699" t="s">
        <v>31</v>
      </c>
      <c r="I2699" s="28" t="s">
        <v>27</v>
      </c>
    </row>
    <row r="2700" spans="1:9" x14ac:dyDescent="0.3">
      <c r="A2700" s="26">
        <v>45337</v>
      </c>
      <c r="B2700" t="s">
        <v>21</v>
      </c>
      <c r="C2700" t="s">
        <v>753</v>
      </c>
      <c r="D2700">
        <v>0.82</v>
      </c>
      <c r="E2700" t="s">
        <v>1096</v>
      </c>
      <c r="F2700" t="s">
        <v>754</v>
      </c>
      <c r="H2700" t="s">
        <v>31</v>
      </c>
      <c r="I2700" s="28" t="s">
        <v>27</v>
      </c>
    </row>
    <row r="2701" spans="1:9" x14ac:dyDescent="0.3">
      <c r="A2701" s="26">
        <v>45337</v>
      </c>
      <c r="B2701" t="s">
        <v>21</v>
      </c>
      <c r="C2701" t="s">
        <v>771</v>
      </c>
      <c r="D2701">
        <v>7.0000000000000007E-2</v>
      </c>
      <c r="E2701" t="s">
        <v>7</v>
      </c>
      <c r="F2701" t="s">
        <v>772</v>
      </c>
      <c r="G2701" t="s">
        <v>2782</v>
      </c>
      <c r="H2701" t="s">
        <v>31</v>
      </c>
      <c r="I2701" s="28" t="s">
        <v>27</v>
      </c>
    </row>
    <row r="2702" spans="1:9" x14ac:dyDescent="0.3">
      <c r="A2702" s="26">
        <v>45337</v>
      </c>
      <c r="B2702" t="s">
        <v>21</v>
      </c>
      <c r="C2702" t="s">
        <v>771</v>
      </c>
      <c r="D2702">
        <v>0.25</v>
      </c>
      <c r="E2702" t="s">
        <v>7</v>
      </c>
      <c r="F2702" t="s">
        <v>772</v>
      </c>
      <c r="G2702" t="s">
        <v>2783</v>
      </c>
      <c r="H2702" t="s">
        <v>31</v>
      </c>
      <c r="I2702" s="28" t="s">
        <v>27</v>
      </c>
    </row>
    <row r="2703" spans="1:9" x14ac:dyDescent="0.3">
      <c r="A2703" s="26">
        <v>45337</v>
      </c>
      <c r="B2703" t="s">
        <v>21</v>
      </c>
      <c r="C2703" t="s">
        <v>771</v>
      </c>
      <c r="D2703">
        <v>0.6</v>
      </c>
      <c r="E2703" t="s">
        <v>7</v>
      </c>
      <c r="F2703" t="s">
        <v>772</v>
      </c>
      <c r="G2703" t="s">
        <v>2784</v>
      </c>
      <c r="H2703" t="s">
        <v>31</v>
      </c>
      <c r="I2703" s="28" t="s">
        <v>27</v>
      </c>
    </row>
    <row r="2704" spans="1:9" x14ac:dyDescent="0.3">
      <c r="A2704" s="26">
        <v>45337</v>
      </c>
      <c r="B2704" t="s">
        <v>21</v>
      </c>
      <c r="C2704" t="s">
        <v>771</v>
      </c>
      <c r="D2704">
        <v>0.75</v>
      </c>
      <c r="E2704" t="s">
        <v>7</v>
      </c>
      <c r="F2704" t="s">
        <v>772</v>
      </c>
      <c r="G2704" t="s">
        <v>2785</v>
      </c>
      <c r="H2704" t="s">
        <v>31</v>
      </c>
      <c r="I2704" s="28" t="s">
        <v>27</v>
      </c>
    </row>
    <row r="2705" spans="1:9" x14ac:dyDescent="0.3">
      <c r="A2705" s="26">
        <v>45337</v>
      </c>
      <c r="B2705" t="s">
        <v>21</v>
      </c>
      <c r="C2705" t="s">
        <v>776</v>
      </c>
      <c r="D2705">
        <v>2.33</v>
      </c>
      <c r="E2705" t="s">
        <v>13</v>
      </c>
      <c r="F2705" t="s">
        <v>754</v>
      </c>
      <c r="H2705" t="s">
        <v>31</v>
      </c>
      <c r="I2705" s="28" t="s">
        <v>27</v>
      </c>
    </row>
    <row r="2706" spans="1:9" x14ac:dyDescent="0.3">
      <c r="A2706" s="26">
        <v>45337</v>
      </c>
      <c r="B2706" t="s">
        <v>21</v>
      </c>
      <c r="C2706" t="s">
        <v>776</v>
      </c>
      <c r="D2706">
        <v>3</v>
      </c>
      <c r="E2706" t="s">
        <v>589</v>
      </c>
      <c r="F2706" t="s">
        <v>754</v>
      </c>
      <c r="H2706" t="s">
        <v>31</v>
      </c>
      <c r="I2706" s="28" t="s">
        <v>27</v>
      </c>
    </row>
    <row r="2707" spans="1:9" x14ac:dyDescent="0.3">
      <c r="A2707" s="26">
        <v>45337</v>
      </c>
      <c r="B2707" t="s">
        <v>21</v>
      </c>
      <c r="C2707" t="s">
        <v>2786</v>
      </c>
      <c r="D2707">
        <v>0.1</v>
      </c>
      <c r="E2707" t="s">
        <v>1096</v>
      </c>
      <c r="F2707" t="s">
        <v>754</v>
      </c>
      <c r="G2707" t="s">
        <v>2787</v>
      </c>
      <c r="H2707" t="s">
        <v>31</v>
      </c>
      <c r="I2707" s="28" t="s">
        <v>27</v>
      </c>
    </row>
    <row r="2708" spans="1:9" x14ac:dyDescent="0.3">
      <c r="A2708" s="26">
        <v>45337</v>
      </c>
      <c r="B2708" t="s">
        <v>783</v>
      </c>
      <c r="C2708" t="s">
        <v>771</v>
      </c>
      <c r="D2708">
        <v>7.5</v>
      </c>
      <c r="E2708" t="s">
        <v>7</v>
      </c>
      <c r="F2708" t="s">
        <v>772</v>
      </c>
      <c r="G2708" t="s">
        <v>2253</v>
      </c>
      <c r="H2708" t="s">
        <v>31</v>
      </c>
      <c r="I2708" s="28" t="s">
        <v>27</v>
      </c>
    </row>
    <row r="2709" spans="1:9" x14ac:dyDescent="0.3">
      <c r="A2709" s="26">
        <v>45337</v>
      </c>
      <c r="B2709" t="s">
        <v>783</v>
      </c>
      <c r="C2709" t="s">
        <v>874</v>
      </c>
      <c r="D2709">
        <v>0.5</v>
      </c>
      <c r="E2709" t="s">
        <v>7</v>
      </c>
      <c r="F2709" t="s">
        <v>772</v>
      </c>
      <c r="G2709" t="s">
        <v>2788</v>
      </c>
      <c r="H2709" t="s">
        <v>31</v>
      </c>
      <c r="I2709" s="28" t="s">
        <v>27</v>
      </c>
    </row>
    <row r="2710" spans="1:9" x14ac:dyDescent="0.3">
      <c r="A2710" s="26">
        <v>45337</v>
      </c>
      <c r="B2710" t="s">
        <v>785</v>
      </c>
      <c r="C2710" t="s">
        <v>786</v>
      </c>
      <c r="D2710">
        <v>8</v>
      </c>
      <c r="E2710" t="s">
        <v>7</v>
      </c>
      <c r="F2710" t="s">
        <v>754</v>
      </c>
      <c r="G2710" t="s">
        <v>2789</v>
      </c>
      <c r="H2710" t="s">
        <v>31</v>
      </c>
      <c r="I2710" s="28" t="s">
        <v>27</v>
      </c>
    </row>
    <row r="2711" spans="1:9" x14ac:dyDescent="0.3">
      <c r="A2711" s="26">
        <v>45337</v>
      </c>
      <c r="B2711" t="s">
        <v>788</v>
      </c>
      <c r="C2711" t="s">
        <v>786</v>
      </c>
      <c r="D2711">
        <v>8</v>
      </c>
      <c r="E2711" t="s">
        <v>7</v>
      </c>
      <c r="F2711" t="s">
        <v>772</v>
      </c>
      <c r="H2711" t="s">
        <v>31</v>
      </c>
      <c r="I2711" s="28" t="s">
        <v>27</v>
      </c>
    </row>
    <row r="2712" spans="1:9" x14ac:dyDescent="0.3">
      <c r="A2712" s="26">
        <v>45337</v>
      </c>
      <c r="B2712" t="s">
        <v>792</v>
      </c>
      <c r="C2712" t="s">
        <v>753</v>
      </c>
      <c r="D2712">
        <v>1.9</v>
      </c>
      <c r="E2712" t="s">
        <v>790</v>
      </c>
      <c r="F2712" t="s">
        <v>754</v>
      </c>
      <c r="G2712" t="s">
        <v>2426</v>
      </c>
      <c r="H2712" t="s">
        <v>31</v>
      </c>
      <c r="I2712" s="28" t="s">
        <v>27</v>
      </c>
    </row>
    <row r="2713" spans="1:9" x14ac:dyDescent="0.3">
      <c r="A2713" s="26">
        <v>45337</v>
      </c>
      <c r="B2713" t="s">
        <v>792</v>
      </c>
      <c r="C2713" t="s">
        <v>753</v>
      </c>
      <c r="D2713">
        <v>2.42</v>
      </c>
      <c r="E2713" t="s">
        <v>790</v>
      </c>
      <c r="F2713" t="s">
        <v>754</v>
      </c>
      <c r="G2713" t="s">
        <v>2790</v>
      </c>
      <c r="H2713" t="s">
        <v>31</v>
      </c>
      <c r="I2713" s="28" t="s">
        <v>27</v>
      </c>
    </row>
    <row r="2714" spans="1:9" x14ac:dyDescent="0.3">
      <c r="A2714" s="26">
        <v>45337</v>
      </c>
      <c r="B2714" t="s">
        <v>792</v>
      </c>
      <c r="C2714" t="s">
        <v>753</v>
      </c>
      <c r="D2714">
        <v>3.23</v>
      </c>
      <c r="E2714" t="s">
        <v>790</v>
      </c>
      <c r="F2714" t="s">
        <v>754</v>
      </c>
      <c r="G2714" t="s">
        <v>2257</v>
      </c>
      <c r="H2714" t="s">
        <v>31</v>
      </c>
      <c r="I2714" s="28" t="s">
        <v>27</v>
      </c>
    </row>
    <row r="2715" spans="1:9" x14ac:dyDescent="0.3">
      <c r="A2715" s="26">
        <v>45337</v>
      </c>
      <c r="B2715" t="s">
        <v>792</v>
      </c>
      <c r="C2715" t="s">
        <v>874</v>
      </c>
      <c r="D2715">
        <v>1</v>
      </c>
      <c r="E2715" t="s">
        <v>7</v>
      </c>
      <c r="F2715" t="s">
        <v>772</v>
      </c>
      <c r="G2715" t="s">
        <v>2791</v>
      </c>
      <c r="H2715" t="s">
        <v>31</v>
      </c>
      <c r="I2715" s="28" t="s">
        <v>27</v>
      </c>
    </row>
    <row r="2716" spans="1:9" x14ac:dyDescent="0.3">
      <c r="A2716" s="26">
        <v>45337</v>
      </c>
      <c r="B2716" t="s">
        <v>796</v>
      </c>
      <c r="C2716" t="s">
        <v>1163</v>
      </c>
      <c r="D2716">
        <v>8</v>
      </c>
      <c r="E2716" t="s">
        <v>7</v>
      </c>
      <c r="F2716" t="s">
        <v>772</v>
      </c>
      <c r="H2716" t="s">
        <v>31</v>
      </c>
      <c r="I2716" s="28" t="s">
        <v>27</v>
      </c>
    </row>
    <row r="2717" spans="1:9" x14ac:dyDescent="0.3">
      <c r="A2717" s="26">
        <v>45337</v>
      </c>
      <c r="B2717" t="s">
        <v>801</v>
      </c>
      <c r="C2717" t="s">
        <v>802</v>
      </c>
      <c r="D2717">
        <v>11.88</v>
      </c>
      <c r="E2717" t="s">
        <v>7</v>
      </c>
      <c r="F2717" t="s">
        <v>772</v>
      </c>
      <c r="H2717" t="s">
        <v>31</v>
      </c>
      <c r="I2717" s="28" t="s">
        <v>27</v>
      </c>
    </row>
    <row r="2718" spans="1:9" x14ac:dyDescent="0.3">
      <c r="A2718" s="26">
        <v>45337</v>
      </c>
      <c r="B2718" t="s">
        <v>803</v>
      </c>
      <c r="C2718" t="s">
        <v>804</v>
      </c>
      <c r="D2718">
        <v>0.02</v>
      </c>
      <c r="E2718" t="s">
        <v>2792</v>
      </c>
      <c r="F2718" t="s">
        <v>772</v>
      </c>
      <c r="H2718" t="s">
        <v>31</v>
      </c>
      <c r="I2718" s="28" t="s">
        <v>27</v>
      </c>
    </row>
    <row r="2719" spans="1:9" x14ac:dyDescent="0.3">
      <c r="A2719" s="26">
        <v>45337</v>
      </c>
      <c r="B2719" t="s">
        <v>806</v>
      </c>
      <c r="C2719" t="s">
        <v>802</v>
      </c>
      <c r="D2719">
        <v>2.5</v>
      </c>
      <c r="E2719" t="s">
        <v>7</v>
      </c>
      <c r="F2719" t="s">
        <v>772</v>
      </c>
      <c r="G2719" t="s">
        <v>2793</v>
      </c>
      <c r="H2719" t="s">
        <v>31</v>
      </c>
      <c r="I2719" s="28" t="s">
        <v>27</v>
      </c>
    </row>
    <row r="2720" spans="1:9" x14ac:dyDescent="0.3">
      <c r="A2720" s="26">
        <v>45337</v>
      </c>
      <c r="B2720" t="s">
        <v>808</v>
      </c>
      <c r="C2720" t="s">
        <v>802</v>
      </c>
      <c r="D2720">
        <v>9.1999999999999993</v>
      </c>
      <c r="E2720" t="s">
        <v>7</v>
      </c>
      <c r="F2720" t="s">
        <v>772</v>
      </c>
      <c r="G2720" t="s">
        <v>2794</v>
      </c>
      <c r="H2720" t="s">
        <v>31</v>
      </c>
      <c r="I2720" s="28" t="s">
        <v>27</v>
      </c>
    </row>
    <row r="2721" spans="1:9" x14ac:dyDescent="0.3">
      <c r="A2721" s="26">
        <v>45337</v>
      </c>
      <c r="B2721" t="s">
        <v>810</v>
      </c>
      <c r="C2721" t="s">
        <v>753</v>
      </c>
      <c r="D2721">
        <v>0.17</v>
      </c>
      <c r="E2721" t="s">
        <v>817</v>
      </c>
      <c r="F2721" t="s">
        <v>754</v>
      </c>
      <c r="G2721" t="s">
        <v>849</v>
      </c>
      <c r="H2721" t="s">
        <v>31</v>
      </c>
      <c r="I2721" s="28" t="s">
        <v>27</v>
      </c>
    </row>
    <row r="2722" spans="1:9" x14ac:dyDescent="0.3">
      <c r="A2722" s="26">
        <v>45337</v>
      </c>
      <c r="B2722" t="s">
        <v>810</v>
      </c>
      <c r="C2722" t="s">
        <v>753</v>
      </c>
      <c r="D2722">
        <v>0.17</v>
      </c>
      <c r="E2722" t="s">
        <v>813</v>
      </c>
      <c r="F2722" t="s">
        <v>754</v>
      </c>
      <c r="G2722" t="s">
        <v>2795</v>
      </c>
      <c r="H2722" t="s">
        <v>31</v>
      </c>
      <c r="I2722" s="28" t="s">
        <v>27</v>
      </c>
    </row>
    <row r="2723" spans="1:9" x14ac:dyDescent="0.3">
      <c r="A2723" s="26">
        <v>45337</v>
      </c>
      <c r="B2723" t="s">
        <v>810</v>
      </c>
      <c r="C2723" t="s">
        <v>753</v>
      </c>
      <c r="D2723">
        <v>0.25</v>
      </c>
      <c r="E2723" t="s">
        <v>814</v>
      </c>
      <c r="F2723" t="s">
        <v>754</v>
      </c>
      <c r="G2723" t="s">
        <v>849</v>
      </c>
      <c r="H2723" t="s">
        <v>31</v>
      </c>
      <c r="I2723" s="28" t="s">
        <v>27</v>
      </c>
    </row>
    <row r="2724" spans="1:9" x14ac:dyDescent="0.3">
      <c r="A2724" s="26">
        <v>45337</v>
      </c>
      <c r="B2724" t="s">
        <v>810</v>
      </c>
      <c r="C2724" t="s">
        <v>753</v>
      </c>
      <c r="D2724">
        <v>0.25</v>
      </c>
      <c r="E2724" t="s">
        <v>811</v>
      </c>
      <c r="F2724" t="s">
        <v>754</v>
      </c>
      <c r="G2724" t="s">
        <v>2795</v>
      </c>
      <c r="H2724" t="s">
        <v>31</v>
      </c>
      <c r="I2724" s="28" t="s">
        <v>27</v>
      </c>
    </row>
    <row r="2725" spans="1:9" x14ac:dyDescent="0.3">
      <c r="A2725" s="26">
        <v>45337</v>
      </c>
      <c r="B2725" t="s">
        <v>810</v>
      </c>
      <c r="C2725" t="s">
        <v>753</v>
      </c>
      <c r="D2725">
        <v>0.25</v>
      </c>
      <c r="E2725" t="s">
        <v>1069</v>
      </c>
      <c r="F2725" t="s">
        <v>754</v>
      </c>
      <c r="G2725" t="s">
        <v>2795</v>
      </c>
      <c r="H2725" t="s">
        <v>31</v>
      </c>
      <c r="I2725" s="28" t="s">
        <v>27</v>
      </c>
    </row>
    <row r="2726" spans="1:9" x14ac:dyDescent="0.3">
      <c r="A2726" s="26">
        <v>45337</v>
      </c>
      <c r="B2726" t="s">
        <v>810</v>
      </c>
      <c r="C2726" t="s">
        <v>753</v>
      </c>
      <c r="D2726">
        <v>0.25</v>
      </c>
      <c r="E2726" t="s">
        <v>898</v>
      </c>
      <c r="F2726" t="s">
        <v>754</v>
      </c>
      <c r="G2726" t="s">
        <v>2796</v>
      </c>
      <c r="H2726" t="s">
        <v>31</v>
      </c>
      <c r="I2726" s="28" t="s">
        <v>27</v>
      </c>
    </row>
    <row r="2727" spans="1:9" x14ac:dyDescent="0.3">
      <c r="A2727" s="26">
        <v>45337</v>
      </c>
      <c r="B2727" t="s">
        <v>810</v>
      </c>
      <c r="C2727" t="s">
        <v>753</v>
      </c>
      <c r="D2727">
        <v>0.5</v>
      </c>
      <c r="E2727" t="s">
        <v>687</v>
      </c>
      <c r="F2727" t="s">
        <v>754</v>
      </c>
      <c r="G2727" t="s">
        <v>1549</v>
      </c>
      <c r="H2727" t="s">
        <v>31</v>
      </c>
      <c r="I2727" s="28" t="s">
        <v>27</v>
      </c>
    </row>
    <row r="2728" spans="1:9" x14ac:dyDescent="0.3">
      <c r="A2728" s="26">
        <v>45337</v>
      </c>
      <c r="B2728" t="s">
        <v>810</v>
      </c>
      <c r="C2728" t="s">
        <v>753</v>
      </c>
      <c r="D2728">
        <v>0.83</v>
      </c>
      <c r="E2728" t="s">
        <v>815</v>
      </c>
      <c r="F2728" t="s">
        <v>754</v>
      </c>
      <c r="G2728" t="s">
        <v>2795</v>
      </c>
      <c r="H2728" t="s">
        <v>31</v>
      </c>
      <c r="I2728" s="28" t="s">
        <v>27</v>
      </c>
    </row>
    <row r="2729" spans="1:9" x14ac:dyDescent="0.3">
      <c r="A2729" s="26">
        <v>45337</v>
      </c>
      <c r="B2729" t="s">
        <v>810</v>
      </c>
      <c r="C2729" t="s">
        <v>753</v>
      </c>
      <c r="D2729">
        <v>3.75</v>
      </c>
      <c r="E2729" t="s">
        <v>516</v>
      </c>
      <c r="F2729" t="s">
        <v>754</v>
      </c>
      <c r="G2729" t="s">
        <v>1763</v>
      </c>
      <c r="H2729" t="s">
        <v>31</v>
      </c>
      <c r="I2729" s="28" t="s">
        <v>27</v>
      </c>
    </row>
    <row r="2730" spans="1:9" x14ac:dyDescent="0.3">
      <c r="A2730" s="26">
        <v>45337</v>
      </c>
      <c r="B2730" t="s">
        <v>810</v>
      </c>
      <c r="C2730" t="s">
        <v>771</v>
      </c>
      <c r="D2730">
        <v>0.5</v>
      </c>
      <c r="E2730" t="s">
        <v>7</v>
      </c>
      <c r="F2730" t="s">
        <v>772</v>
      </c>
      <c r="G2730" t="s">
        <v>781</v>
      </c>
      <c r="H2730" t="s">
        <v>31</v>
      </c>
      <c r="I2730" s="28" t="s">
        <v>27</v>
      </c>
    </row>
    <row r="2731" spans="1:9" x14ac:dyDescent="0.3">
      <c r="A2731" s="26">
        <v>45337</v>
      </c>
      <c r="B2731" t="s">
        <v>810</v>
      </c>
      <c r="C2731" t="s">
        <v>919</v>
      </c>
      <c r="D2731">
        <v>0.92</v>
      </c>
      <c r="E2731" t="s">
        <v>2797</v>
      </c>
      <c r="F2731" t="s">
        <v>754</v>
      </c>
      <c r="G2731" t="s">
        <v>2798</v>
      </c>
      <c r="H2731" t="s">
        <v>31</v>
      </c>
      <c r="I2731" s="28" t="s">
        <v>27</v>
      </c>
    </row>
    <row r="2732" spans="1:9" x14ac:dyDescent="0.3">
      <c r="A2732" s="26">
        <v>45337</v>
      </c>
      <c r="B2732" t="s">
        <v>810</v>
      </c>
      <c r="C2732" t="s">
        <v>776</v>
      </c>
      <c r="D2732">
        <v>0.17</v>
      </c>
      <c r="E2732" t="s">
        <v>516</v>
      </c>
      <c r="F2732" t="s">
        <v>754</v>
      </c>
      <c r="G2732" t="s">
        <v>1970</v>
      </c>
      <c r="H2732" t="s">
        <v>31</v>
      </c>
      <c r="I2732" s="28" t="s">
        <v>27</v>
      </c>
    </row>
    <row r="2733" spans="1:9" x14ac:dyDescent="0.3">
      <c r="A2733" s="26">
        <v>45337</v>
      </c>
      <c r="B2733" t="s">
        <v>225</v>
      </c>
      <c r="C2733" t="s">
        <v>823</v>
      </c>
      <c r="D2733">
        <v>1.5</v>
      </c>
      <c r="E2733" t="s">
        <v>602</v>
      </c>
      <c r="F2733" t="s">
        <v>754</v>
      </c>
      <c r="G2733" t="s">
        <v>2799</v>
      </c>
      <c r="H2733" t="s">
        <v>31</v>
      </c>
      <c r="I2733" s="28" t="s">
        <v>27</v>
      </c>
    </row>
    <row r="2734" spans="1:9" x14ac:dyDescent="0.3">
      <c r="A2734" s="26">
        <v>45337</v>
      </c>
      <c r="B2734" t="s">
        <v>825</v>
      </c>
      <c r="C2734" t="s">
        <v>826</v>
      </c>
      <c r="D2734">
        <v>1.33</v>
      </c>
      <c r="E2734" t="s">
        <v>235</v>
      </c>
      <c r="F2734" t="s">
        <v>754</v>
      </c>
      <c r="G2734" t="s">
        <v>2800</v>
      </c>
      <c r="H2734" t="s">
        <v>31</v>
      </c>
      <c r="I2734" s="28" t="s">
        <v>27</v>
      </c>
    </row>
    <row r="2735" spans="1:9" x14ac:dyDescent="0.3">
      <c r="A2735" s="26">
        <v>45337</v>
      </c>
      <c r="B2735" t="s">
        <v>825</v>
      </c>
      <c r="C2735" t="s">
        <v>826</v>
      </c>
      <c r="D2735">
        <v>5</v>
      </c>
      <c r="E2735" t="s">
        <v>47</v>
      </c>
      <c r="F2735" t="s">
        <v>754</v>
      </c>
      <c r="G2735" t="s">
        <v>2801</v>
      </c>
      <c r="H2735" t="s">
        <v>31</v>
      </c>
      <c r="I2735" s="28" t="s">
        <v>27</v>
      </c>
    </row>
    <row r="2736" spans="1:9" x14ac:dyDescent="0.3">
      <c r="A2736" s="26">
        <v>45337</v>
      </c>
      <c r="B2736" t="s">
        <v>825</v>
      </c>
      <c r="C2736" t="s">
        <v>2609</v>
      </c>
      <c r="D2736">
        <v>0.33</v>
      </c>
      <c r="E2736" t="s">
        <v>71</v>
      </c>
      <c r="F2736" t="s">
        <v>754</v>
      </c>
      <c r="G2736" t="s">
        <v>2611</v>
      </c>
      <c r="H2736" t="s">
        <v>31</v>
      </c>
      <c r="I2736" s="28" t="s">
        <v>27</v>
      </c>
    </row>
    <row r="2737" spans="1:9" x14ac:dyDescent="0.3">
      <c r="A2737" s="26">
        <v>45337</v>
      </c>
      <c r="B2737" t="s">
        <v>825</v>
      </c>
      <c r="C2737" t="s">
        <v>2609</v>
      </c>
      <c r="D2737">
        <v>0.33</v>
      </c>
      <c r="E2737" t="s">
        <v>372</v>
      </c>
      <c r="F2737" t="s">
        <v>754</v>
      </c>
      <c r="G2737" t="s">
        <v>2611</v>
      </c>
      <c r="H2737" t="s">
        <v>31</v>
      </c>
      <c r="I2737" s="28" t="s">
        <v>27</v>
      </c>
    </row>
    <row r="2738" spans="1:9" x14ac:dyDescent="0.3">
      <c r="A2738" s="26">
        <v>45337</v>
      </c>
      <c r="B2738" t="s">
        <v>829</v>
      </c>
      <c r="C2738" t="s">
        <v>753</v>
      </c>
      <c r="D2738">
        <v>0.17</v>
      </c>
      <c r="E2738" t="s">
        <v>857</v>
      </c>
      <c r="F2738" t="s">
        <v>754</v>
      </c>
      <c r="G2738" t="s">
        <v>1127</v>
      </c>
      <c r="H2738" t="s">
        <v>31</v>
      </c>
      <c r="I2738" s="28" t="s">
        <v>27</v>
      </c>
    </row>
    <row r="2739" spans="1:9" x14ac:dyDescent="0.3">
      <c r="A2739" s="26">
        <v>45337</v>
      </c>
      <c r="B2739" t="s">
        <v>829</v>
      </c>
      <c r="C2739" t="s">
        <v>753</v>
      </c>
      <c r="D2739">
        <v>0.25</v>
      </c>
      <c r="E2739" t="s">
        <v>2613</v>
      </c>
      <c r="F2739" t="s">
        <v>754</v>
      </c>
      <c r="G2739" t="s">
        <v>2802</v>
      </c>
      <c r="H2739" t="s">
        <v>31</v>
      </c>
      <c r="I2739" s="28" t="s">
        <v>27</v>
      </c>
    </row>
    <row r="2740" spans="1:9" x14ac:dyDescent="0.3">
      <c r="A2740" s="26">
        <v>45337</v>
      </c>
      <c r="B2740" t="s">
        <v>829</v>
      </c>
      <c r="C2740" t="s">
        <v>771</v>
      </c>
      <c r="D2740">
        <v>0.48</v>
      </c>
      <c r="E2740" t="s">
        <v>7</v>
      </c>
      <c r="F2740" t="s">
        <v>772</v>
      </c>
      <c r="G2740" t="s">
        <v>2803</v>
      </c>
      <c r="H2740" t="s">
        <v>31</v>
      </c>
      <c r="I2740" s="28" t="s">
        <v>27</v>
      </c>
    </row>
    <row r="2741" spans="1:9" x14ac:dyDescent="0.3">
      <c r="A2741" s="26">
        <v>45337</v>
      </c>
      <c r="B2741" t="s">
        <v>829</v>
      </c>
      <c r="C2741" t="s">
        <v>771</v>
      </c>
      <c r="D2741">
        <v>0.56999999999999995</v>
      </c>
      <c r="E2741" t="s">
        <v>7</v>
      </c>
      <c r="F2741" t="s">
        <v>772</v>
      </c>
      <c r="G2741" t="s">
        <v>2804</v>
      </c>
      <c r="H2741" t="s">
        <v>31</v>
      </c>
      <c r="I2741" s="28" t="s">
        <v>27</v>
      </c>
    </row>
    <row r="2742" spans="1:9" x14ac:dyDescent="0.3">
      <c r="A2742" s="26">
        <v>45337</v>
      </c>
      <c r="B2742" t="s">
        <v>829</v>
      </c>
      <c r="C2742" t="s">
        <v>771</v>
      </c>
      <c r="D2742">
        <v>0.57999999999999996</v>
      </c>
      <c r="E2742" t="s">
        <v>7</v>
      </c>
      <c r="F2742" t="s">
        <v>772</v>
      </c>
      <c r="G2742" t="s">
        <v>1018</v>
      </c>
      <c r="H2742" t="s">
        <v>31</v>
      </c>
      <c r="I2742" s="28" t="s">
        <v>27</v>
      </c>
    </row>
    <row r="2743" spans="1:9" x14ac:dyDescent="0.3">
      <c r="A2743" s="26">
        <v>45337</v>
      </c>
      <c r="B2743" t="s">
        <v>829</v>
      </c>
      <c r="C2743" t="s">
        <v>776</v>
      </c>
      <c r="D2743">
        <v>0.17</v>
      </c>
      <c r="E2743" t="s">
        <v>790</v>
      </c>
      <c r="F2743" t="s">
        <v>754</v>
      </c>
      <c r="G2743" t="s">
        <v>2805</v>
      </c>
      <c r="H2743" t="s">
        <v>31</v>
      </c>
      <c r="I2743" s="28" t="s">
        <v>27</v>
      </c>
    </row>
    <row r="2744" spans="1:9" x14ac:dyDescent="0.3">
      <c r="A2744" s="26">
        <v>45337</v>
      </c>
      <c r="B2744" t="s">
        <v>829</v>
      </c>
      <c r="C2744" t="s">
        <v>776</v>
      </c>
      <c r="D2744">
        <v>0.25</v>
      </c>
      <c r="E2744" t="s">
        <v>790</v>
      </c>
      <c r="F2744" t="s">
        <v>754</v>
      </c>
      <c r="G2744" t="s">
        <v>2806</v>
      </c>
      <c r="H2744" t="s">
        <v>31</v>
      </c>
      <c r="I2744" s="28" t="s">
        <v>27</v>
      </c>
    </row>
    <row r="2745" spans="1:9" x14ac:dyDescent="0.3">
      <c r="A2745" s="26">
        <v>45337</v>
      </c>
      <c r="B2745" t="s">
        <v>829</v>
      </c>
      <c r="C2745" t="s">
        <v>776</v>
      </c>
      <c r="D2745">
        <v>0.37</v>
      </c>
      <c r="E2745" t="s">
        <v>790</v>
      </c>
      <c r="F2745" t="s">
        <v>754</v>
      </c>
      <c r="G2745" t="s">
        <v>2807</v>
      </c>
      <c r="H2745" t="s">
        <v>31</v>
      </c>
      <c r="I2745" s="28" t="s">
        <v>27</v>
      </c>
    </row>
    <row r="2746" spans="1:9" x14ac:dyDescent="0.3">
      <c r="A2746" s="26">
        <v>45337</v>
      </c>
      <c r="B2746" t="s">
        <v>829</v>
      </c>
      <c r="C2746" t="s">
        <v>776</v>
      </c>
      <c r="D2746">
        <v>0.72</v>
      </c>
      <c r="E2746" t="s">
        <v>790</v>
      </c>
      <c r="F2746" t="s">
        <v>754</v>
      </c>
      <c r="G2746" t="s">
        <v>2808</v>
      </c>
      <c r="H2746" t="s">
        <v>31</v>
      </c>
      <c r="I2746" s="28" t="s">
        <v>27</v>
      </c>
    </row>
    <row r="2747" spans="1:9" x14ac:dyDescent="0.3">
      <c r="A2747" s="26">
        <v>45337</v>
      </c>
      <c r="B2747" t="s">
        <v>829</v>
      </c>
      <c r="C2747" t="s">
        <v>776</v>
      </c>
      <c r="D2747">
        <v>0.88</v>
      </c>
      <c r="E2747" t="s">
        <v>790</v>
      </c>
      <c r="F2747" t="s">
        <v>754</v>
      </c>
      <c r="G2747" t="s">
        <v>838</v>
      </c>
      <c r="H2747" t="s">
        <v>31</v>
      </c>
      <c r="I2747" s="28" t="s">
        <v>27</v>
      </c>
    </row>
    <row r="2748" spans="1:9" x14ac:dyDescent="0.3">
      <c r="A2748" s="26">
        <v>45337</v>
      </c>
      <c r="B2748" t="s">
        <v>829</v>
      </c>
      <c r="C2748" t="s">
        <v>776</v>
      </c>
      <c r="D2748">
        <v>3.57</v>
      </c>
      <c r="E2748" t="s">
        <v>790</v>
      </c>
      <c r="F2748" t="s">
        <v>754</v>
      </c>
      <c r="H2748" t="s">
        <v>31</v>
      </c>
      <c r="I2748" s="28" t="s">
        <v>27</v>
      </c>
    </row>
    <row r="2749" spans="1:9" x14ac:dyDescent="0.3">
      <c r="A2749" s="26">
        <v>45337</v>
      </c>
      <c r="B2749" t="s">
        <v>840</v>
      </c>
      <c r="C2749" t="s">
        <v>753</v>
      </c>
      <c r="D2749">
        <v>1.28</v>
      </c>
      <c r="E2749" t="s">
        <v>790</v>
      </c>
      <c r="F2749" t="s">
        <v>754</v>
      </c>
      <c r="G2749" t="e">
        <f>- Received raw invoices.</f>
        <v>#NAME?</v>
      </c>
      <c r="H2749" t="s">
        <v>31</v>
      </c>
      <c r="I2749" s="28" t="s">
        <v>27</v>
      </c>
    </row>
    <row r="2750" spans="1:9" x14ac:dyDescent="0.3">
      <c r="A2750" s="26">
        <v>45337</v>
      </c>
      <c r="B2750" t="s">
        <v>840</v>
      </c>
      <c r="C2750" t="s">
        <v>771</v>
      </c>
      <c r="D2750">
        <v>3.33</v>
      </c>
      <c r="E2750" t="s">
        <v>7</v>
      </c>
      <c r="F2750" t="s">
        <v>772</v>
      </c>
      <c r="H2750" t="s">
        <v>31</v>
      </c>
      <c r="I2750" s="28" t="s">
        <v>27</v>
      </c>
    </row>
    <row r="2751" spans="1:9" x14ac:dyDescent="0.3">
      <c r="A2751" s="26">
        <v>45337</v>
      </c>
      <c r="B2751" t="s">
        <v>840</v>
      </c>
      <c r="C2751" t="s">
        <v>771</v>
      </c>
      <c r="D2751">
        <v>5.23</v>
      </c>
      <c r="E2751" t="s">
        <v>7</v>
      </c>
      <c r="F2751" t="s">
        <v>772</v>
      </c>
      <c r="G2751" t="e">
        <f>- Employee details Record update. - ASIC - Made a plan for schedule of Nick, Ali and Shalini 1:1 and group meetings with Global team.</f>
        <v>#NAME?</v>
      </c>
      <c r="H2751" t="s">
        <v>31</v>
      </c>
      <c r="I2751" s="28" t="s">
        <v>27</v>
      </c>
    </row>
    <row r="2752" spans="1:9" x14ac:dyDescent="0.3">
      <c r="A2752" s="26">
        <v>45337</v>
      </c>
      <c r="B2752" t="s">
        <v>843</v>
      </c>
      <c r="C2752" t="s">
        <v>753</v>
      </c>
      <c r="D2752">
        <v>0.27</v>
      </c>
      <c r="E2752" t="s">
        <v>690</v>
      </c>
      <c r="F2752" t="s">
        <v>772</v>
      </c>
      <c r="G2752" t="s">
        <v>2809</v>
      </c>
      <c r="H2752" t="s">
        <v>31</v>
      </c>
      <c r="I2752" s="28" t="s">
        <v>27</v>
      </c>
    </row>
    <row r="2753" spans="1:9" x14ac:dyDescent="0.3">
      <c r="A2753" s="26">
        <v>45337</v>
      </c>
      <c r="B2753" t="s">
        <v>843</v>
      </c>
      <c r="C2753" t="s">
        <v>753</v>
      </c>
      <c r="D2753">
        <v>0.47</v>
      </c>
      <c r="E2753" t="s">
        <v>563</v>
      </c>
      <c r="F2753" t="s">
        <v>772</v>
      </c>
      <c r="G2753" t="s">
        <v>2810</v>
      </c>
      <c r="H2753" t="s">
        <v>31</v>
      </c>
      <c r="I2753" s="28" t="s">
        <v>27</v>
      </c>
    </row>
    <row r="2754" spans="1:9" x14ac:dyDescent="0.3">
      <c r="A2754" s="26">
        <v>45337</v>
      </c>
      <c r="B2754" t="s">
        <v>843</v>
      </c>
      <c r="C2754" t="s">
        <v>753</v>
      </c>
      <c r="D2754">
        <v>0.47</v>
      </c>
      <c r="E2754" t="s">
        <v>628</v>
      </c>
      <c r="F2754" t="s">
        <v>772</v>
      </c>
      <c r="G2754" t="s">
        <v>2811</v>
      </c>
      <c r="H2754" t="s">
        <v>31</v>
      </c>
      <c r="I2754" s="28" t="s">
        <v>27</v>
      </c>
    </row>
    <row r="2755" spans="1:9" x14ac:dyDescent="0.3">
      <c r="A2755" s="26">
        <v>45337</v>
      </c>
      <c r="B2755" t="s">
        <v>843</v>
      </c>
      <c r="C2755" t="s">
        <v>753</v>
      </c>
      <c r="D2755">
        <v>0.55000000000000004</v>
      </c>
      <c r="E2755" t="s">
        <v>234</v>
      </c>
      <c r="F2755" t="s">
        <v>754</v>
      </c>
      <c r="G2755" t="s">
        <v>2812</v>
      </c>
      <c r="H2755" t="s">
        <v>31</v>
      </c>
      <c r="I2755" s="28" t="s">
        <v>27</v>
      </c>
    </row>
    <row r="2756" spans="1:9" x14ac:dyDescent="0.3">
      <c r="A2756" s="26">
        <v>45337</v>
      </c>
      <c r="B2756" t="s">
        <v>843</v>
      </c>
      <c r="C2756" t="s">
        <v>753</v>
      </c>
      <c r="D2756">
        <v>0.77</v>
      </c>
      <c r="E2756" t="s">
        <v>234</v>
      </c>
      <c r="F2756" t="s">
        <v>754</v>
      </c>
      <c r="G2756" t="s">
        <v>2813</v>
      </c>
      <c r="H2756" t="s">
        <v>31</v>
      </c>
      <c r="I2756" s="28" t="s">
        <v>27</v>
      </c>
    </row>
    <row r="2757" spans="1:9" x14ac:dyDescent="0.3">
      <c r="A2757" s="26">
        <v>45337</v>
      </c>
      <c r="B2757" t="s">
        <v>843</v>
      </c>
      <c r="C2757" t="s">
        <v>753</v>
      </c>
      <c r="D2757">
        <v>1.22</v>
      </c>
      <c r="E2757" t="s">
        <v>845</v>
      </c>
      <c r="F2757" t="s">
        <v>754</v>
      </c>
      <c r="G2757" t="s">
        <v>2814</v>
      </c>
      <c r="H2757" t="s">
        <v>31</v>
      </c>
      <c r="I2757" s="28" t="s">
        <v>27</v>
      </c>
    </row>
    <row r="2758" spans="1:9" x14ac:dyDescent="0.3">
      <c r="A2758" s="26">
        <v>45337</v>
      </c>
      <c r="B2758" t="s">
        <v>843</v>
      </c>
      <c r="C2758" t="s">
        <v>853</v>
      </c>
      <c r="D2758">
        <v>1.6</v>
      </c>
      <c r="E2758" t="s">
        <v>259</v>
      </c>
      <c r="F2758" t="s">
        <v>754</v>
      </c>
      <c r="G2758" t="s">
        <v>2815</v>
      </c>
      <c r="H2758" t="s">
        <v>31</v>
      </c>
      <c r="I2758" s="28" t="s">
        <v>27</v>
      </c>
    </row>
    <row r="2759" spans="1:9" x14ac:dyDescent="0.3">
      <c r="A2759" s="26">
        <v>45337</v>
      </c>
      <c r="B2759" t="s">
        <v>843</v>
      </c>
      <c r="C2759" t="s">
        <v>853</v>
      </c>
      <c r="D2759">
        <v>2.17</v>
      </c>
      <c r="E2759" t="s">
        <v>259</v>
      </c>
      <c r="F2759" t="s">
        <v>754</v>
      </c>
      <c r="G2759" t="s">
        <v>2816</v>
      </c>
      <c r="H2759" t="s">
        <v>31</v>
      </c>
      <c r="I2759" s="28" t="s">
        <v>27</v>
      </c>
    </row>
    <row r="2760" spans="1:9" x14ac:dyDescent="0.3">
      <c r="A2760" s="26">
        <v>45337</v>
      </c>
      <c r="B2760" t="s">
        <v>843</v>
      </c>
      <c r="C2760" t="s">
        <v>771</v>
      </c>
      <c r="D2760">
        <v>0.5</v>
      </c>
      <c r="E2760" t="s">
        <v>7</v>
      </c>
      <c r="F2760" t="s">
        <v>772</v>
      </c>
      <c r="G2760" t="s">
        <v>781</v>
      </c>
      <c r="H2760" t="s">
        <v>31</v>
      </c>
      <c r="I2760" s="28" t="s">
        <v>27</v>
      </c>
    </row>
    <row r="2761" spans="1:9" x14ac:dyDescent="0.3">
      <c r="A2761" s="26">
        <v>45337</v>
      </c>
      <c r="B2761" t="s">
        <v>856</v>
      </c>
      <c r="C2761" t="s">
        <v>1163</v>
      </c>
      <c r="D2761">
        <v>8</v>
      </c>
      <c r="E2761" t="s">
        <v>7</v>
      </c>
      <c r="F2761" t="s">
        <v>772</v>
      </c>
      <c r="H2761" t="s">
        <v>31</v>
      </c>
      <c r="I2761" s="28" t="s">
        <v>27</v>
      </c>
    </row>
    <row r="2762" spans="1:9" x14ac:dyDescent="0.3">
      <c r="A2762" s="26">
        <v>45337</v>
      </c>
      <c r="B2762" t="s">
        <v>33</v>
      </c>
      <c r="C2762" t="s">
        <v>753</v>
      </c>
      <c r="D2762">
        <v>1.2</v>
      </c>
      <c r="E2762" t="s">
        <v>813</v>
      </c>
      <c r="F2762" t="s">
        <v>754</v>
      </c>
      <c r="G2762" t="s">
        <v>2817</v>
      </c>
      <c r="H2762" t="s">
        <v>31</v>
      </c>
      <c r="I2762" s="28" t="s">
        <v>27</v>
      </c>
    </row>
    <row r="2763" spans="1:9" x14ac:dyDescent="0.3">
      <c r="A2763" s="26">
        <v>45337</v>
      </c>
      <c r="B2763" t="s">
        <v>33</v>
      </c>
      <c r="C2763" t="s">
        <v>753</v>
      </c>
      <c r="D2763">
        <v>4.75</v>
      </c>
      <c r="E2763" t="s">
        <v>811</v>
      </c>
      <c r="F2763" t="s">
        <v>754</v>
      </c>
      <c r="G2763" t="s">
        <v>2818</v>
      </c>
      <c r="H2763" t="s">
        <v>31</v>
      </c>
      <c r="I2763" s="28" t="s">
        <v>27</v>
      </c>
    </row>
    <row r="2764" spans="1:9" x14ac:dyDescent="0.3">
      <c r="A2764" s="26">
        <v>45337</v>
      </c>
      <c r="B2764" t="s">
        <v>33</v>
      </c>
      <c r="C2764" t="s">
        <v>771</v>
      </c>
      <c r="D2764">
        <v>0.82</v>
      </c>
      <c r="E2764" t="s">
        <v>7</v>
      </c>
      <c r="F2764" t="s">
        <v>772</v>
      </c>
      <c r="G2764" t="s">
        <v>2819</v>
      </c>
      <c r="H2764" t="s">
        <v>31</v>
      </c>
      <c r="I2764" s="28" t="s">
        <v>27</v>
      </c>
    </row>
    <row r="2765" spans="1:9" x14ac:dyDescent="0.3">
      <c r="A2765" s="26">
        <v>45337</v>
      </c>
      <c r="B2765" t="s">
        <v>33</v>
      </c>
      <c r="C2765" t="s">
        <v>771</v>
      </c>
      <c r="D2765">
        <v>0.88</v>
      </c>
      <c r="E2765" t="s">
        <v>7</v>
      </c>
      <c r="F2765" t="s">
        <v>772</v>
      </c>
      <c r="G2765" t="s">
        <v>2820</v>
      </c>
      <c r="H2765" t="s">
        <v>31</v>
      </c>
      <c r="I2765" s="28" t="s">
        <v>27</v>
      </c>
    </row>
    <row r="2766" spans="1:9" x14ac:dyDescent="0.3">
      <c r="A2766" s="26">
        <v>45337</v>
      </c>
      <c r="B2766" t="s">
        <v>33</v>
      </c>
      <c r="C2766" t="s">
        <v>874</v>
      </c>
      <c r="D2766">
        <v>0.57999999999999996</v>
      </c>
      <c r="E2766" t="s">
        <v>7</v>
      </c>
      <c r="F2766" t="s">
        <v>772</v>
      </c>
      <c r="G2766" t="s">
        <v>2821</v>
      </c>
      <c r="H2766" t="s">
        <v>31</v>
      </c>
      <c r="I2766" s="28" t="s">
        <v>27</v>
      </c>
    </row>
    <row r="2767" spans="1:9" x14ac:dyDescent="0.3">
      <c r="A2767" s="26">
        <v>45337</v>
      </c>
      <c r="B2767" t="s">
        <v>876</v>
      </c>
      <c r="C2767" t="s">
        <v>753</v>
      </c>
      <c r="D2767">
        <v>7.18</v>
      </c>
      <c r="E2767" t="s">
        <v>11</v>
      </c>
      <c r="F2767" t="s">
        <v>754</v>
      </c>
      <c r="H2767" t="s">
        <v>31</v>
      </c>
      <c r="I2767" s="28" t="s">
        <v>27</v>
      </c>
    </row>
    <row r="2768" spans="1:9" x14ac:dyDescent="0.3">
      <c r="A2768" s="26">
        <v>45337</v>
      </c>
      <c r="B2768" t="s">
        <v>876</v>
      </c>
      <c r="C2768" t="s">
        <v>874</v>
      </c>
      <c r="D2768">
        <v>0.55000000000000004</v>
      </c>
      <c r="E2768" t="s">
        <v>7</v>
      </c>
      <c r="F2768" t="s">
        <v>772</v>
      </c>
      <c r="G2768" t="s">
        <v>2822</v>
      </c>
      <c r="H2768" t="s">
        <v>31</v>
      </c>
      <c r="I2768" s="28" t="s">
        <v>27</v>
      </c>
    </row>
    <row r="2769" spans="1:9" x14ac:dyDescent="0.3">
      <c r="A2769" s="26">
        <v>45337</v>
      </c>
      <c r="B2769" t="s">
        <v>876</v>
      </c>
      <c r="C2769" t="s">
        <v>776</v>
      </c>
      <c r="D2769">
        <v>0.23</v>
      </c>
      <c r="E2769" t="s">
        <v>151</v>
      </c>
      <c r="F2769" t="s">
        <v>754</v>
      </c>
      <c r="G2769" t="s">
        <v>2823</v>
      </c>
      <c r="H2769" t="s">
        <v>31</v>
      </c>
      <c r="I2769" s="28" t="s">
        <v>27</v>
      </c>
    </row>
    <row r="2770" spans="1:9" x14ac:dyDescent="0.3">
      <c r="A2770" s="26">
        <v>45337</v>
      </c>
      <c r="B2770" t="s">
        <v>877</v>
      </c>
      <c r="C2770" t="s">
        <v>878</v>
      </c>
      <c r="D2770">
        <v>0.67</v>
      </c>
      <c r="E2770" t="s">
        <v>882</v>
      </c>
      <c r="F2770" t="s">
        <v>754</v>
      </c>
      <c r="G2770" t="s">
        <v>2824</v>
      </c>
      <c r="H2770" t="s">
        <v>31</v>
      </c>
      <c r="I2770" s="28" t="s">
        <v>27</v>
      </c>
    </row>
    <row r="2771" spans="1:9" x14ac:dyDescent="0.3">
      <c r="A2771" s="26">
        <v>45337</v>
      </c>
      <c r="B2771" t="s">
        <v>877</v>
      </c>
      <c r="C2771" t="s">
        <v>878</v>
      </c>
      <c r="D2771">
        <v>3.85</v>
      </c>
      <c r="E2771" t="s">
        <v>882</v>
      </c>
      <c r="F2771" t="s">
        <v>754</v>
      </c>
      <c r="G2771" t="s">
        <v>2825</v>
      </c>
      <c r="H2771" t="s">
        <v>31</v>
      </c>
      <c r="I2771" s="28" t="s">
        <v>27</v>
      </c>
    </row>
    <row r="2772" spans="1:9" x14ac:dyDescent="0.3">
      <c r="A2772" s="26">
        <v>45337</v>
      </c>
      <c r="B2772" t="s">
        <v>877</v>
      </c>
      <c r="C2772" t="s">
        <v>878</v>
      </c>
      <c r="D2772">
        <v>4.12</v>
      </c>
      <c r="E2772" t="s">
        <v>879</v>
      </c>
      <c r="F2772" t="s">
        <v>754</v>
      </c>
      <c r="G2772" t="s">
        <v>2826</v>
      </c>
      <c r="H2772" t="s">
        <v>31</v>
      </c>
      <c r="I2772" s="28" t="s">
        <v>27</v>
      </c>
    </row>
    <row r="2773" spans="1:9" x14ac:dyDescent="0.3">
      <c r="A2773" s="26">
        <v>45337</v>
      </c>
      <c r="B2773" t="s">
        <v>884</v>
      </c>
      <c r="C2773" t="s">
        <v>753</v>
      </c>
      <c r="D2773">
        <v>0.08</v>
      </c>
      <c r="E2773" t="s">
        <v>288</v>
      </c>
      <c r="F2773" t="s">
        <v>754</v>
      </c>
      <c r="G2773" t="s">
        <v>849</v>
      </c>
      <c r="H2773" t="s">
        <v>31</v>
      </c>
      <c r="I2773" s="28" t="s">
        <v>27</v>
      </c>
    </row>
    <row r="2774" spans="1:9" x14ac:dyDescent="0.3">
      <c r="A2774" s="26">
        <v>45337</v>
      </c>
      <c r="B2774" t="s">
        <v>884</v>
      </c>
      <c r="C2774" t="s">
        <v>753</v>
      </c>
      <c r="D2774">
        <v>0.23</v>
      </c>
      <c r="E2774" t="s">
        <v>248</v>
      </c>
      <c r="F2774" t="s">
        <v>754</v>
      </c>
      <c r="G2774" t="s">
        <v>818</v>
      </c>
      <c r="H2774" t="s">
        <v>31</v>
      </c>
      <c r="I2774" s="28" t="s">
        <v>27</v>
      </c>
    </row>
    <row r="2775" spans="1:9" x14ac:dyDescent="0.3">
      <c r="A2775" s="26">
        <v>45337</v>
      </c>
      <c r="B2775" t="s">
        <v>884</v>
      </c>
      <c r="C2775" t="s">
        <v>753</v>
      </c>
      <c r="D2775">
        <v>0.35</v>
      </c>
      <c r="E2775" t="s">
        <v>248</v>
      </c>
      <c r="F2775" t="s">
        <v>754</v>
      </c>
      <c r="G2775" t="s">
        <v>2827</v>
      </c>
      <c r="H2775" t="s">
        <v>31</v>
      </c>
      <c r="I2775" s="28" t="s">
        <v>27</v>
      </c>
    </row>
    <row r="2776" spans="1:9" x14ac:dyDescent="0.3">
      <c r="A2776" s="26">
        <v>45337</v>
      </c>
      <c r="B2776" t="s">
        <v>884</v>
      </c>
      <c r="C2776" t="s">
        <v>753</v>
      </c>
      <c r="D2776">
        <v>0.56999999999999995</v>
      </c>
      <c r="E2776" t="s">
        <v>316</v>
      </c>
      <c r="F2776" t="s">
        <v>754</v>
      </c>
      <c r="G2776" t="s">
        <v>2828</v>
      </c>
      <c r="H2776" t="s">
        <v>31</v>
      </c>
      <c r="I2776" s="28" t="s">
        <v>27</v>
      </c>
    </row>
    <row r="2777" spans="1:9" x14ac:dyDescent="0.3">
      <c r="A2777" s="26">
        <v>45337</v>
      </c>
      <c r="B2777" t="s">
        <v>884</v>
      </c>
      <c r="C2777" t="s">
        <v>753</v>
      </c>
      <c r="D2777">
        <v>0.67</v>
      </c>
      <c r="E2777" t="s">
        <v>288</v>
      </c>
      <c r="F2777" t="s">
        <v>754</v>
      </c>
      <c r="G2777" t="s">
        <v>2829</v>
      </c>
      <c r="H2777" t="s">
        <v>31</v>
      </c>
      <c r="I2777" s="28" t="s">
        <v>27</v>
      </c>
    </row>
    <row r="2778" spans="1:9" x14ac:dyDescent="0.3">
      <c r="A2778" s="26">
        <v>45337</v>
      </c>
      <c r="B2778" t="s">
        <v>884</v>
      </c>
      <c r="C2778" t="s">
        <v>753</v>
      </c>
      <c r="D2778">
        <v>0.98</v>
      </c>
      <c r="E2778" t="s">
        <v>562</v>
      </c>
      <c r="F2778" t="s">
        <v>754</v>
      </c>
      <c r="H2778" t="s">
        <v>31</v>
      </c>
      <c r="I2778" s="28" t="s">
        <v>27</v>
      </c>
    </row>
    <row r="2779" spans="1:9" x14ac:dyDescent="0.3">
      <c r="A2779" s="26">
        <v>45337</v>
      </c>
      <c r="B2779" t="s">
        <v>884</v>
      </c>
      <c r="C2779" t="s">
        <v>753</v>
      </c>
      <c r="D2779">
        <v>1</v>
      </c>
      <c r="E2779" t="s">
        <v>885</v>
      </c>
      <c r="F2779" t="s">
        <v>754</v>
      </c>
      <c r="G2779" t="s">
        <v>2830</v>
      </c>
      <c r="H2779" t="s">
        <v>31</v>
      </c>
      <c r="I2779" s="28" t="s">
        <v>27</v>
      </c>
    </row>
    <row r="2780" spans="1:9" x14ac:dyDescent="0.3">
      <c r="A2780" s="26">
        <v>45337</v>
      </c>
      <c r="B2780" t="s">
        <v>884</v>
      </c>
      <c r="C2780" t="s">
        <v>753</v>
      </c>
      <c r="D2780">
        <v>1.22</v>
      </c>
      <c r="E2780" t="s">
        <v>375</v>
      </c>
      <c r="F2780" t="s">
        <v>754</v>
      </c>
      <c r="G2780" t="s">
        <v>2831</v>
      </c>
      <c r="H2780" t="s">
        <v>31</v>
      </c>
      <c r="I2780" s="28" t="s">
        <v>27</v>
      </c>
    </row>
    <row r="2781" spans="1:9" x14ac:dyDescent="0.3">
      <c r="A2781" s="26">
        <v>45337</v>
      </c>
      <c r="B2781" t="s">
        <v>884</v>
      </c>
      <c r="C2781" t="s">
        <v>753</v>
      </c>
      <c r="D2781">
        <v>1.97</v>
      </c>
      <c r="E2781" t="s">
        <v>11</v>
      </c>
      <c r="F2781" t="s">
        <v>754</v>
      </c>
      <c r="G2781" t="s">
        <v>2639</v>
      </c>
      <c r="H2781" t="s">
        <v>31</v>
      </c>
      <c r="I2781" s="28" t="s">
        <v>27</v>
      </c>
    </row>
    <row r="2782" spans="1:9" x14ac:dyDescent="0.3">
      <c r="A2782" s="26">
        <v>45337</v>
      </c>
      <c r="B2782" t="s">
        <v>884</v>
      </c>
      <c r="C2782" t="s">
        <v>874</v>
      </c>
      <c r="D2782">
        <v>0.42</v>
      </c>
      <c r="E2782" t="s">
        <v>7</v>
      </c>
      <c r="F2782" t="s">
        <v>772</v>
      </c>
      <c r="G2782" t="s">
        <v>2832</v>
      </c>
      <c r="H2782" t="s">
        <v>31</v>
      </c>
      <c r="I2782" s="28" t="s">
        <v>27</v>
      </c>
    </row>
    <row r="2783" spans="1:9" x14ac:dyDescent="0.3">
      <c r="A2783" s="26">
        <v>45337</v>
      </c>
      <c r="B2783" t="s">
        <v>884</v>
      </c>
      <c r="C2783" t="s">
        <v>874</v>
      </c>
      <c r="D2783">
        <v>0.52</v>
      </c>
      <c r="E2783" t="s">
        <v>7</v>
      </c>
      <c r="F2783" t="s">
        <v>772</v>
      </c>
      <c r="G2783" t="s">
        <v>2833</v>
      </c>
      <c r="H2783" t="s">
        <v>31</v>
      </c>
      <c r="I2783" s="28" t="s">
        <v>27</v>
      </c>
    </row>
    <row r="2784" spans="1:9" x14ac:dyDescent="0.3">
      <c r="A2784" s="26">
        <v>45337</v>
      </c>
      <c r="B2784" t="s">
        <v>891</v>
      </c>
      <c r="C2784" t="s">
        <v>802</v>
      </c>
      <c r="D2784">
        <v>8</v>
      </c>
      <c r="E2784" t="s">
        <v>7</v>
      </c>
      <c r="F2784" t="s">
        <v>772</v>
      </c>
      <c r="G2784" t="s">
        <v>2834</v>
      </c>
      <c r="H2784" t="s">
        <v>31</v>
      </c>
      <c r="I2784" s="28" t="s">
        <v>27</v>
      </c>
    </row>
    <row r="2785" spans="1:9" x14ac:dyDescent="0.3">
      <c r="A2785" s="26">
        <v>45337</v>
      </c>
      <c r="B2785" t="s">
        <v>34</v>
      </c>
      <c r="C2785" t="s">
        <v>802</v>
      </c>
      <c r="D2785">
        <v>8</v>
      </c>
      <c r="E2785" t="s">
        <v>7</v>
      </c>
      <c r="F2785" t="s">
        <v>772</v>
      </c>
      <c r="H2785" t="s">
        <v>31</v>
      </c>
      <c r="I2785" s="28" t="s">
        <v>27</v>
      </c>
    </row>
    <row r="2786" spans="1:9" x14ac:dyDescent="0.3">
      <c r="A2786" s="26">
        <v>45337</v>
      </c>
      <c r="B2786" t="s">
        <v>893</v>
      </c>
      <c r="C2786" t="s">
        <v>802</v>
      </c>
      <c r="D2786">
        <v>8</v>
      </c>
      <c r="E2786" t="s">
        <v>7</v>
      </c>
      <c r="F2786" t="s">
        <v>772</v>
      </c>
      <c r="G2786" t="s">
        <v>2835</v>
      </c>
      <c r="H2786" t="s">
        <v>31</v>
      </c>
      <c r="I2786" s="28" t="s">
        <v>27</v>
      </c>
    </row>
    <row r="2787" spans="1:9" x14ac:dyDescent="0.3">
      <c r="A2787" s="26">
        <v>45337</v>
      </c>
      <c r="B2787" t="s">
        <v>895</v>
      </c>
      <c r="C2787" t="s">
        <v>753</v>
      </c>
      <c r="D2787">
        <v>0.15</v>
      </c>
      <c r="E2787" t="s">
        <v>985</v>
      </c>
      <c r="F2787" t="s">
        <v>754</v>
      </c>
      <c r="G2787" t="s">
        <v>2836</v>
      </c>
      <c r="H2787" t="s">
        <v>31</v>
      </c>
      <c r="I2787" s="28" t="s">
        <v>27</v>
      </c>
    </row>
    <row r="2788" spans="1:9" x14ac:dyDescent="0.3">
      <c r="A2788" s="26">
        <v>45337</v>
      </c>
      <c r="B2788" t="s">
        <v>895</v>
      </c>
      <c r="C2788" t="s">
        <v>753</v>
      </c>
      <c r="D2788">
        <v>0.17</v>
      </c>
      <c r="E2788" t="s">
        <v>985</v>
      </c>
      <c r="F2788" t="s">
        <v>754</v>
      </c>
      <c r="G2788" t="s">
        <v>2837</v>
      </c>
      <c r="H2788" t="s">
        <v>31</v>
      </c>
      <c r="I2788" s="28" t="s">
        <v>27</v>
      </c>
    </row>
    <row r="2789" spans="1:9" x14ac:dyDescent="0.3">
      <c r="A2789" s="26">
        <v>45337</v>
      </c>
      <c r="B2789" t="s">
        <v>895</v>
      </c>
      <c r="C2789" t="s">
        <v>753</v>
      </c>
      <c r="D2789">
        <v>0.42</v>
      </c>
      <c r="E2789" t="s">
        <v>985</v>
      </c>
      <c r="F2789" t="s">
        <v>754</v>
      </c>
      <c r="G2789" t="s">
        <v>2838</v>
      </c>
      <c r="H2789" t="s">
        <v>31</v>
      </c>
      <c r="I2789" s="28" t="s">
        <v>27</v>
      </c>
    </row>
    <row r="2790" spans="1:9" x14ac:dyDescent="0.3">
      <c r="A2790" s="26">
        <v>45337</v>
      </c>
      <c r="B2790" t="s">
        <v>895</v>
      </c>
      <c r="C2790" t="s">
        <v>753</v>
      </c>
      <c r="D2790">
        <v>0.67</v>
      </c>
      <c r="E2790" t="s">
        <v>985</v>
      </c>
      <c r="F2790" t="s">
        <v>754</v>
      </c>
      <c r="G2790" t="s">
        <v>2839</v>
      </c>
      <c r="H2790" t="s">
        <v>31</v>
      </c>
      <c r="I2790" s="28" t="s">
        <v>27</v>
      </c>
    </row>
    <row r="2791" spans="1:9" x14ac:dyDescent="0.3">
      <c r="A2791" s="26">
        <v>45337</v>
      </c>
      <c r="B2791" t="s">
        <v>895</v>
      </c>
      <c r="C2791" t="s">
        <v>753</v>
      </c>
      <c r="D2791">
        <v>2.5299999999999998</v>
      </c>
      <c r="E2791" t="s">
        <v>757</v>
      </c>
      <c r="F2791" t="s">
        <v>772</v>
      </c>
      <c r="G2791" t="s">
        <v>2840</v>
      </c>
      <c r="H2791" t="s">
        <v>31</v>
      </c>
      <c r="I2791" s="28" t="s">
        <v>27</v>
      </c>
    </row>
    <row r="2792" spans="1:9" x14ac:dyDescent="0.3">
      <c r="A2792" s="26">
        <v>45337</v>
      </c>
      <c r="B2792" t="s">
        <v>895</v>
      </c>
      <c r="C2792" t="s">
        <v>771</v>
      </c>
      <c r="D2792">
        <v>0.25</v>
      </c>
      <c r="E2792" t="s">
        <v>7</v>
      </c>
      <c r="F2792" t="s">
        <v>772</v>
      </c>
      <c r="G2792" t="s">
        <v>2841</v>
      </c>
      <c r="H2792" t="s">
        <v>31</v>
      </c>
      <c r="I2792" s="28" t="s">
        <v>27</v>
      </c>
    </row>
    <row r="2793" spans="1:9" x14ac:dyDescent="0.3">
      <c r="A2793" s="26">
        <v>45337</v>
      </c>
      <c r="B2793" t="s">
        <v>895</v>
      </c>
      <c r="C2793" t="s">
        <v>771</v>
      </c>
      <c r="D2793">
        <v>0.27</v>
      </c>
      <c r="E2793" t="s">
        <v>7</v>
      </c>
      <c r="F2793" t="s">
        <v>772</v>
      </c>
      <c r="G2793" t="s">
        <v>2842</v>
      </c>
      <c r="H2793" t="s">
        <v>31</v>
      </c>
      <c r="I2793" s="28" t="s">
        <v>27</v>
      </c>
    </row>
    <row r="2794" spans="1:9" x14ac:dyDescent="0.3">
      <c r="A2794" s="26">
        <v>45337</v>
      </c>
      <c r="B2794" t="s">
        <v>895</v>
      </c>
      <c r="C2794" t="s">
        <v>771</v>
      </c>
      <c r="D2794">
        <v>0.33</v>
      </c>
      <c r="E2794" t="s">
        <v>7</v>
      </c>
      <c r="F2794" t="s">
        <v>772</v>
      </c>
      <c r="G2794" t="s">
        <v>2843</v>
      </c>
      <c r="H2794" t="s">
        <v>31</v>
      </c>
      <c r="I2794" s="28" t="s">
        <v>27</v>
      </c>
    </row>
    <row r="2795" spans="1:9" x14ac:dyDescent="0.3">
      <c r="A2795" s="26">
        <v>45337</v>
      </c>
      <c r="B2795" t="s">
        <v>895</v>
      </c>
      <c r="C2795" t="s">
        <v>771</v>
      </c>
      <c r="D2795">
        <v>0.37</v>
      </c>
      <c r="E2795" t="s">
        <v>7</v>
      </c>
      <c r="F2795" t="s">
        <v>772</v>
      </c>
      <c r="G2795" t="s">
        <v>760</v>
      </c>
      <c r="H2795" t="s">
        <v>31</v>
      </c>
      <c r="I2795" s="28" t="s">
        <v>27</v>
      </c>
    </row>
    <row r="2796" spans="1:9" x14ac:dyDescent="0.3">
      <c r="A2796" s="26">
        <v>45337</v>
      </c>
      <c r="B2796" t="s">
        <v>895</v>
      </c>
      <c r="C2796" t="s">
        <v>771</v>
      </c>
      <c r="D2796">
        <v>0.47</v>
      </c>
      <c r="E2796" t="s">
        <v>7</v>
      </c>
      <c r="F2796" t="s">
        <v>772</v>
      </c>
      <c r="G2796" t="s">
        <v>2844</v>
      </c>
      <c r="H2796" t="s">
        <v>31</v>
      </c>
      <c r="I2796" s="28" t="s">
        <v>27</v>
      </c>
    </row>
    <row r="2797" spans="1:9" x14ac:dyDescent="0.3">
      <c r="A2797" s="26">
        <v>45337</v>
      </c>
      <c r="B2797" t="s">
        <v>895</v>
      </c>
      <c r="C2797" t="s">
        <v>771</v>
      </c>
      <c r="D2797">
        <v>1.17</v>
      </c>
      <c r="E2797" t="s">
        <v>7</v>
      </c>
      <c r="F2797" t="s">
        <v>772</v>
      </c>
      <c r="G2797" t="s">
        <v>2845</v>
      </c>
      <c r="H2797" t="s">
        <v>31</v>
      </c>
      <c r="I2797" s="28" t="s">
        <v>27</v>
      </c>
    </row>
    <row r="2798" spans="1:9" x14ac:dyDescent="0.3">
      <c r="A2798" s="26">
        <v>45337</v>
      </c>
      <c r="B2798" t="s">
        <v>895</v>
      </c>
      <c r="C2798" t="s">
        <v>1441</v>
      </c>
      <c r="D2798">
        <v>0.1</v>
      </c>
      <c r="E2798" t="s">
        <v>2435</v>
      </c>
      <c r="F2798" t="s">
        <v>754</v>
      </c>
      <c r="G2798" t="s">
        <v>2846</v>
      </c>
      <c r="H2798" t="s">
        <v>31</v>
      </c>
      <c r="I2798" s="28" t="s">
        <v>27</v>
      </c>
    </row>
    <row r="2799" spans="1:9" x14ac:dyDescent="0.3">
      <c r="A2799" s="26">
        <v>45337</v>
      </c>
      <c r="B2799" t="s">
        <v>895</v>
      </c>
      <c r="C2799" t="s">
        <v>835</v>
      </c>
      <c r="D2799">
        <v>0.45</v>
      </c>
      <c r="E2799" t="s">
        <v>815</v>
      </c>
      <c r="F2799" t="s">
        <v>754</v>
      </c>
      <c r="G2799" t="s">
        <v>2847</v>
      </c>
      <c r="H2799" t="s">
        <v>31</v>
      </c>
      <c r="I2799" s="28" t="s">
        <v>27</v>
      </c>
    </row>
    <row r="2800" spans="1:9" x14ac:dyDescent="0.3">
      <c r="A2800" s="26">
        <v>45337</v>
      </c>
      <c r="B2800" t="s">
        <v>895</v>
      </c>
      <c r="C2800" t="s">
        <v>776</v>
      </c>
      <c r="D2800">
        <v>0.13</v>
      </c>
      <c r="E2800" t="s">
        <v>813</v>
      </c>
      <c r="F2800" t="s">
        <v>754</v>
      </c>
      <c r="G2800" t="s">
        <v>2848</v>
      </c>
      <c r="H2800" t="s">
        <v>31</v>
      </c>
      <c r="I2800" s="28" t="s">
        <v>27</v>
      </c>
    </row>
    <row r="2801" spans="1:9" x14ac:dyDescent="0.3">
      <c r="A2801" s="26">
        <v>45337</v>
      </c>
      <c r="B2801" t="s">
        <v>1391</v>
      </c>
      <c r="C2801" t="s">
        <v>1522</v>
      </c>
      <c r="D2801">
        <v>0.08</v>
      </c>
      <c r="E2801" t="s">
        <v>455</v>
      </c>
      <c r="F2801" t="s">
        <v>754</v>
      </c>
      <c r="G2801" t="s">
        <v>2849</v>
      </c>
      <c r="H2801" t="s">
        <v>31</v>
      </c>
      <c r="I2801" s="28" t="s">
        <v>27</v>
      </c>
    </row>
    <row r="2802" spans="1:9" x14ac:dyDescent="0.3">
      <c r="A2802" s="26">
        <v>45337</v>
      </c>
      <c r="B2802" t="s">
        <v>1391</v>
      </c>
      <c r="C2802" t="s">
        <v>1522</v>
      </c>
      <c r="D2802">
        <v>0.08</v>
      </c>
      <c r="E2802" t="s">
        <v>455</v>
      </c>
      <c r="F2802" t="s">
        <v>754</v>
      </c>
      <c r="G2802" t="s">
        <v>2850</v>
      </c>
      <c r="H2802" t="s">
        <v>31</v>
      </c>
      <c r="I2802" s="28" t="s">
        <v>27</v>
      </c>
    </row>
    <row r="2803" spans="1:9" x14ac:dyDescent="0.3">
      <c r="A2803" s="26">
        <v>45337</v>
      </c>
      <c r="B2803" t="s">
        <v>1391</v>
      </c>
      <c r="C2803" t="s">
        <v>1094</v>
      </c>
      <c r="D2803">
        <v>0.08</v>
      </c>
      <c r="E2803" t="s">
        <v>455</v>
      </c>
      <c r="F2803" t="s">
        <v>754</v>
      </c>
      <c r="G2803" t="s">
        <v>2672</v>
      </c>
      <c r="H2803" t="s">
        <v>31</v>
      </c>
      <c r="I2803" s="28" t="s">
        <v>27</v>
      </c>
    </row>
    <row r="2804" spans="1:9" x14ac:dyDescent="0.3">
      <c r="A2804" s="26">
        <v>45337</v>
      </c>
      <c r="B2804" t="s">
        <v>1391</v>
      </c>
      <c r="C2804" t="s">
        <v>1094</v>
      </c>
      <c r="D2804">
        <v>0.08</v>
      </c>
      <c r="E2804" t="s">
        <v>455</v>
      </c>
      <c r="F2804" t="s">
        <v>754</v>
      </c>
      <c r="G2804" t="s">
        <v>2851</v>
      </c>
      <c r="H2804" t="s">
        <v>31</v>
      </c>
      <c r="I2804" s="28" t="s">
        <v>27</v>
      </c>
    </row>
    <row r="2805" spans="1:9" x14ac:dyDescent="0.3">
      <c r="A2805" s="26">
        <v>45337</v>
      </c>
      <c r="B2805" t="s">
        <v>1391</v>
      </c>
      <c r="C2805" t="s">
        <v>1094</v>
      </c>
      <c r="D2805">
        <v>0.17</v>
      </c>
      <c r="E2805" t="s">
        <v>455</v>
      </c>
      <c r="F2805" t="s">
        <v>754</v>
      </c>
      <c r="G2805" t="s">
        <v>2852</v>
      </c>
      <c r="H2805" t="s">
        <v>31</v>
      </c>
      <c r="I2805" s="28" t="s">
        <v>27</v>
      </c>
    </row>
    <row r="2806" spans="1:9" x14ac:dyDescent="0.3">
      <c r="A2806" s="26">
        <v>45337</v>
      </c>
      <c r="B2806" t="s">
        <v>1391</v>
      </c>
      <c r="C2806" t="s">
        <v>1094</v>
      </c>
      <c r="D2806">
        <v>0.5</v>
      </c>
      <c r="E2806" t="s">
        <v>455</v>
      </c>
      <c r="F2806" t="s">
        <v>754</v>
      </c>
      <c r="G2806" t="s">
        <v>2853</v>
      </c>
      <c r="H2806" t="s">
        <v>31</v>
      </c>
      <c r="I2806" s="28" t="s">
        <v>27</v>
      </c>
    </row>
    <row r="2807" spans="1:9" x14ac:dyDescent="0.3">
      <c r="A2807" s="26">
        <v>45337</v>
      </c>
      <c r="B2807" t="s">
        <v>929</v>
      </c>
      <c r="C2807" t="s">
        <v>789</v>
      </c>
      <c r="D2807">
        <v>0.08</v>
      </c>
      <c r="E2807" t="s">
        <v>7</v>
      </c>
      <c r="F2807" t="s">
        <v>772</v>
      </c>
      <c r="G2807" t="s">
        <v>2854</v>
      </c>
      <c r="H2807" t="s">
        <v>31</v>
      </c>
      <c r="I2807" s="28" t="s">
        <v>27</v>
      </c>
    </row>
    <row r="2808" spans="1:9" x14ac:dyDescent="0.3">
      <c r="A2808" s="26">
        <v>45337</v>
      </c>
      <c r="B2808" t="s">
        <v>929</v>
      </c>
      <c r="C2808" t="s">
        <v>771</v>
      </c>
      <c r="D2808">
        <v>0.13</v>
      </c>
      <c r="E2808" t="s">
        <v>7</v>
      </c>
      <c r="F2808" t="s">
        <v>772</v>
      </c>
      <c r="G2808" t="s">
        <v>1404</v>
      </c>
      <c r="H2808" t="s">
        <v>31</v>
      </c>
      <c r="I2808" s="28" t="s">
        <v>27</v>
      </c>
    </row>
    <row r="2809" spans="1:9" x14ac:dyDescent="0.3">
      <c r="A2809" s="26">
        <v>45337</v>
      </c>
      <c r="B2809" t="s">
        <v>929</v>
      </c>
      <c r="C2809" t="s">
        <v>771</v>
      </c>
      <c r="D2809">
        <v>0.25</v>
      </c>
      <c r="E2809" t="s">
        <v>999</v>
      </c>
      <c r="F2809" t="s">
        <v>772</v>
      </c>
      <c r="G2809" t="s">
        <v>2053</v>
      </c>
      <c r="H2809" t="s">
        <v>31</v>
      </c>
      <c r="I2809" s="28" t="s">
        <v>27</v>
      </c>
    </row>
    <row r="2810" spans="1:9" x14ac:dyDescent="0.3">
      <c r="A2810" s="26">
        <v>45337</v>
      </c>
      <c r="B2810" t="s">
        <v>929</v>
      </c>
      <c r="C2810" t="s">
        <v>771</v>
      </c>
      <c r="D2810">
        <v>0.25</v>
      </c>
      <c r="E2810" t="s">
        <v>7</v>
      </c>
      <c r="F2810" t="s">
        <v>772</v>
      </c>
      <c r="G2810" t="s">
        <v>2054</v>
      </c>
      <c r="H2810" t="s">
        <v>31</v>
      </c>
      <c r="I2810" s="28" t="s">
        <v>27</v>
      </c>
    </row>
    <row r="2811" spans="1:9" x14ac:dyDescent="0.3">
      <c r="A2811" s="26">
        <v>45337</v>
      </c>
      <c r="B2811" t="s">
        <v>929</v>
      </c>
      <c r="C2811" t="s">
        <v>771</v>
      </c>
      <c r="D2811">
        <v>0.55000000000000004</v>
      </c>
      <c r="E2811" t="s">
        <v>7</v>
      </c>
      <c r="F2811" t="s">
        <v>772</v>
      </c>
      <c r="G2811" t="s">
        <v>2855</v>
      </c>
      <c r="H2811" t="s">
        <v>31</v>
      </c>
      <c r="I2811" s="28" t="s">
        <v>27</v>
      </c>
    </row>
    <row r="2812" spans="1:9" x14ac:dyDescent="0.3">
      <c r="A2812" s="26">
        <v>45337</v>
      </c>
      <c r="B2812" t="s">
        <v>929</v>
      </c>
      <c r="C2812" t="s">
        <v>1068</v>
      </c>
      <c r="D2812">
        <v>0.18</v>
      </c>
      <c r="E2812" t="s">
        <v>1096</v>
      </c>
      <c r="F2812" t="s">
        <v>754</v>
      </c>
      <c r="G2812" t="s">
        <v>2856</v>
      </c>
      <c r="H2812" t="s">
        <v>31</v>
      </c>
      <c r="I2812" s="28" t="s">
        <v>27</v>
      </c>
    </row>
    <row r="2813" spans="1:9" x14ac:dyDescent="0.3">
      <c r="A2813" s="26">
        <v>45337</v>
      </c>
      <c r="B2813" t="s">
        <v>929</v>
      </c>
      <c r="C2813" t="s">
        <v>1068</v>
      </c>
      <c r="D2813">
        <v>0.18</v>
      </c>
      <c r="E2813" t="s">
        <v>2435</v>
      </c>
      <c r="F2813" t="s">
        <v>754</v>
      </c>
      <c r="G2813" t="s">
        <v>2857</v>
      </c>
      <c r="H2813" t="s">
        <v>31</v>
      </c>
      <c r="I2813" s="28" t="s">
        <v>27</v>
      </c>
    </row>
    <row r="2814" spans="1:9" x14ac:dyDescent="0.3">
      <c r="A2814" s="26">
        <v>45337</v>
      </c>
      <c r="B2814" t="s">
        <v>929</v>
      </c>
      <c r="C2814" t="s">
        <v>1068</v>
      </c>
      <c r="D2814">
        <v>1.3</v>
      </c>
      <c r="E2814" t="s">
        <v>2435</v>
      </c>
      <c r="F2814" t="s">
        <v>754</v>
      </c>
      <c r="G2814" t="s">
        <v>2858</v>
      </c>
      <c r="H2814" t="s">
        <v>31</v>
      </c>
      <c r="I2814" s="28" t="s">
        <v>27</v>
      </c>
    </row>
    <row r="2815" spans="1:9" x14ac:dyDescent="0.3">
      <c r="A2815" s="26">
        <v>45337</v>
      </c>
      <c r="B2815" t="s">
        <v>929</v>
      </c>
      <c r="C2815" t="s">
        <v>1441</v>
      </c>
      <c r="D2815">
        <v>0.1</v>
      </c>
      <c r="E2815" t="s">
        <v>2435</v>
      </c>
      <c r="F2815" t="s">
        <v>754</v>
      </c>
      <c r="G2815" t="s">
        <v>2859</v>
      </c>
      <c r="H2815" t="s">
        <v>31</v>
      </c>
      <c r="I2815" s="28" t="s">
        <v>27</v>
      </c>
    </row>
    <row r="2816" spans="1:9" x14ac:dyDescent="0.3">
      <c r="A2816" s="26">
        <v>45337</v>
      </c>
      <c r="B2816" t="s">
        <v>929</v>
      </c>
      <c r="C2816" t="s">
        <v>1441</v>
      </c>
      <c r="D2816">
        <v>0.12</v>
      </c>
      <c r="E2816" t="s">
        <v>898</v>
      </c>
      <c r="F2816" t="s">
        <v>772</v>
      </c>
      <c r="G2816" t="s">
        <v>2860</v>
      </c>
      <c r="H2816" t="s">
        <v>31</v>
      </c>
      <c r="I2816" s="28" t="s">
        <v>27</v>
      </c>
    </row>
    <row r="2817" spans="1:9" x14ac:dyDescent="0.3">
      <c r="A2817" s="26">
        <v>45337</v>
      </c>
      <c r="B2817" t="s">
        <v>929</v>
      </c>
      <c r="C2817" t="s">
        <v>1441</v>
      </c>
      <c r="D2817">
        <v>0.2</v>
      </c>
      <c r="E2817" t="s">
        <v>827</v>
      </c>
      <c r="F2817" t="s">
        <v>772</v>
      </c>
      <c r="G2817" t="s">
        <v>2861</v>
      </c>
      <c r="H2817" t="s">
        <v>31</v>
      </c>
      <c r="I2817" s="28" t="s">
        <v>27</v>
      </c>
    </row>
    <row r="2818" spans="1:9" x14ac:dyDescent="0.3">
      <c r="A2818" s="26">
        <v>45337</v>
      </c>
      <c r="B2818" t="s">
        <v>929</v>
      </c>
      <c r="C2818" t="s">
        <v>1441</v>
      </c>
      <c r="D2818">
        <v>0.23</v>
      </c>
      <c r="E2818" t="s">
        <v>898</v>
      </c>
      <c r="F2818" t="s">
        <v>772</v>
      </c>
      <c r="G2818" t="s">
        <v>2862</v>
      </c>
      <c r="H2818" t="s">
        <v>31</v>
      </c>
      <c r="I2818" s="28" t="s">
        <v>27</v>
      </c>
    </row>
    <row r="2819" spans="1:9" x14ac:dyDescent="0.3">
      <c r="A2819" s="26">
        <v>45337</v>
      </c>
      <c r="B2819" t="s">
        <v>929</v>
      </c>
      <c r="C2819" t="s">
        <v>1441</v>
      </c>
      <c r="D2819">
        <v>0.42</v>
      </c>
      <c r="E2819" t="s">
        <v>1046</v>
      </c>
      <c r="F2819" t="s">
        <v>772</v>
      </c>
      <c r="G2819" t="s">
        <v>2863</v>
      </c>
      <c r="H2819" t="s">
        <v>31</v>
      </c>
      <c r="I2819" s="28" t="s">
        <v>27</v>
      </c>
    </row>
    <row r="2820" spans="1:9" x14ac:dyDescent="0.3">
      <c r="A2820" s="26">
        <v>45337</v>
      </c>
      <c r="B2820" t="s">
        <v>929</v>
      </c>
      <c r="C2820" t="s">
        <v>1441</v>
      </c>
      <c r="D2820">
        <v>0.57999999999999996</v>
      </c>
      <c r="E2820" t="s">
        <v>827</v>
      </c>
      <c r="F2820" t="s">
        <v>754</v>
      </c>
      <c r="G2820" t="s">
        <v>2864</v>
      </c>
      <c r="H2820" t="s">
        <v>31</v>
      </c>
      <c r="I2820" s="28" t="s">
        <v>27</v>
      </c>
    </row>
    <row r="2821" spans="1:9" x14ac:dyDescent="0.3">
      <c r="A2821" s="26">
        <v>45337</v>
      </c>
      <c r="B2821" t="s">
        <v>929</v>
      </c>
      <c r="C2821" t="s">
        <v>1441</v>
      </c>
      <c r="D2821">
        <v>0.98</v>
      </c>
      <c r="E2821" t="s">
        <v>1046</v>
      </c>
      <c r="F2821" t="s">
        <v>754</v>
      </c>
      <c r="G2821" t="s">
        <v>2865</v>
      </c>
      <c r="H2821" t="s">
        <v>31</v>
      </c>
      <c r="I2821" s="28" t="s">
        <v>27</v>
      </c>
    </row>
    <row r="2822" spans="1:9" x14ac:dyDescent="0.3">
      <c r="A2822" s="26">
        <v>45337</v>
      </c>
      <c r="B2822" t="s">
        <v>929</v>
      </c>
      <c r="C2822" t="s">
        <v>1441</v>
      </c>
      <c r="D2822">
        <v>1.37</v>
      </c>
      <c r="E2822" t="s">
        <v>2435</v>
      </c>
      <c r="F2822" t="s">
        <v>754</v>
      </c>
      <c r="G2822" t="s">
        <v>2866</v>
      </c>
      <c r="H2822" t="s">
        <v>31</v>
      </c>
      <c r="I2822" s="28" t="s">
        <v>27</v>
      </c>
    </row>
    <row r="2823" spans="1:9" x14ac:dyDescent="0.3">
      <c r="A2823" s="26">
        <v>45337</v>
      </c>
      <c r="B2823" t="s">
        <v>929</v>
      </c>
      <c r="C2823" t="s">
        <v>916</v>
      </c>
      <c r="D2823">
        <v>0.18</v>
      </c>
      <c r="E2823" t="s">
        <v>2867</v>
      </c>
      <c r="F2823" t="s">
        <v>754</v>
      </c>
      <c r="G2823" t="s">
        <v>2868</v>
      </c>
      <c r="H2823" t="s">
        <v>31</v>
      </c>
      <c r="I2823" s="28" t="s">
        <v>27</v>
      </c>
    </row>
    <row r="2824" spans="1:9" x14ac:dyDescent="0.3">
      <c r="A2824" s="26">
        <v>45337</v>
      </c>
      <c r="B2824" t="s">
        <v>929</v>
      </c>
      <c r="C2824" t="s">
        <v>916</v>
      </c>
      <c r="D2824">
        <v>0.48</v>
      </c>
      <c r="E2824" t="s">
        <v>713</v>
      </c>
      <c r="F2824" t="s">
        <v>754</v>
      </c>
      <c r="G2824" t="s">
        <v>2869</v>
      </c>
      <c r="H2824" t="s">
        <v>31</v>
      </c>
      <c r="I2824" s="28" t="s">
        <v>27</v>
      </c>
    </row>
    <row r="2825" spans="1:9" x14ac:dyDescent="0.3">
      <c r="A2825" s="26">
        <v>45337</v>
      </c>
      <c r="B2825" t="s">
        <v>929</v>
      </c>
      <c r="C2825" t="s">
        <v>916</v>
      </c>
      <c r="D2825">
        <v>0.48</v>
      </c>
      <c r="E2825" t="s">
        <v>630</v>
      </c>
      <c r="F2825" t="s">
        <v>754</v>
      </c>
      <c r="G2825" t="s">
        <v>2493</v>
      </c>
      <c r="H2825" t="s">
        <v>31</v>
      </c>
      <c r="I2825" s="28" t="s">
        <v>27</v>
      </c>
    </row>
    <row r="2826" spans="1:9" x14ac:dyDescent="0.3">
      <c r="A2826" s="26">
        <v>45337</v>
      </c>
      <c r="B2826" t="s">
        <v>929</v>
      </c>
      <c r="C2826" t="s">
        <v>957</v>
      </c>
      <c r="D2826">
        <v>0.15</v>
      </c>
      <c r="E2826" t="s">
        <v>7</v>
      </c>
      <c r="F2826" t="s">
        <v>772</v>
      </c>
      <c r="G2826" t="s">
        <v>2870</v>
      </c>
      <c r="H2826" t="s">
        <v>31</v>
      </c>
      <c r="I2826" s="28" t="s">
        <v>27</v>
      </c>
    </row>
    <row r="2827" spans="1:9" x14ac:dyDescent="0.3">
      <c r="A2827" s="26">
        <v>45337</v>
      </c>
      <c r="B2827" t="s">
        <v>959</v>
      </c>
      <c r="C2827" t="s">
        <v>874</v>
      </c>
      <c r="D2827">
        <v>0.5</v>
      </c>
      <c r="E2827" t="s">
        <v>7</v>
      </c>
      <c r="F2827" t="s">
        <v>772</v>
      </c>
      <c r="G2827" t="s">
        <v>2871</v>
      </c>
      <c r="H2827" t="s">
        <v>31</v>
      </c>
      <c r="I2827" s="28" t="s">
        <v>27</v>
      </c>
    </row>
    <row r="2828" spans="1:9" x14ac:dyDescent="0.3">
      <c r="A2828" s="26">
        <v>45337</v>
      </c>
      <c r="B2828" t="s">
        <v>959</v>
      </c>
      <c r="C2828" t="s">
        <v>878</v>
      </c>
      <c r="D2828">
        <v>7.5</v>
      </c>
      <c r="E2828" t="s">
        <v>430</v>
      </c>
      <c r="F2828" t="s">
        <v>754</v>
      </c>
      <c r="G2828" t="s">
        <v>2872</v>
      </c>
      <c r="H2828" t="s">
        <v>31</v>
      </c>
      <c r="I2828" s="28" t="s">
        <v>27</v>
      </c>
    </row>
    <row r="2829" spans="1:9" x14ac:dyDescent="0.3">
      <c r="A2829" s="26">
        <v>45337</v>
      </c>
      <c r="B2829" t="s">
        <v>961</v>
      </c>
      <c r="C2829" t="s">
        <v>753</v>
      </c>
      <c r="D2829">
        <v>0.27</v>
      </c>
      <c r="E2829" t="s">
        <v>585</v>
      </c>
      <c r="F2829" t="s">
        <v>754</v>
      </c>
      <c r="H2829" t="s">
        <v>31</v>
      </c>
      <c r="I2829" s="28" t="s">
        <v>27</v>
      </c>
    </row>
    <row r="2830" spans="1:9" x14ac:dyDescent="0.3">
      <c r="A2830" s="26">
        <v>45337</v>
      </c>
      <c r="B2830" t="s">
        <v>961</v>
      </c>
      <c r="C2830" t="s">
        <v>753</v>
      </c>
      <c r="D2830">
        <v>3.2</v>
      </c>
      <c r="E2830" t="s">
        <v>790</v>
      </c>
      <c r="F2830" t="s">
        <v>754</v>
      </c>
      <c r="H2830" t="s">
        <v>31</v>
      </c>
      <c r="I2830" s="28" t="s">
        <v>27</v>
      </c>
    </row>
    <row r="2831" spans="1:9" x14ac:dyDescent="0.3">
      <c r="A2831" s="26">
        <v>45337</v>
      </c>
      <c r="B2831" t="s">
        <v>961</v>
      </c>
      <c r="C2831" t="s">
        <v>753</v>
      </c>
      <c r="D2831">
        <v>3.3</v>
      </c>
      <c r="E2831" t="s">
        <v>790</v>
      </c>
      <c r="F2831" t="s">
        <v>754</v>
      </c>
      <c r="G2831" t="s">
        <v>2873</v>
      </c>
      <c r="H2831" t="s">
        <v>31</v>
      </c>
      <c r="I2831" s="28" t="s">
        <v>27</v>
      </c>
    </row>
    <row r="2832" spans="1:9" x14ac:dyDescent="0.3">
      <c r="A2832" s="26">
        <v>45337</v>
      </c>
      <c r="B2832" t="s">
        <v>961</v>
      </c>
      <c r="C2832" t="s">
        <v>771</v>
      </c>
      <c r="D2832">
        <v>0.3</v>
      </c>
      <c r="E2832" t="s">
        <v>7</v>
      </c>
      <c r="F2832" t="s">
        <v>772</v>
      </c>
      <c r="G2832" t="s">
        <v>2874</v>
      </c>
      <c r="H2832" t="s">
        <v>31</v>
      </c>
      <c r="I2832" s="28" t="s">
        <v>27</v>
      </c>
    </row>
    <row r="2833" spans="1:9" x14ac:dyDescent="0.3">
      <c r="A2833" s="26">
        <v>45337</v>
      </c>
      <c r="B2833" t="s">
        <v>961</v>
      </c>
      <c r="C2833" t="s">
        <v>982</v>
      </c>
      <c r="D2833">
        <v>0.7</v>
      </c>
      <c r="E2833" t="s">
        <v>7</v>
      </c>
      <c r="F2833" t="s">
        <v>772</v>
      </c>
      <c r="G2833" t="s">
        <v>2875</v>
      </c>
      <c r="H2833" t="s">
        <v>31</v>
      </c>
      <c r="I2833" s="28" t="s">
        <v>27</v>
      </c>
    </row>
    <row r="2834" spans="1:9" x14ac:dyDescent="0.3">
      <c r="A2834" s="26">
        <v>45337</v>
      </c>
      <c r="B2834" t="s">
        <v>961</v>
      </c>
      <c r="C2834" t="s">
        <v>776</v>
      </c>
      <c r="D2834">
        <v>0.43</v>
      </c>
      <c r="E2834" t="s">
        <v>655</v>
      </c>
      <c r="F2834" t="s">
        <v>754</v>
      </c>
      <c r="H2834" t="s">
        <v>31</v>
      </c>
      <c r="I2834" s="28" t="s">
        <v>27</v>
      </c>
    </row>
    <row r="2835" spans="1:9" x14ac:dyDescent="0.3">
      <c r="A2835" s="26">
        <v>45337</v>
      </c>
      <c r="B2835" t="s">
        <v>966</v>
      </c>
      <c r="C2835" t="s">
        <v>970</v>
      </c>
      <c r="D2835">
        <v>3.83</v>
      </c>
      <c r="E2835" t="s">
        <v>790</v>
      </c>
      <c r="F2835" t="s">
        <v>772</v>
      </c>
      <c r="G2835" t="s">
        <v>2698</v>
      </c>
      <c r="H2835" t="s">
        <v>31</v>
      </c>
      <c r="I2835" s="28" t="s">
        <v>27</v>
      </c>
    </row>
    <row r="2836" spans="1:9" x14ac:dyDescent="0.3">
      <c r="A2836" s="26">
        <v>45337</v>
      </c>
      <c r="B2836" t="s">
        <v>966</v>
      </c>
      <c r="C2836" t="s">
        <v>967</v>
      </c>
      <c r="D2836">
        <v>0.67</v>
      </c>
      <c r="E2836" t="s">
        <v>7</v>
      </c>
      <c r="F2836" t="s">
        <v>754</v>
      </c>
      <c r="H2836" t="s">
        <v>31</v>
      </c>
      <c r="I2836" s="28" t="s">
        <v>27</v>
      </c>
    </row>
    <row r="2837" spans="1:9" x14ac:dyDescent="0.3">
      <c r="A2837" s="26">
        <v>45337</v>
      </c>
      <c r="B2837" t="s">
        <v>966</v>
      </c>
      <c r="C2837" t="s">
        <v>967</v>
      </c>
      <c r="D2837">
        <v>3.5</v>
      </c>
      <c r="E2837" t="s">
        <v>790</v>
      </c>
      <c r="F2837" t="s">
        <v>754</v>
      </c>
      <c r="H2837" t="s">
        <v>31</v>
      </c>
      <c r="I2837" s="28" t="s">
        <v>27</v>
      </c>
    </row>
    <row r="2838" spans="1:9" x14ac:dyDescent="0.3">
      <c r="A2838" s="26">
        <v>45337</v>
      </c>
      <c r="B2838" t="s">
        <v>969</v>
      </c>
      <c r="C2838" t="s">
        <v>789</v>
      </c>
      <c r="D2838">
        <v>0.38</v>
      </c>
      <c r="E2838" t="s">
        <v>7</v>
      </c>
      <c r="F2838" t="s">
        <v>772</v>
      </c>
      <c r="G2838" t="s">
        <v>1012</v>
      </c>
      <c r="H2838" t="s">
        <v>31</v>
      </c>
      <c r="I2838" s="28" t="s">
        <v>27</v>
      </c>
    </row>
    <row r="2839" spans="1:9" x14ac:dyDescent="0.3">
      <c r="A2839" s="26">
        <v>45337</v>
      </c>
      <c r="B2839" t="s">
        <v>969</v>
      </c>
      <c r="C2839" t="s">
        <v>789</v>
      </c>
      <c r="D2839">
        <v>2.0499999999999998</v>
      </c>
      <c r="E2839" t="s">
        <v>7</v>
      </c>
      <c r="F2839" t="s">
        <v>772</v>
      </c>
      <c r="G2839" t="s">
        <v>2876</v>
      </c>
      <c r="H2839" t="s">
        <v>31</v>
      </c>
      <c r="I2839" s="28" t="s">
        <v>27</v>
      </c>
    </row>
    <row r="2840" spans="1:9" x14ac:dyDescent="0.3">
      <c r="A2840" s="26">
        <v>45337</v>
      </c>
      <c r="B2840" t="s">
        <v>969</v>
      </c>
      <c r="C2840" t="s">
        <v>789</v>
      </c>
      <c r="D2840">
        <v>2.27</v>
      </c>
      <c r="E2840" t="s">
        <v>790</v>
      </c>
      <c r="F2840" t="s">
        <v>772</v>
      </c>
      <c r="G2840" t="s">
        <v>2877</v>
      </c>
      <c r="H2840" t="s">
        <v>31</v>
      </c>
      <c r="I2840" s="28" t="s">
        <v>27</v>
      </c>
    </row>
    <row r="2841" spans="1:9" x14ac:dyDescent="0.3">
      <c r="A2841" s="26">
        <v>45337</v>
      </c>
      <c r="B2841" t="s">
        <v>969</v>
      </c>
      <c r="C2841" t="s">
        <v>835</v>
      </c>
      <c r="D2841">
        <v>2</v>
      </c>
      <c r="E2841" t="s">
        <v>790</v>
      </c>
      <c r="F2841" t="s">
        <v>754</v>
      </c>
      <c r="G2841" t="s">
        <v>2878</v>
      </c>
      <c r="H2841" t="s">
        <v>31</v>
      </c>
      <c r="I2841" s="28" t="s">
        <v>27</v>
      </c>
    </row>
    <row r="2842" spans="1:9" x14ac:dyDescent="0.3">
      <c r="A2842" s="26">
        <v>45337</v>
      </c>
      <c r="B2842" t="s">
        <v>969</v>
      </c>
      <c r="C2842" t="s">
        <v>835</v>
      </c>
      <c r="D2842">
        <v>2.92</v>
      </c>
      <c r="E2842" t="s">
        <v>790</v>
      </c>
      <c r="F2842" t="s">
        <v>754</v>
      </c>
      <c r="G2842" t="s">
        <v>2879</v>
      </c>
      <c r="H2842" t="s">
        <v>31</v>
      </c>
      <c r="I2842" s="28" t="s">
        <v>27</v>
      </c>
    </row>
    <row r="2843" spans="1:9" x14ac:dyDescent="0.3">
      <c r="A2843" s="26">
        <v>45337</v>
      </c>
      <c r="B2843" t="s">
        <v>977</v>
      </c>
      <c r="C2843" t="s">
        <v>753</v>
      </c>
      <c r="D2843">
        <v>1.08</v>
      </c>
      <c r="E2843" t="s">
        <v>978</v>
      </c>
      <c r="F2843" t="s">
        <v>754</v>
      </c>
      <c r="G2843" t="s">
        <v>2880</v>
      </c>
      <c r="H2843" t="s">
        <v>31</v>
      </c>
      <c r="I2843" s="28" t="s">
        <v>27</v>
      </c>
    </row>
    <row r="2844" spans="1:9" x14ac:dyDescent="0.3">
      <c r="A2844" s="26">
        <v>45337</v>
      </c>
      <c r="B2844" t="s">
        <v>977</v>
      </c>
      <c r="C2844" t="s">
        <v>753</v>
      </c>
      <c r="D2844">
        <v>1.68</v>
      </c>
      <c r="E2844" t="s">
        <v>978</v>
      </c>
      <c r="F2844" t="s">
        <v>754</v>
      </c>
      <c r="G2844" t="s">
        <v>2881</v>
      </c>
      <c r="H2844" t="s">
        <v>31</v>
      </c>
      <c r="I2844" s="28" t="s">
        <v>27</v>
      </c>
    </row>
    <row r="2845" spans="1:9" x14ac:dyDescent="0.3">
      <c r="A2845" s="26">
        <v>45337</v>
      </c>
      <c r="B2845" t="s">
        <v>977</v>
      </c>
      <c r="C2845" t="s">
        <v>753</v>
      </c>
      <c r="D2845">
        <v>4.7300000000000004</v>
      </c>
      <c r="E2845" t="s">
        <v>978</v>
      </c>
      <c r="F2845" t="s">
        <v>754</v>
      </c>
      <c r="G2845" t="s">
        <v>2882</v>
      </c>
      <c r="H2845" t="s">
        <v>31</v>
      </c>
      <c r="I2845" s="28" t="s">
        <v>27</v>
      </c>
    </row>
    <row r="2846" spans="1:9" x14ac:dyDescent="0.3">
      <c r="A2846" s="26">
        <v>45337</v>
      </c>
      <c r="B2846" t="s">
        <v>977</v>
      </c>
      <c r="C2846" t="s">
        <v>771</v>
      </c>
      <c r="D2846">
        <v>0.5</v>
      </c>
      <c r="E2846" t="s">
        <v>7</v>
      </c>
      <c r="F2846" t="s">
        <v>772</v>
      </c>
      <c r="H2846" t="s">
        <v>31</v>
      </c>
      <c r="I2846" s="28" t="s">
        <v>27</v>
      </c>
    </row>
    <row r="2847" spans="1:9" x14ac:dyDescent="0.3">
      <c r="A2847" s="26">
        <v>45337</v>
      </c>
      <c r="B2847" t="s">
        <v>981</v>
      </c>
      <c r="C2847" t="s">
        <v>982</v>
      </c>
      <c r="D2847">
        <v>9</v>
      </c>
      <c r="E2847" t="s">
        <v>7</v>
      </c>
      <c r="F2847" t="s">
        <v>772</v>
      </c>
      <c r="G2847" t="s">
        <v>983</v>
      </c>
      <c r="H2847" t="s">
        <v>31</v>
      </c>
      <c r="I2847" s="28" t="s">
        <v>27</v>
      </c>
    </row>
    <row r="2848" spans="1:9" x14ac:dyDescent="0.3">
      <c r="A2848" s="26">
        <v>45337</v>
      </c>
      <c r="B2848" t="s">
        <v>984</v>
      </c>
      <c r="C2848" t="s">
        <v>753</v>
      </c>
      <c r="D2848">
        <v>1.3</v>
      </c>
      <c r="E2848" t="s">
        <v>903</v>
      </c>
      <c r="F2848" t="s">
        <v>754</v>
      </c>
      <c r="G2848" t="s">
        <v>2883</v>
      </c>
      <c r="H2848" t="s">
        <v>31</v>
      </c>
      <c r="I2848" s="28" t="s">
        <v>27</v>
      </c>
    </row>
    <row r="2849" spans="1:9" x14ac:dyDescent="0.3">
      <c r="A2849" s="26">
        <v>45337</v>
      </c>
      <c r="B2849" t="s">
        <v>984</v>
      </c>
      <c r="C2849" t="s">
        <v>753</v>
      </c>
      <c r="D2849">
        <v>1.82</v>
      </c>
      <c r="E2849" t="s">
        <v>13</v>
      </c>
      <c r="F2849" t="s">
        <v>754</v>
      </c>
      <c r="H2849" t="s">
        <v>31</v>
      </c>
      <c r="I2849" s="28" t="s">
        <v>27</v>
      </c>
    </row>
    <row r="2850" spans="1:9" x14ac:dyDescent="0.3">
      <c r="A2850" s="26">
        <v>45337</v>
      </c>
      <c r="B2850" t="s">
        <v>984</v>
      </c>
      <c r="C2850" t="s">
        <v>753</v>
      </c>
      <c r="D2850">
        <v>3.8</v>
      </c>
      <c r="E2850" t="s">
        <v>13</v>
      </c>
      <c r="F2850" t="s">
        <v>754</v>
      </c>
      <c r="G2850" t="s">
        <v>2884</v>
      </c>
      <c r="H2850" t="s">
        <v>31</v>
      </c>
      <c r="I2850" s="28" t="s">
        <v>27</v>
      </c>
    </row>
    <row r="2851" spans="1:9" x14ac:dyDescent="0.3">
      <c r="A2851" s="26">
        <v>45337</v>
      </c>
      <c r="B2851" t="s">
        <v>984</v>
      </c>
      <c r="C2851" t="s">
        <v>776</v>
      </c>
      <c r="D2851">
        <v>1.2</v>
      </c>
      <c r="E2851" t="s">
        <v>602</v>
      </c>
      <c r="F2851" t="s">
        <v>754</v>
      </c>
      <c r="G2851" t="s">
        <v>2885</v>
      </c>
      <c r="H2851" t="s">
        <v>31</v>
      </c>
      <c r="I2851" s="28" t="s">
        <v>27</v>
      </c>
    </row>
    <row r="2852" spans="1:9" x14ac:dyDescent="0.3">
      <c r="A2852" s="26">
        <v>45337</v>
      </c>
      <c r="B2852" t="s">
        <v>991</v>
      </c>
      <c r="C2852" t="s">
        <v>992</v>
      </c>
      <c r="D2852">
        <v>0.85</v>
      </c>
      <c r="E2852" t="s">
        <v>999</v>
      </c>
      <c r="F2852" t="s">
        <v>772</v>
      </c>
      <c r="G2852" t="s">
        <v>1000</v>
      </c>
      <c r="H2852" t="s">
        <v>31</v>
      </c>
      <c r="I2852" s="28" t="s">
        <v>27</v>
      </c>
    </row>
    <row r="2853" spans="1:9" x14ac:dyDescent="0.3">
      <c r="A2853" s="26">
        <v>45337</v>
      </c>
      <c r="B2853" t="s">
        <v>991</v>
      </c>
      <c r="C2853" t="s">
        <v>992</v>
      </c>
      <c r="D2853">
        <v>0.93</v>
      </c>
      <c r="E2853" t="s">
        <v>7</v>
      </c>
      <c r="F2853" t="s">
        <v>772</v>
      </c>
      <c r="G2853" t="s">
        <v>2886</v>
      </c>
      <c r="H2853" t="s">
        <v>31</v>
      </c>
      <c r="I2853" s="28" t="s">
        <v>27</v>
      </c>
    </row>
    <row r="2854" spans="1:9" x14ac:dyDescent="0.3">
      <c r="A2854" s="26">
        <v>45337</v>
      </c>
      <c r="B2854" t="s">
        <v>991</v>
      </c>
      <c r="C2854" t="s">
        <v>992</v>
      </c>
      <c r="D2854">
        <v>1.07</v>
      </c>
      <c r="E2854" t="s">
        <v>7</v>
      </c>
      <c r="F2854" t="s">
        <v>772</v>
      </c>
      <c r="G2854" t="s">
        <v>2887</v>
      </c>
      <c r="H2854" t="s">
        <v>31</v>
      </c>
      <c r="I2854" s="28" t="s">
        <v>27</v>
      </c>
    </row>
    <row r="2855" spans="1:9" x14ac:dyDescent="0.3">
      <c r="A2855" s="26">
        <v>45337</v>
      </c>
      <c r="B2855" t="s">
        <v>991</v>
      </c>
      <c r="C2855" t="s">
        <v>992</v>
      </c>
      <c r="D2855">
        <v>1.1299999999999999</v>
      </c>
      <c r="E2855" t="s">
        <v>7</v>
      </c>
      <c r="F2855" t="s">
        <v>772</v>
      </c>
      <c r="G2855" t="s">
        <v>2888</v>
      </c>
      <c r="H2855" t="s">
        <v>31</v>
      </c>
      <c r="I2855" s="28" t="s">
        <v>27</v>
      </c>
    </row>
    <row r="2856" spans="1:9" x14ac:dyDescent="0.3">
      <c r="A2856" s="26">
        <v>45337</v>
      </c>
      <c r="B2856" t="s">
        <v>991</v>
      </c>
      <c r="C2856" t="s">
        <v>992</v>
      </c>
      <c r="D2856">
        <v>1.33</v>
      </c>
      <c r="E2856" t="s">
        <v>999</v>
      </c>
      <c r="F2856" t="s">
        <v>772</v>
      </c>
      <c r="G2856" t="s">
        <v>2889</v>
      </c>
      <c r="H2856" t="s">
        <v>31</v>
      </c>
      <c r="I2856" s="28" t="s">
        <v>27</v>
      </c>
    </row>
    <row r="2857" spans="1:9" x14ac:dyDescent="0.3">
      <c r="A2857" s="26">
        <v>45337</v>
      </c>
      <c r="B2857" t="s">
        <v>991</v>
      </c>
      <c r="C2857" t="s">
        <v>753</v>
      </c>
      <c r="D2857">
        <v>0.3</v>
      </c>
      <c r="E2857" t="s">
        <v>7</v>
      </c>
      <c r="F2857" t="s">
        <v>772</v>
      </c>
      <c r="G2857" t="s">
        <v>2890</v>
      </c>
      <c r="H2857" t="s">
        <v>31</v>
      </c>
      <c r="I2857" s="28" t="s">
        <v>27</v>
      </c>
    </row>
    <row r="2858" spans="1:9" x14ac:dyDescent="0.3">
      <c r="A2858" s="26">
        <v>45337</v>
      </c>
      <c r="B2858" t="s">
        <v>991</v>
      </c>
      <c r="C2858" t="s">
        <v>1870</v>
      </c>
      <c r="D2858">
        <v>0.56999999999999995</v>
      </c>
      <c r="E2858" t="s">
        <v>999</v>
      </c>
      <c r="F2858" t="s">
        <v>772</v>
      </c>
      <c r="G2858" t="s">
        <v>2891</v>
      </c>
      <c r="H2858" t="s">
        <v>31</v>
      </c>
      <c r="I2858" s="28" t="s">
        <v>27</v>
      </c>
    </row>
    <row r="2859" spans="1:9" x14ac:dyDescent="0.3">
      <c r="A2859" s="26">
        <v>45337</v>
      </c>
      <c r="B2859" t="s">
        <v>991</v>
      </c>
      <c r="C2859" t="s">
        <v>1870</v>
      </c>
      <c r="D2859">
        <v>0.8</v>
      </c>
      <c r="E2859" t="s">
        <v>999</v>
      </c>
      <c r="F2859" t="s">
        <v>772</v>
      </c>
      <c r="G2859" t="s">
        <v>2892</v>
      </c>
      <c r="H2859" t="s">
        <v>31</v>
      </c>
      <c r="I2859" s="28" t="s">
        <v>27</v>
      </c>
    </row>
    <row r="2860" spans="1:9" x14ac:dyDescent="0.3">
      <c r="A2860" s="26">
        <v>45337</v>
      </c>
      <c r="B2860" t="s">
        <v>991</v>
      </c>
      <c r="C2860" t="s">
        <v>1870</v>
      </c>
      <c r="D2860">
        <v>1.1499999999999999</v>
      </c>
      <c r="E2860" t="s">
        <v>7</v>
      </c>
      <c r="F2860" t="s">
        <v>772</v>
      </c>
      <c r="G2860" t="s">
        <v>2893</v>
      </c>
      <c r="H2860" t="s">
        <v>31</v>
      </c>
      <c r="I2860" s="28" t="s">
        <v>27</v>
      </c>
    </row>
    <row r="2861" spans="1:9" x14ac:dyDescent="0.3">
      <c r="A2861" s="26">
        <v>45337</v>
      </c>
      <c r="B2861" t="s">
        <v>1002</v>
      </c>
      <c r="C2861" t="s">
        <v>1003</v>
      </c>
      <c r="D2861">
        <v>10</v>
      </c>
      <c r="E2861" t="s">
        <v>7</v>
      </c>
      <c r="F2861" t="s">
        <v>772</v>
      </c>
      <c r="G2861" t="s">
        <v>2894</v>
      </c>
      <c r="H2861" t="s">
        <v>31</v>
      </c>
      <c r="I2861" s="28" t="s">
        <v>27</v>
      </c>
    </row>
    <row r="2862" spans="1:9" x14ac:dyDescent="0.3">
      <c r="A2862" s="26">
        <v>45337</v>
      </c>
      <c r="B2862" t="s">
        <v>1005</v>
      </c>
      <c r="C2862" t="s">
        <v>753</v>
      </c>
      <c r="D2862">
        <v>0.25</v>
      </c>
      <c r="E2862" t="s">
        <v>161</v>
      </c>
      <c r="F2862" t="s">
        <v>754</v>
      </c>
      <c r="H2862" t="s">
        <v>31</v>
      </c>
      <c r="I2862" s="28" t="s">
        <v>27</v>
      </c>
    </row>
    <row r="2863" spans="1:9" x14ac:dyDescent="0.3">
      <c r="A2863" s="26">
        <v>45337</v>
      </c>
      <c r="B2863" t="s">
        <v>1005</v>
      </c>
      <c r="C2863" t="s">
        <v>753</v>
      </c>
      <c r="D2863">
        <v>0.25</v>
      </c>
      <c r="E2863" t="s">
        <v>430</v>
      </c>
      <c r="F2863" t="s">
        <v>754</v>
      </c>
      <c r="H2863" t="s">
        <v>31</v>
      </c>
      <c r="I2863" s="28" t="s">
        <v>27</v>
      </c>
    </row>
    <row r="2864" spans="1:9" x14ac:dyDescent="0.3">
      <c r="A2864" s="26">
        <v>45337</v>
      </c>
      <c r="B2864" t="s">
        <v>1005</v>
      </c>
      <c r="C2864" t="s">
        <v>753</v>
      </c>
      <c r="D2864">
        <v>0.5</v>
      </c>
      <c r="E2864" t="s">
        <v>201</v>
      </c>
      <c r="F2864" t="s">
        <v>754</v>
      </c>
      <c r="H2864" t="s">
        <v>31</v>
      </c>
      <c r="I2864" s="28" t="s">
        <v>27</v>
      </c>
    </row>
    <row r="2865" spans="1:9" x14ac:dyDescent="0.3">
      <c r="A2865" s="26">
        <v>45337</v>
      </c>
      <c r="B2865" t="s">
        <v>1005</v>
      </c>
      <c r="C2865" t="s">
        <v>753</v>
      </c>
      <c r="D2865">
        <v>0.5</v>
      </c>
      <c r="E2865" t="s">
        <v>471</v>
      </c>
      <c r="F2865" t="s">
        <v>754</v>
      </c>
      <c r="H2865" t="s">
        <v>31</v>
      </c>
      <c r="I2865" s="28" t="s">
        <v>27</v>
      </c>
    </row>
    <row r="2866" spans="1:9" x14ac:dyDescent="0.3">
      <c r="A2866" s="26">
        <v>45337</v>
      </c>
      <c r="B2866" t="s">
        <v>1005</v>
      </c>
      <c r="C2866" t="s">
        <v>753</v>
      </c>
      <c r="D2866">
        <v>1</v>
      </c>
      <c r="E2866" t="s">
        <v>1438</v>
      </c>
      <c r="F2866" t="s">
        <v>754</v>
      </c>
      <c r="G2866" t="s">
        <v>2895</v>
      </c>
      <c r="H2866" t="s">
        <v>31</v>
      </c>
      <c r="I2866" s="28" t="s">
        <v>27</v>
      </c>
    </row>
    <row r="2867" spans="1:9" x14ac:dyDescent="0.3">
      <c r="A2867" s="26">
        <v>45337</v>
      </c>
      <c r="B2867" t="s">
        <v>1005</v>
      </c>
      <c r="C2867" t="s">
        <v>834</v>
      </c>
      <c r="D2867">
        <v>1</v>
      </c>
      <c r="E2867" t="s">
        <v>7</v>
      </c>
      <c r="F2867" t="s">
        <v>772</v>
      </c>
      <c r="G2867" t="s">
        <v>2896</v>
      </c>
      <c r="H2867" t="s">
        <v>31</v>
      </c>
      <c r="I2867" s="28" t="s">
        <v>27</v>
      </c>
    </row>
    <row r="2868" spans="1:9" x14ac:dyDescent="0.3">
      <c r="A2868" s="26">
        <v>45337</v>
      </c>
      <c r="B2868" t="s">
        <v>1005</v>
      </c>
      <c r="C2868" t="s">
        <v>835</v>
      </c>
      <c r="D2868">
        <v>0.5</v>
      </c>
      <c r="E2868" t="s">
        <v>201</v>
      </c>
      <c r="F2868" t="s">
        <v>754</v>
      </c>
      <c r="H2868" t="s">
        <v>31</v>
      </c>
      <c r="I2868" s="28" t="s">
        <v>27</v>
      </c>
    </row>
    <row r="2869" spans="1:9" x14ac:dyDescent="0.3">
      <c r="A2869" s="26">
        <v>45337</v>
      </c>
      <c r="B2869" t="s">
        <v>1005</v>
      </c>
      <c r="C2869" t="s">
        <v>776</v>
      </c>
      <c r="D2869">
        <v>0.5</v>
      </c>
      <c r="E2869" t="s">
        <v>1438</v>
      </c>
      <c r="F2869" t="s">
        <v>754</v>
      </c>
      <c r="G2869" t="s">
        <v>2897</v>
      </c>
      <c r="H2869" t="s">
        <v>31</v>
      </c>
      <c r="I2869" s="28" t="s">
        <v>27</v>
      </c>
    </row>
    <row r="2870" spans="1:9" x14ac:dyDescent="0.3">
      <c r="A2870" s="26">
        <v>45337</v>
      </c>
      <c r="B2870" t="s">
        <v>1005</v>
      </c>
      <c r="C2870" t="s">
        <v>776</v>
      </c>
      <c r="D2870">
        <v>0.5</v>
      </c>
      <c r="E2870" t="s">
        <v>201</v>
      </c>
      <c r="F2870" t="s">
        <v>754</v>
      </c>
      <c r="H2870" t="s">
        <v>31</v>
      </c>
      <c r="I2870" s="28" t="s">
        <v>27</v>
      </c>
    </row>
    <row r="2871" spans="1:9" x14ac:dyDescent="0.3">
      <c r="A2871" s="26">
        <v>45337</v>
      </c>
      <c r="B2871" t="s">
        <v>1006</v>
      </c>
      <c r="C2871" t="s">
        <v>909</v>
      </c>
      <c r="D2871">
        <v>0.15</v>
      </c>
      <c r="E2871" t="s">
        <v>964</v>
      </c>
      <c r="F2871" t="s">
        <v>772</v>
      </c>
      <c r="G2871" t="s">
        <v>2898</v>
      </c>
      <c r="H2871" t="s">
        <v>31</v>
      </c>
      <c r="I2871" s="28" t="s">
        <v>27</v>
      </c>
    </row>
    <row r="2872" spans="1:9" x14ac:dyDescent="0.3">
      <c r="A2872" s="26">
        <v>45337</v>
      </c>
      <c r="B2872" t="s">
        <v>1006</v>
      </c>
      <c r="C2872" t="s">
        <v>909</v>
      </c>
      <c r="D2872">
        <v>0.65</v>
      </c>
      <c r="E2872" t="s">
        <v>757</v>
      </c>
      <c r="F2872" t="s">
        <v>754</v>
      </c>
      <c r="G2872" t="s">
        <v>2899</v>
      </c>
      <c r="H2872" t="s">
        <v>31</v>
      </c>
      <c r="I2872" s="28" t="s">
        <v>27</v>
      </c>
    </row>
    <row r="2873" spans="1:9" x14ac:dyDescent="0.3">
      <c r="A2873" s="26">
        <v>45337</v>
      </c>
      <c r="B2873" t="s">
        <v>1006</v>
      </c>
      <c r="C2873" t="s">
        <v>909</v>
      </c>
      <c r="D2873">
        <v>1.57</v>
      </c>
      <c r="E2873" t="s">
        <v>757</v>
      </c>
      <c r="F2873" t="s">
        <v>772</v>
      </c>
      <c r="G2873" t="s">
        <v>2900</v>
      </c>
      <c r="H2873" t="s">
        <v>31</v>
      </c>
      <c r="I2873" s="28" t="s">
        <v>27</v>
      </c>
    </row>
    <row r="2874" spans="1:9" x14ac:dyDescent="0.3">
      <c r="A2874" s="26">
        <v>45337</v>
      </c>
      <c r="B2874" t="s">
        <v>1006</v>
      </c>
      <c r="C2874" t="s">
        <v>909</v>
      </c>
      <c r="D2874">
        <v>2.5</v>
      </c>
      <c r="E2874" t="s">
        <v>757</v>
      </c>
      <c r="F2874" t="s">
        <v>772</v>
      </c>
      <c r="G2874" t="s">
        <v>2901</v>
      </c>
      <c r="H2874" t="s">
        <v>31</v>
      </c>
      <c r="I2874" s="28" t="s">
        <v>27</v>
      </c>
    </row>
    <row r="2875" spans="1:9" x14ac:dyDescent="0.3">
      <c r="A2875" s="26">
        <v>45337</v>
      </c>
      <c r="B2875" t="s">
        <v>1006</v>
      </c>
      <c r="C2875" t="s">
        <v>771</v>
      </c>
      <c r="D2875">
        <v>1.1299999999999999</v>
      </c>
      <c r="E2875" t="s">
        <v>7</v>
      </c>
      <c r="F2875" t="s">
        <v>772</v>
      </c>
      <c r="G2875" t="s">
        <v>1010</v>
      </c>
      <c r="H2875" t="s">
        <v>31</v>
      </c>
      <c r="I2875" s="28" t="s">
        <v>27</v>
      </c>
    </row>
    <row r="2876" spans="1:9" x14ac:dyDescent="0.3">
      <c r="A2876" s="26">
        <v>45337</v>
      </c>
      <c r="B2876" t="s">
        <v>1011</v>
      </c>
      <c r="C2876" t="s">
        <v>753</v>
      </c>
      <c r="D2876">
        <v>0.12</v>
      </c>
      <c r="E2876" t="s">
        <v>857</v>
      </c>
      <c r="F2876" t="s">
        <v>754</v>
      </c>
      <c r="G2876" t="s">
        <v>2902</v>
      </c>
      <c r="H2876" t="s">
        <v>31</v>
      </c>
      <c r="I2876" s="28" t="s">
        <v>27</v>
      </c>
    </row>
    <row r="2877" spans="1:9" x14ac:dyDescent="0.3">
      <c r="A2877" s="26">
        <v>45337</v>
      </c>
      <c r="B2877" t="s">
        <v>1011</v>
      </c>
      <c r="C2877" t="s">
        <v>753</v>
      </c>
      <c r="D2877">
        <v>0.2</v>
      </c>
      <c r="E2877" t="s">
        <v>1013</v>
      </c>
      <c r="F2877" t="s">
        <v>754</v>
      </c>
      <c r="H2877" t="s">
        <v>31</v>
      </c>
      <c r="I2877" s="28" t="s">
        <v>27</v>
      </c>
    </row>
    <row r="2878" spans="1:9" x14ac:dyDescent="0.3">
      <c r="A2878" s="26">
        <v>45337</v>
      </c>
      <c r="B2878" t="s">
        <v>1011</v>
      </c>
      <c r="C2878" t="s">
        <v>753</v>
      </c>
      <c r="D2878">
        <v>0.25</v>
      </c>
      <c r="E2878" t="s">
        <v>857</v>
      </c>
      <c r="F2878" t="s">
        <v>754</v>
      </c>
      <c r="G2878" t="s">
        <v>2903</v>
      </c>
      <c r="H2878" t="s">
        <v>31</v>
      </c>
      <c r="I2878" s="28" t="s">
        <v>27</v>
      </c>
    </row>
    <row r="2879" spans="1:9" x14ac:dyDescent="0.3">
      <c r="A2879" s="26">
        <v>45337</v>
      </c>
      <c r="B2879" t="s">
        <v>1011</v>
      </c>
      <c r="C2879" t="s">
        <v>753</v>
      </c>
      <c r="D2879">
        <v>0.4</v>
      </c>
      <c r="E2879" t="s">
        <v>857</v>
      </c>
      <c r="F2879" t="s">
        <v>754</v>
      </c>
      <c r="G2879" t="s">
        <v>2904</v>
      </c>
      <c r="H2879" t="s">
        <v>31</v>
      </c>
      <c r="I2879" s="28" t="s">
        <v>27</v>
      </c>
    </row>
    <row r="2880" spans="1:9" x14ac:dyDescent="0.3">
      <c r="A2880" s="26">
        <v>45337</v>
      </c>
      <c r="B2880" t="s">
        <v>1011</v>
      </c>
      <c r="C2880" t="s">
        <v>753</v>
      </c>
      <c r="D2880">
        <v>0.45</v>
      </c>
      <c r="E2880" t="s">
        <v>1013</v>
      </c>
      <c r="F2880" t="s">
        <v>754</v>
      </c>
      <c r="G2880" t="s">
        <v>2530</v>
      </c>
      <c r="H2880" t="s">
        <v>31</v>
      </c>
      <c r="I2880" s="28" t="s">
        <v>27</v>
      </c>
    </row>
    <row r="2881" spans="1:9" x14ac:dyDescent="0.3">
      <c r="A2881" s="26">
        <v>45337</v>
      </c>
      <c r="B2881" t="s">
        <v>1011</v>
      </c>
      <c r="C2881" t="s">
        <v>753</v>
      </c>
      <c r="D2881">
        <v>0.5</v>
      </c>
      <c r="E2881" t="s">
        <v>589</v>
      </c>
      <c r="F2881" t="s">
        <v>754</v>
      </c>
      <c r="G2881" t="s">
        <v>1017</v>
      </c>
      <c r="H2881" t="s">
        <v>31</v>
      </c>
      <c r="I2881" s="28" t="s">
        <v>27</v>
      </c>
    </row>
    <row r="2882" spans="1:9" x14ac:dyDescent="0.3">
      <c r="A2882" s="26">
        <v>45337</v>
      </c>
      <c r="B2882" t="s">
        <v>1011</v>
      </c>
      <c r="C2882" t="s">
        <v>753</v>
      </c>
      <c r="D2882">
        <v>0.55000000000000004</v>
      </c>
      <c r="E2882" t="s">
        <v>589</v>
      </c>
      <c r="F2882" t="s">
        <v>754</v>
      </c>
      <c r="G2882" t="s">
        <v>2905</v>
      </c>
      <c r="H2882" t="s">
        <v>31</v>
      </c>
      <c r="I2882" s="28" t="s">
        <v>27</v>
      </c>
    </row>
    <row r="2883" spans="1:9" x14ac:dyDescent="0.3">
      <c r="A2883" s="26">
        <v>45337</v>
      </c>
      <c r="B2883" t="s">
        <v>1011</v>
      </c>
      <c r="C2883" t="s">
        <v>753</v>
      </c>
      <c r="D2883">
        <v>0.73</v>
      </c>
      <c r="E2883" t="s">
        <v>857</v>
      </c>
      <c r="F2883" t="s">
        <v>754</v>
      </c>
      <c r="H2883" t="s">
        <v>31</v>
      </c>
      <c r="I2883" s="28" t="s">
        <v>27</v>
      </c>
    </row>
    <row r="2884" spans="1:9" x14ac:dyDescent="0.3">
      <c r="A2884" s="26">
        <v>45337</v>
      </c>
      <c r="B2884" t="s">
        <v>1011</v>
      </c>
      <c r="C2884" t="s">
        <v>753</v>
      </c>
      <c r="D2884">
        <v>0.85</v>
      </c>
      <c r="E2884" t="s">
        <v>1013</v>
      </c>
      <c r="F2884" t="s">
        <v>754</v>
      </c>
      <c r="G2884" t="s">
        <v>2906</v>
      </c>
      <c r="H2884" t="s">
        <v>31</v>
      </c>
      <c r="I2884" s="28" t="s">
        <v>27</v>
      </c>
    </row>
    <row r="2885" spans="1:9" x14ac:dyDescent="0.3">
      <c r="A2885" s="26">
        <v>45337</v>
      </c>
      <c r="B2885" t="s">
        <v>1011</v>
      </c>
      <c r="C2885" t="s">
        <v>753</v>
      </c>
      <c r="D2885">
        <v>1.1499999999999999</v>
      </c>
      <c r="E2885" t="s">
        <v>857</v>
      </c>
      <c r="F2885" t="s">
        <v>754</v>
      </c>
      <c r="G2885" t="s">
        <v>2907</v>
      </c>
      <c r="H2885" t="s">
        <v>31</v>
      </c>
      <c r="I2885" s="28" t="s">
        <v>27</v>
      </c>
    </row>
    <row r="2886" spans="1:9" x14ac:dyDescent="0.3">
      <c r="A2886" s="26">
        <v>45337</v>
      </c>
      <c r="B2886" t="s">
        <v>1011</v>
      </c>
      <c r="C2886" t="s">
        <v>753</v>
      </c>
      <c r="D2886">
        <v>1.17</v>
      </c>
      <c r="E2886" t="s">
        <v>1013</v>
      </c>
      <c r="F2886" t="s">
        <v>754</v>
      </c>
      <c r="G2886" t="s">
        <v>1017</v>
      </c>
      <c r="H2886" t="s">
        <v>31</v>
      </c>
      <c r="I2886" s="28" t="s">
        <v>27</v>
      </c>
    </row>
    <row r="2887" spans="1:9" x14ac:dyDescent="0.3">
      <c r="A2887" s="26">
        <v>45337</v>
      </c>
      <c r="B2887" t="s">
        <v>1011</v>
      </c>
      <c r="C2887" t="s">
        <v>771</v>
      </c>
      <c r="D2887">
        <v>0.22</v>
      </c>
      <c r="E2887" t="s">
        <v>7</v>
      </c>
      <c r="F2887" t="s">
        <v>772</v>
      </c>
      <c r="G2887" t="s">
        <v>1242</v>
      </c>
      <c r="H2887" t="s">
        <v>31</v>
      </c>
      <c r="I2887" s="28" t="s">
        <v>27</v>
      </c>
    </row>
    <row r="2888" spans="1:9" x14ac:dyDescent="0.3">
      <c r="A2888" s="26">
        <v>45337</v>
      </c>
      <c r="B2888" t="s">
        <v>1011</v>
      </c>
      <c r="C2888" t="s">
        <v>771</v>
      </c>
      <c r="D2888">
        <v>0.65</v>
      </c>
      <c r="E2888" t="s">
        <v>7</v>
      </c>
      <c r="F2888" t="s">
        <v>772</v>
      </c>
      <c r="G2888" t="s">
        <v>2908</v>
      </c>
      <c r="H2888" t="s">
        <v>31</v>
      </c>
      <c r="I2888" s="28" t="s">
        <v>27</v>
      </c>
    </row>
    <row r="2889" spans="1:9" x14ac:dyDescent="0.3">
      <c r="A2889" s="26">
        <v>45337</v>
      </c>
      <c r="B2889" t="s">
        <v>1011</v>
      </c>
      <c r="C2889" t="s">
        <v>776</v>
      </c>
      <c r="D2889">
        <v>0.08</v>
      </c>
      <c r="E2889" t="s">
        <v>259</v>
      </c>
      <c r="F2889" t="s">
        <v>754</v>
      </c>
      <c r="G2889" t="s">
        <v>2909</v>
      </c>
      <c r="H2889" t="s">
        <v>31</v>
      </c>
      <c r="I2889" s="28" t="s">
        <v>27</v>
      </c>
    </row>
    <row r="2890" spans="1:9" x14ac:dyDescent="0.3">
      <c r="A2890" s="26">
        <v>45337</v>
      </c>
      <c r="B2890" t="s">
        <v>1020</v>
      </c>
      <c r="C2890" t="s">
        <v>753</v>
      </c>
      <c r="D2890">
        <v>0.67</v>
      </c>
      <c r="E2890" t="s">
        <v>11</v>
      </c>
      <c r="F2890" t="s">
        <v>754</v>
      </c>
      <c r="G2890" t="s">
        <v>2910</v>
      </c>
      <c r="H2890" t="s">
        <v>31</v>
      </c>
      <c r="I2890" s="28" t="s">
        <v>27</v>
      </c>
    </row>
    <row r="2891" spans="1:9" x14ac:dyDescent="0.3">
      <c r="A2891" s="26">
        <v>45337</v>
      </c>
      <c r="B2891" t="s">
        <v>1020</v>
      </c>
      <c r="C2891" t="s">
        <v>753</v>
      </c>
      <c r="D2891">
        <v>0.77</v>
      </c>
      <c r="E2891" t="s">
        <v>11</v>
      </c>
      <c r="F2891" t="s">
        <v>754</v>
      </c>
      <c r="G2891" t="s">
        <v>2911</v>
      </c>
      <c r="H2891" t="s">
        <v>31</v>
      </c>
      <c r="I2891" s="28" t="s">
        <v>27</v>
      </c>
    </row>
    <row r="2892" spans="1:9" x14ac:dyDescent="0.3">
      <c r="A2892" s="26">
        <v>45337</v>
      </c>
      <c r="B2892" t="s">
        <v>1020</v>
      </c>
      <c r="C2892" t="s">
        <v>753</v>
      </c>
      <c r="D2892">
        <v>0.78</v>
      </c>
      <c r="E2892" t="s">
        <v>11</v>
      </c>
      <c r="F2892" t="s">
        <v>754</v>
      </c>
      <c r="H2892" t="s">
        <v>31</v>
      </c>
      <c r="I2892" s="28" t="s">
        <v>27</v>
      </c>
    </row>
    <row r="2893" spans="1:9" x14ac:dyDescent="0.3">
      <c r="A2893" s="26">
        <v>45337</v>
      </c>
      <c r="B2893" t="s">
        <v>1020</v>
      </c>
      <c r="C2893" t="s">
        <v>753</v>
      </c>
      <c r="D2893">
        <v>1</v>
      </c>
      <c r="E2893" t="s">
        <v>11</v>
      </c>
      <c r="F2893" t="s">
        <v>754</v>
      </c>
      <c r="G2893" t="s">
        <v>1014</v>
      </c>
      <c r="H2893" t="s">
        <v>31</v>
      </c>
      <c r="I2893" s="28" t="s">
        <v>27</v>
      </c>
    </row>
    <row r="2894" spans="1:9" x14ac:dyDescent="0.3">
      <c r="A2894" s="26">
        <v>45337</v>
      </c>
      <c r="B2894" t="s">
        <v>1020</v>
      </c>
      <c r="C2894" t="s">
        <v>753</v>
      </c>
      <c r="D2894">
        <v>1.22</v>
      </c>
      <c r="E2894" t="s">
        <v>964</v>
      </c>
      <c r="F2894" t="s">
        <v>754</v>
      </c>
      <c r="G2894" t="s">
        <v>2912</v>
      </c>
      <c r="H2894" t="s">
        <v>31</v>
      </c>
      <c r="I2894" s="28" t="s">
        <v>27</v>
      </c>
    </row>
    <row r="2895" spans="1:9" x14ac:dyDescent="0.3">
      <c r="A2895" s="26">
        <v>45337</v>
      </c>
      <c r="B2895" t="s">
        <v>1020</v>
      </c>
      <c r="C2895" t="s">
        <v>753</v>
      </c>
      <c r="D2895">
        <v>1.43</v>
      </c>
      <c r="E2895" t="s">
        <v>964</v>
      </c>
      <c r="F2895" t="s">
        <v>754</v>
      </c>
      <c r="H2895" t="s">
        <v>31</v>
      </c>
      <c r="I2895" s="28" t="s">
        <v>27</v>
      </c>
    </row>
    <row r="2896" spans="1:9" x14ac:dyDescent="0.3">
      <c r="A2896" s="26">
        <v>45337</v>
      </c>
      <c r="B2896" t="s">
        <v>1020</v>
      </c>
      <c r="C2896" t="s">
        <v>753</v>
      </c>
      <c r="D2896">
        <v>1.9</v>
      </c>
      <c r="E2896" t="s">
        <v>964</v>
      </c>
      <c r="F2896" t="s">
        <v>754</v>
      </c>
      <c r="G2896" t="s">
        <v>2913</v>
      </c>
      <c r="H2896" t="s">
        <v>31</v>
      </c>
      <c r="I2896" s="28" t="s">
        <v>27</v>
      </c>
    </row>
    <row r="2897" spans="1:9" x14ac:dyDescent="0.3">
      <c r="A2897" s="26">
        <v>45337</v>
      </c>
      <c r="B2897" t="s">
        <v>1020</v>
      </c>
      <c r="C2897" t="s">
        <v>771</v>
      </c>
      <c r="D2897">
        <v>0.25</v>
      </c>
      <c r="E2897" t="s">
        <v>7</v>
      </c>
      <c r="F2897" t="s">
        <v>772</v>
      </c>
      <c r="G2897" t="s">
        <v>1024</v>
      </c>
      <c r="H2897" t="s">
        <v>31</v>
      </c>
      <c r="I2897" s="28" t="s">
        <v>27</v>
      </c>
    </row>
    <row r="2898" spans="1:9" x14ac:dyDescent="0.3">
      <c r="A2898" s="26">
        <v>45337</v>
      </c>
      <c r="B2898" t="s">
        <v>1020</v>
      </c>
      <c r="C2898" t="s">
        <v>776</v>
      </c>
      <c r="D2898">
        <v>0.47</v>
      </c>
      <c r="E2898" t="s">
        <v>11</v>
      </c>
      <c r="F2898" t="s">
        <v>754</v>
      </c>
      <c r="G2898" t="s">
        <v>2914</v>
      </c>
      <c r="H2898" t="s">
        <v>31</v>
      </c>
      <c r="I2898" s="28" t="s">
        <v>27</v>
      </c>
    </row>
    <row r="2899" spans="1:9" x14ac:dyDescent="0.3">
      <c r="A2899" s="26">
        <v>45337</v>
      </c>
      <c r="B2899" t="s">
        <v>1026</v>
      </c>
      <c r="C2899" t="s">
        <v>771</v>
      </c>
      <c r="D2899">
        <v>0.45</v>
      </c>
      <c r="E2899" t="s">
        <v>7</v>
      </c>
      <c r="F2899" t="s">
        <v>772</v>
      </c>
      <c r="G2899" t="s">
        <v>2915</v>
      </c>
      <c r="H2899" t="s">
        <v>31</v>
      </c>
      <c r="I2899" s="28" t="s">
        <v>27</v>
      </c>
    </row>
    <row r="2900" spans="1:9" x14ac:dyDescent="0.3">
      <c r="A2900" s="26">
        <v>45337</v>
      </c>
      <c r="B2900" t="s">
        <v>1026</v>
      </c>
      <c r="C2900" t="s">
        <v>771</v>
      </c>
      <c r="D2900">
        <v>1.52</v>
      </c>
      <c r="E2900" t="s">
        <v>7</v>
      </c>
      <c r="F2900" t="s">
        <v>772</v>
      </c>
      <c r="G2900" t="s">
        <v>2916</v>
      </c>
      <c r="H2900" t="s">
        <v>31</v>
      </c>
      <c r="I2900" s="28" t="s">
        <v>27</v>
      </c>
    </row>
    <row r="2901" spans="1:9" x14ac:dyDescent="0.3">
      <c r="A2901" s="26">
        <v>45337</v>
      </c>
      <c r="B2901" t="s">
        <v>1026</v>
      </c>
      <c r="C2901" t="s">
        <v>771</v>
      </c>
      <c r="D2901">
        <v>2.48</v>
      </c>
      <c r="E2901" t="s">
        <v>7</v>
      </c>
      <c r="F2901" t="s">
        <v>772</v>
      </c>
      <c r="G2901" t="s">
        <v>2917</v>
      </c>
      <c r="H2901" t="s">
        <v>31</v>
      </c>
      <c r="I2901" s="28" t="s">
        <v>27</v>
      </c>
    </row>
    <row r="2902" spans="1:9" x14ac:dyDescent="0.3">
      <c r="A2902" s="26">
        <v>45337</v>
      </c>
      <c r="B2902" t="s">
        <v>1026</v>
      </c>
      <c r="C2902" t="s">
        <v>771</v>
      </c>
      <c r="D2902">
        <v>3.25</v>
      </c>
      <c r="E2902" t="s">
        <v>7</v>
      </c>
      <c r="F2902" t="s">
        <v>772</v>
      </c>
      <c r="G2902" t="s">
        <v>2918</v>
      </c>
      <c r="H2902" t="s">
        <v>31</v>
      </c>
      <c r="I2902" s="28" t="s">
        <v>27</v>
      </c>
    </row>
    <row r="2903" spans="1:9" x14ac:dyDescent="0.3">
      <c r="A2903" s="26">
        <v>45337</v>
      </c>
      <c r="B2903" t="s">
        <v>1026</v>
      </c>
      <c r="C2903" t="s">
        <v>874</v>
      </c>
      <c r="D2903">
        <v>0.2</v>
      </c>
      <c r="E2903" t="s">
        <v>7</v>
      </c>
      <c r="F2903" t="s">
        <v>772</v>
      </c>
      <c r="G2903" t="s">
        <v>2919</v>
      </c>
      <c r="H2903" t="s">
        <v>31</v>
      </c>
      <c r="I2903" s="28" t="s">
        <v>27</v>
      </c>
    </row>
    <row r="2904" spans="1:9" x14ac:dyDescent="0.3">
      <c r="A2904" s="26">
        <v>45337</v>
      </c>
      <c r="B2904" t="s">
        <v>1026</v>
      </c>
      <c r="C2904" t="s">
        <v>874</v>
      </c>
      <c r="D2904">
        <v>0.32</v>
      </c>
      <c r="E2904" t="s">
        <v>7</v>
      </c>
      <c r="F2904" t="s">
        <v>772</v>
      </c>
      <c r="G2904" t="s">
        <v>2920</v>
      </c>
      <c r="H2904" t="s">
        <v>31</v>
      </c>
      <c r="I2904" s="28" t="s">
        <v>27</v>
      </c>
    </row>
    <row r="2905" spans="1:9" x14ac:dyDescent="0.3">
      <c r="A2905" s="26">
        <v>45337</v>
      </c>
      <c r="B2905" t="s">
        <v>1026</v>
      </c>
      <c r="C2905" t="s">
        <v>874</v>
      </c>
      <c r="D2905">
        <v>0.4</v>
      </c>
      <c r="E2905" t="s">
        <v>7</v>
      </c>
      <c r="F2905" t="s">
        <v>772</v>
      </c>
      <c r="G2905" t="s">
        <v>2921</v>
      </c>
      <c r="H2905" t="s">
        <v>31</v>
      </c>
      <c r="I2905" s="28" t="s">
        <v>27</v>
      </c>
    </row>
    <row r="2906" spans="1:9" x14ac:dyDescent="0.3">
      <c r="A2906" s="26">
        <v>45337</v>
      </c>
      <c r="B2906" t="s">
        <v>1026</v>
      </c>
      <c r="C2906" t="s">
        <v>874</v>
      </c>
      <c r="D2906">
        <v>0.68</v>
      </c>
      <c r="E2906" t="s">
        <v>7</v>
      </c>
      <c r="F2906" t="s">
        <v>772</v>
      </c>
      <c r="G2906" t="s">
        <v>2922</v>
      </c>
      <c r="H2906" t="s">
        <v>31</v>
      </c>
      <c r="I2906" s="28" t="s">
        <v>27</v>
      </c>
    </row>
    <row r="2907" spans="1:9" x14ac:dyDescent="0.3">
      <c r="A2907" s="26">
        <v>45337</v>
      </c>
      <c r="B2907" t="s">
        <v>1032</v>
      </c>
      <c r="C2907" t="s">
        <v>753</v>
      </c>
      <c r="D2907">
        <v>7.47</v>
      </c>
      <c r="E2907" t="s">
        <v>790</v>
      </c>
      <c r="F2907" t="s">
        <v>754</v>
      </c>
      <c r="H2907" t="s">
        <v>31</v>
      </c>
      <c r="I2907" s="28" t="s">
        <v>27</v>
      </c>
    </row>
    <row r="2908" spans="1:9" x14ac:dyDescent="0.3">
      <c r="A2908" s="26">
        <v>45337</v>
      </c>
      <c r="B2908" t="s">
        <v>1032</v>
      </c>
      <c r="C2908" t="s">
        <v>874</v>
      </c>
      <c r="D2908">
        <v>0.63</v>
      </c>
      <c r="E2908" t="s">
        <v>7</v>
      </c>
      <c r="F2908" t="s">
        <v>772</v>
      </c>
      <c r="G2908" t="s">
        <v>2923</v>
      </c>
      <c r="H2908" t="s">
        <v>31</v>
      </c>
      <c r="I2908" s="28" t="s">
        <v>27</v>
      </c>
    </row>
    <row r="2909" spans="1:9" x14ac:dyDescent="0.3">
      <c r="A2909" s="26">
        <v>45337</v>
      </c>
      <c r="B2909" t="s">
        <v>1034</v>
      </c>
      <c r="C2909" t="s">
        <v>753</v>
      </c>
      <c r="D2909">
        <v>0.55000000000000004</v>
      </c>
      <c r="E2909" t="s">
        <v>978</v>
      </c>
      <c r="F2909" t="s">
        <v>754</v>
      </c>
      <c r="G2909" t="s">
        <v>2924</v>
      </c>
      <c r="H2909" t="s">
        <v>31</v>
      </c>
      <c r="I2909" s="28" t="s">
        <v>27</v>
      </c>
    </row>
    <row r="2910" spans="1:9" x14ac:dyDescent="0.3">
      <c r="A2910" s="26">
        <v>45337</v>
      </c>
      <c r="B2910" t="s">
        <v>1034</v>
      </c>
      <c r="C2910" t="s">
        <v>753</v>
      </c>
      <c r="D2910">
        <v>0.62</v>
      </c>
      <c r="E2910" t="s">
        <v>690</v>
      </c>
      <c r="F2910" t="s">
        <v>754</v>
      </c>
      <c r="G2910" t="s">
        <v>2925</v>
      </c>
      <c r="H2910" t="s">
        <v>31</v>
      </c>
      <c r="I2910" s="28" t="s">
        <v>27</v>
      </c>
    </row>
    <row r="2911" spans="1:9" x14ac:dyDescent="0.3">
      <c r="A2911" s="26">
        <v>45337</v>
      </c>
      <c r="B2911" t="s">
        <v>1034</v>
      </c>
      <c r="C2911" t="s">
        <v>753</v>
      </c>
      <c r="D2911">
        <v>2.95</v>
      </c>
      <c r="E2911" t="s">
        <v>564</v>
      </c>
      <c r="F2911" t="s">
        <v>754</v>
      </c>
      <c r="G2911" t="s">
        <v>2926</v>
      </c>
      <c r="H2911" t="s">
        <v>31</v>
      </c>
      <c r="I2911" s="28" t="s">
        <v>27</v>
      </c>
    </row>
    <row r="2912" spans="1:9" x14ac:dyDescent="0.3">
      <c r="A2912" s="26">
        <v>45337</v>
      </c>
      <c r="B2912" t="s">
        <v>1034</v>
      </c>
      <c r="C2912" t="s">
        <v>771</v>
      </c>
      <c r="D2912">
        <v>0.5</v>
      </c>
      <c r="E2912" t="s">
        <v>7</v>
      </c>
      <c r="F2912" t="s">
        <v>772</v>
      </c>
      <c r="G2912" t="s">
        <v>820</v>
      </c>
      <c r="H2912" t="s">
        <v>31</v>
      </c>
      <c r="I2912" s="28" t="s">
        <v>27</v>
      </c>
    </row>
    <row r="2913" spans="1:9" x14ac:dyDescent="0.3">
      <c r="A2913" s="26">
        <v>45337</v>
      </c>
      <c r="B2913" t="s">
        <v>1034</v>
      </c>
      <c r="C2913" t="s">
        <v>874</v>
      </c>
      <c r="D2913">
        <v>0.22</v>
      </c>
      <c r="E2913" t="s">
        <v>7</v>
      </c>
      <c r="F2913" t="s">
        <v>772</v>
      </c>
      <c r="G2913" t="s">
        <v>2927</v>
      </c>
      <c r="H2913" t="s">
        <v>31</v>
      </c>
      <c r="I2913" s="28" t="s">
        <v>27</v>
      </c>
    </row>
    <row r="2914" spans="1:9" x14ac:dyDescent="0.3">
      <c r="A2914" s="26">
        <v>45337</v>
      </c>
      <c r="B2914" t="s">
        <v>1034</v>
      </c>
      <c r="C2914" t="s">
        <v>776</v>
      </c>
      <c r="D2914">
        <v>0.28000000000000003</v>
      </c>
      <c r="E2914" t="s">
        <v>790</v>
      </c>
      <c r="F2914" t="s">
        <v>754</v>
      </c>
      <c r="G2914" t="s">
        <v>2928</v>
      </c>
      <c r="H2914" t="s">
        <v>31</v>
      </c>
      <c r="I2914" s="28" t="s">
        <v>27</v>
      </c>
    </row>
    <row r="2915" spans="1:9" x14ac:dyDescent="0.3">
      <c r="A2915" s="26">
        <v>45337</v>
      </c>
      <c r="B2915" t="s">
        <v>1034</v>
      </c>
      <c r="C2915" t="s">
        <v>776</v>
      </c>
      <c r="D2915">
        <v>0.4</v>
      </c>
      <c r="E2915" t="s">
        <v>879</v>
      </c>
      <c r="F2915" t="s">
        <v>754</v>
      </c>
      <c r="G2915" t="s">
        <v>1999</v>
      </c>
      <c r="H2915" t="s">
        <v>31</v>
      </c>
      <c r="I2915" s="28" t="s">
        <v>27</v>
      </c>
    </row>
    <row r="2916" spans="1:9" x14ac:dyDescent="0.3">
      <c r="A2916" s="26">
        <v>45337</v>
      </c>
      <c r="B2916" t="s">
        <v>1034</v>
      </c>
      <c r="C2916" t="s">
        <v>776</v>
      </c>
      <c r="D2916">
        <v>2.62</v>
      </c>
      <c r="E2916" t="s">
        <v>790</v>
      </c>
      <c r="F2916" t="s">
        <v>754</v>
      </c>
      <c r="G2916" t="s">
        <v>1042</v>
      </c>
      <c r="H2916" t="s">
        <v>31</v>
      </c>
      <c r="I2916" s="28" t="s">
        <v>27</v>
      </c>
    </row>
    <row r="2917" spans="1:9" x14ac:dyDescent="0.3">
      <c r="A2917" s="26">
        <v>45337</v>
      </c>
      <c r="B2917" t="s">
        <v>1043</v>
      </c>
      <c r="C2917" t="s">
        <v>2609</v>
      </c>
      <c r="D2917">
        <v>0.5</v>
      </c>
      <c r="E2917" t="s">
        <v>640</v>
      </c>
      <c r="F2917" t="s">
        <v>754</v>
      </c>
      <c r="G2917" t="s">
        <v>2929</v>
      </c>
      <c r="H2917" t="s">
        <v>31</v>
      </c>
      <c r="I2917" s="28" t="s">
        <v>27</v>
      </c>
    </row>
    <row r="2918" spans="1:9" x14ac:dyDescent="0.3">
      <c r="A2918" s="26">
        <v>45337</v>
      </c>
      <c r="B2918" t="s">
        <v>1043</v>
      </c>
      <c r="C2918" t="s">
        <v>2609</v>
      </c>
      <c r="D2918">
        <v>1</v>
      </c>
      <c r="E2918" t="s">
        <v>640</v>
      </c>
      <c r="F2918" t="s">
        <v>754</v>
      </c>
      <c r="G2918" t="s">
        <v>2930</v>
      </c>
      <c r="H2918" t="s">
        <v>31</v>
      </c>
      <c r="I2918" s="28" t="s">
        <v>27</v>
      </c>
    </row>
    <row r="2919" spans="1:9" x14ac:dyDescent="0.3">
      <c r="A2919" s="26">
        <v>45337</v>
      </c>
      <c r="B2919" t="s">
        <v>1049</v>
      </c>
      <c r="C2919" t="s">
        <v>753</v>
      </c>
      <c r="D2919">
        <v>0.7</v>
      </c>
      <c r="E2919" t="s">
        <v>316</v>
      </c>
      <c r="F2919" t="s">
        <v>754</v>
      </c>
      <c r="G2919" t="s">
        <v>2931</v>
      </c>
      <c r="H2919" t="s">
        <v>31</v>
      </c>
      <c r="I2919" s="28" t="s">
        <v>27</v>
      </c>
    </row>
    <row r="2920" spans="1:9" x14ac:dyDescent="0.3">
      <c r="A2920" s="26">
        <v>45337</v>
      </c>
      <c r="B2920" t="s">
        <v>1049</v>
      </c>
      <c r="C2920" t="s">
        <v>753</v>
      </c>
      <c r="D2920">
        <v>3.15</v>
      </c>
      <c r="E2920" t="s">
        <v>964</v>
      </c>
      <c r="F2920" t="s">
        <v>754</v>
      </c>
      <c r="G2920" t="s">
        <v>2932</v>
      </c>
      <c r="H2920" t="s">
        <v>31</v>
      </c>
      <c r="I2920" s="28" t="s">
        <v>27</v>
      </c>
    </row>
    <row r="2921" spans="1:9" x14ac:dyDescent="0.3">
      <c r="A2921" s="26">
        <v>45337</v>
      </c>
      <c r="B2921" t="s">
        <v>1049</v>
      </c>
      <c r="C2921" t="s">
        <v>771</v>
      </c>
      <c r="D2921">
        <v>0.5</v>
      </c>
      <c r="E2921" t="s">
        <v>7</v>
      </c>
      <c r="F2921" t="s">
        <v>772</v>
      </c>
      <c r="G2921" t="s">
        <v>1058</v>
      </c>
      <c r="H2921" t="s">
        <v>31</v>
      </c>
      <c r="I2921" s="28" t="s">
        <v>27</v>
      </c>
    </row>
    <row r="2922" spans="1:9" x14ac:dyDescent="0.3">
      <c r="A2922" s="26">
        <v>45337</v>
      </c>
      <c r="B2922" t="s">
        <v>1049</v>
      </c>
      <c r="C2922" t="s">
        <v>834</v>
      </c>
      <c r="D2922">
        <v>2.25</v>
      </c>
      <c r="E2922" t="s">
        <v>7</v>
      </c>
      <c r="F2922" t="s">
        <v>772</v>
      </c>
      <c r="G2922" t="s">
        <v>2933</v>
      </c>
      <c r="H2922" t="s">
        <v>31</v>
      </c>
      <c r="I2922" s="28" t="s">
        <v>27</v>
      </c>
    </row>
    <row r="2923" spans="1:9" x14ac:dyDescent="0.3">
      <c r="A2923" s="26">
        <v>45337</v>
      </c>
      <c r="B2923" t="s">
        <v>1049</v>
      </c>
      <c r="C2923" t="s">
        <v>835</v>
      </c>
      <c r="D2923">
        <v>1.33</v>
      </c>
      <c r="E2923" t="s">
        <v>507</v>
      </c>
      <c r="F2923" t="s">
        <v>754</v>
      </c>
      <c r="G2923" t="s">
        <v>2934</v>
      </c>
      <c r="H2923" t="s">
        <v>31</v>
      </c>
      <c r="I2923" s="28" t="s">
        <v>27</v>
      </c>
    </row>
    <row r="2924" spans="1:9" x14ac:dyDescent="0.3">
      <c r="A2924" s="26">
        <v>45337</v>
      </c>
      <c r="B2924" t="s">
        <v>1049</v>
      </c>
      <c r="C2924" t="s">
        <v>776</v>
      </c>
      <c r="D2924">
        <v>0.2</v>
      </c>
      <c r="E2924" t="s">
        <v>10</v>
      </c>
      <c r="F2924" t="s">
        <v>754</v>
      </c>
      <c r="G2924" t="s">
        <v>1916</v>
      </c>
      <c r="H2924" t="s">
        <v>31</v>
      </c>
      <c r="I2924" s="28" t="s">
        <v>27</v>
      </c>
    </row>
    <row r="2925" spans="1:9" x14ac:dyDescent="0.3">
      <c r="A2925" s="26">
        <v>45337</v>
      </c>
      <c r="B2925" t="s">
        <v>1060</v>
      </c>
      <c r="C2925" t="s">
        <v>909</v>
      </c>
      <c r="D2925">
        <v>0.5</v>
      </c>
      <c r="E2925" t="s">
        <v>201</v>
      </c>
      <c r="F2925" t="s">
        <v>754</v>
      </c>
      <c r="G2925" t="s">
        <v>2935</v>
      </c>
      <c r="H2925" t="s">
        <v>31</v>
      </c>
      <c r="I2925" s="28" t="s">
        <v>27</v>
      </c>
    </row>
    <row r="2926" spans="1:9" x14ac:dyDescent="0.3">
      <c r="A2926" s="26">
        <v>45337</v>
      </c>
      <c r="B2926" t="s">
        <v>1060</v>
      </c>
      <c r="C2926" t="s">
        <v>909</v>
      </c>
      <c r="D2926">
        <v>0.5</v>
      </c>
      <c r="E2926" t="s">
        <v>623</v>
      </c>
      <c r="F2926" t="s">
        <v>754</v>
      </c>
      <c r="G2926" t="s">
        <v>2936</v>
      </c>
      <c r="H2926" t="s">
        <v>31</v>
      </c>
      <c r="I2926" s="28" t="s">
        <v>27</v>
      </c>
    </row>
    <row r="2927" spans="1:9" x14ac:dyDescent="0.3">
      <c r="A2927" s="26">
        <v>45337</v>
      </c>
      <c r="B2927" t="s">
        <v>1060</v>
      </c>
      <c r="C2927" t="s">
        <v>909</v>
      </c>
      <c r="D2927">
        <v>0.75</v>
      </c>
      <c r="E2927" t="s">
        <v>589</v>
      </c>
      <c r="F2927" t="s">
        <v>754</v>
      </c>
      <c r="G2927" t="s">
        <v>2937</v>
      </c>
      <c r="H2927" t="s">
        <v>31</v>
      </c>
      <c r="I2927" s="28" t="s">
        <v>27</v>
      </c>
    </row>
    <row r="2928" spans="1:9" x14ac:dyDescent="0.3">
      <c r="A2928" s="26">
        <v>45337</v>
      </c>
      <c r="B2928" t="s">
        <v>1060</v>
      </c>
      <c r="C2928" t="s">
        <v>771</v>
      </c>
      <c r="D2928">
        <v>2.25</v>
      </c>
      <c r="E2928" t="s">
        <v>7</v>
      </c>
      <c r="F2928" t="s">
        <v>772</v>
      </c>
      <c r="G2928" t="s">
        <v>2938</v>
      </c>
      <c r="H2928" t="s">
        <v>31</v>
      </c>
      <c r="I2928" s="28" t="s">
        <v>27</v>
      </c>
    </row>
    <row r="2929" spans="1:9" x14ac:dyDescent="0.3">
      <c r="A2929" s="26">
        <v>45337</v>
      </c>
      <c r="B2929" t="s">
        <v>1060</v>
      </c>
      <c r="C2929" t="s">
        <v>1441</v>
      </c>
      <c r="D2929">
        <v>0.33</v>
      </c>
      <c r="E2929" t="s">
        <v>827</v>
      </c>
      <c r="F2929" t="s">
        <v>754</v>
      </c>
      <c r="G2929" t="s">
        <v>2939</v>
      </c>
      <c r="H2929" t="s">
        <v>31</v>
      </c>
      <c r="I2929" s="28" t="s">
        <v>27</v>
      </c>
    </row>
    <row r="2930" spans="1:9" x14ac:dyDescent="0.3">
      <c r="A2930" s="26">
        <v>45337</v>
      </c>
      <c r="B2930" t="s">
        <v>1060</v>
      </c>
      <c r="C2930" t="s">
        <v>1441</v>
      </c>
      <c r="D2930">
        <v>0.5</v>
      </c>
      <c r="E2930" t="s">
        <v>827</v>
      </c>
      <c r="F2930" t="s">
        <v>754</v>
      </c>
      <c r="G2930" t="s">
        <v>2940</v>
      </c>
      <c r="H2930" t="s">
        <v>31</v>
      </c>
      <c r="I2930" s="28" t="s">
        <v>27</v>
      </c>
    </row>
    <row r="2931" spans="1:9" x14ac:dyDescent="0.3">
      <c r="A2931" s="26">
        <v>45337</v>
      </c>
      <c r="B2931" t="s">
        <v>1060</v>
      </c>
      <c r="C2931" t="s">
        <v>1441</v>
      </c>
      <c r="D2931">
        <v>0.5</v>
      </c>
      <c r="E2931" t="s">
        <v>1046</v>
      </c>
      <c r="F2931" t="s">
        <v>754</v>
      </c>
      <c r="G2931" t="s">
        <v>2941</v>
      </c>
      <c r="H2931" t="s">
        <v>31</v>
      </c>
      <c r="I2931" s="28" t="s">
        <v>27</v>
      </c>
    </row>
    <row r="2932" spans="1:9" x14ac:dyDescent="0.3">
      <c r="A2932" s="26">
        <v>45337</v>
      </c>
      <c r="B2932" t="s">
        <v>1060</v>
      </c>
      <c r="C2932" t="s">
        <v>1441</v>
      </c>
      <c r="D2932">
        <v>0.5</v>
      </c>
      <c r="E2932" t="s">
        <v>898</v>
      </c>
      <c r="F2932" t="s">
        <v>754</v>
      </c>
      <c r="G2932" t="s">
        <v>2942</v>
      </c>
      <c r="H2932" t="s">
        <v>31</v>
      </c>
      <c r="I2932" s="28" t="s">
        <v>27</v>
      </c>
    </row>
    <row r="2933" spans="1:9" x14ac:dyDescent="0.3">
      <c r="A2933" s="26">
        <v>45337</v>
      </c>
      <c r="B2933" t="s">
        <v>1060</v>
      </c>
      <c r="C2933" t="s">
        <v>1441</v>
      </c>
      <c r="D2933">
        <v>1</v>
      </c>
      <c r="E2933" t="s">
        <v>2435</v>
      </c>
      <c r="F2933" t="s">
        <v>754</v>
      </c>
      <c r="G2933" t="s">
        <v>2943</v>
      </c>
      <c r="H2933" t="s">
        <v>31</v>
      </c>
      <c r="I2933" s="28" t="s">
        <v>27</v>
      </c>
    </row>
    <row r="2934" spans="1:9" x14ac:dyDescent="0.3">
      <c r="A2934" s="26">
        <v>45337</v>
      </c>
      <c r="B2934" t="s">
        <v>1060</v>
      </c>
      <c r="C2934" t="s">
        <v>916</v>
      </c>
      <c r="D2934">
        <v>0.25</v>
      </c>
      <c r="E2934" t="s">
        <v>2867</v>
      </c>
      <c r="F2934" t="s">
        <v>754</v>
      </c>
      <c r="G2934" t="s">
        <v>2944</v>
      </c>
      <c r="H2934" t="s">
        <v>31</v>
      </c>
      <c r="I2934" s="28" t="s">
        <v>27</v>
      </c>
    </row>
    <row r="2935" spans="1:9" x14ac:dyDescent="0.3">
      <c r="A2935" s="26">
        <v>45337</v>
      </c>
      <c r="B2935" t="s">
        <v>2945</v>
      </c>
      <c r="C2935" t="s">
        <v>771</v>
      </c>
      <c r="D2935">
        <v>5.93</v>
      </c>
      <c r="E2935" t="s">
        <v>7</v>
      </c>
      <c r="F2935" t="s">
        <v>772</v>
      </c>
      <c r="G2935" t="s">
        <v>2946</v>
      </c>
      <c r="H2935" t="s">
        <v>31</v>
      </c>
      <c r="I2935" s="28" t="s">
        <v>27</v>
      </c>
    </row>
    <row r="2936" spans="1:9" x14ac:dyDescent="0.3">
      <c r="A2936" s="26">
        <v>45337</v>
      </c>
      <c r="B2936" t="s">
        <v>2945</v>
      </c>
      <c r="C2936" t="s">
        <v>834</v>
      </c>
      <c r="D2936">
        <v>1.5</v>
      </c>
      <c r="E2936" t="s">
        <v>7</v>
      </c>
      <c r="F2936" t="s">
        <v>772</v>
      </c>
      <c r="G2936" t="s">
        <v>2947</v>
      </c>
      <c r="H2936" t="s">
        <v>31</v>
      </c>
      <c r="I2936" s="28" t="s">
        <v>27</v>
      </c>
    </row>
    <row r="2937" spans="1:9" x14ac:dyDescent="0.3">
      <c r="A2937" s="26">
        <v>45337</v>
      </c>
      <c r="B2937" t="s">
        <v>2945</v>
      </c>
      <c r="C2937" t="s">
        <v>874</v>
      </c>
      <c r="D2937">
        <v>0.88</v>
      </c>
      <c r="E2937" t="s">
        <v>7</v>
      </c>
      <c r="F2937" t="s">
        <v>772</v>
      </c>
      <c r="G2937" t="s">
        <v>2948</v>
      </c>
      <c r="H2937" t="s">
        <v>31</v>
      </c>
      <c r="I2937" s="28" t="s">
        <v>27</v>
      </c>
    </row>
    <row r="2938" spans="1:9" x14ac:dyDescent="0.3">
      <c r="A2938" s="26">
        <v>45337</v>
      </c>
      <c r="B2938" t="s">
        <v>1074</v>
      </c>
      <c r="C2938" t="s">
        <v>753</v>
      </c>
      <c r="D2938">
        <v>0.4</v>
      </c>
      <c r="E2938" t="s">
        <v>964</v>
      </c>
      <c r="F2938" t="s">
        <v>754</v>
      </c>
      <c r="G2938" t="s">
        <v>1014</v>
      </c>
      <c r="H2938" t="s">
        <v>31</v>
      </c>
      <c r="I2938" s="28" t="s">
        <v>27</v>
      </c>
    </row>
    <row r="2939" spans="1:9" x14ac:dyDescent="0.3">
      <c r="A2939" s="26">
        <v>45337</v>
      </c>
      <c r="B2939" t="s">
        <v>1074</v>
      </c>
      <c r="C2939" t="s">
        <v>753</v>
      </c>
      <c r="D2939">
        <v>0.7</v>
      </c>
      <c r="E2939" t="s">
        <v>964</v>
      </c>
      <c r="F2939" t="s">
        <v>754</v>
      </c>
      <c r="G2939" t="s">
        <v>2949</v>
      </c>
      <c r="H2939" t="s">
        <v>31</v>
      </c>
      <c r="I2939" s="28" t="s">
        <v>27</v>
      </c>
    </row>
    <row r="2940" spans="1:9" x14ac:dyDescent="0.3">
      <c r="A2940" s="26">
        <v>45337</v>
      </c>
      <c r="B2940" t="s">
        <v>1074</v>
      </c>
      <c r="C2940" t="s">
        <v>753</v>
      </c>
      <c r="D2940">
        <v>0.92</v>
      </c>
      <c r="E2940" t="s">
        <v>1096</v>
      </c>
      <c r="F2940" t="s">
        <v>754</v>
      </c>
      <c r="H2940" t="s">
        <v>31</v>
      </c>
      <c r="I2940" s="28" t="s">
        <v>27</v>
      </c>
    </row>
    <row r="2941" spans="1:9" x14ac:dyDescent="0.3">
      <c r="A2941" s="26">
        <v>45337</v>
      </c>
      <c r="B2941" t="s">
        <v>1074</v>
      </c>
      <c r="C2941" t="s">
        <v>753</v>
      </c>
      <c r="D2941">
        <v>1.6</v>
      </c>
      <c r="E2941" t="s">
        <v>1096</v>
      </c>
      <c r="F2941" t="s">
        <v>754</v>
      </c>
      <c r="G2941" t="s">
        <v>2950</v>
      </c>
      <c r="H2941" t="s">
        <v>31</v>
      </c>
      <c r="I2941" s="28" t="s">
        <v>27</v>
      </c>
    </row>
    <row r="2942" spans="1:9" x14ac:dyDescent="0.3">
      <c r="A2942" s="26">
        <v>45337</v>
      </c>
      <c r="B2942" t="s">
        <v>1074</v>
      </c>
      <c r="C2942" t="s">
        <v>804</v>
      </c>
      <c r="D2942">
        <v>1.3</v>
      </c>
      <c r="E2942" t="s">
        <v>2261</v>
      </c>
      <c r="F2942" t="s">
        <v>754</v>
      </c>
      <c r="G2942" t="s">
        <v>2951</v>
      </c>
      <c r="H2942" t="s">
        <v>31</v>
      </c>
      <c r="I2942" s="28" t="s">
        <v>27</v>
      </c>
    </row>
    <row r="2943" spans="1:9" x14ac:dyDescent="0.3">
      <c r="A2943" s="26">
        <v>45337</v>
      </c>
      <c r="B2943" t="s">
        <v>1074</v>
      </c>
      <c r="C2943" t="s">
        <v>909</v>
      </c>
      <c r="D2943">
        <v>0.6</v>
      </c>
      <c r="E2943" t="s">
        <v>964</v>
      </c>
      <c r="F2943" t="s">
        <v>754</v>
      </c>
      <c r="G2943" t="s">
        <v>2580</v>
      </c>
      <c r="H2943" t="s">
        <v>31</v>
      </c>
      <c r="I2943" s="28" t="s">
        <v>27</v>
      </c>
    </row>
    <row r="2944" spans="1:9" x14ac:dyDescent="0.3">
      <c r="A2944" s="26">
        <v>45337</v>
      </c>
      <c r="B2944" t="s">
        <v>1074</v>
      </c>
      <c r="C2944" t="s">
        <v>835</v>
      </c>
      <c r="D2944">
        <v>3</v>
      </c>
      <c r="E2944" t="s">
        <v>964</v>
      </c>
      <c r="F2944" t="s">
        <v>754</v>
      </c>
      <c r="G2944" t="s">
        <v>2952</v>
      </c>
      <c r="H2944" t="s">
        <v>31</v>
      </c>
      <c r="I2944" s="28" t="s">
        <v>27</v>
      </c>
    </row>
    <row r="2945" spans="1:9" x14ac:dyDescent="0.3">
      <c r="A2945" s="26">
        <v>45337</v>
      </c>
      <c r="B2945" t="s">
        <v>1074</v>
      </c>
      <c r="C2945" t="s">
        <v>776</v>
      </c>
      <c r="D2945">
        <v>0.2</v>
      </c>
      <c r="E2945" t="s">
        <v>964</v>
      </c>
      <c r="F2945" t="s">
        <v>754</v>
      </c>
      <c r="G2945" t="s">
        <v>2953</v>
      </c>
      <c r="H2945" t="s">
        <v>31</v>
      </c>
      <c r="I2945" s="28" t="s">
        <v>27</v>
      </c>
    </row>
    <row r="2946" spans="1:9" x14ac:dyDescent="0.3">
      <c r="A2946" s="26">
        <v>45337</v>
      </c>
      <c r="B2946" t="s">
        <v>1074</v>
      </c>
      <c r="C2946" t="s">
        <v>776</v>
      </c>
      <c r="D2946">
        <v>0.28000000000000003</v>
      </c>
      <c r="E2946" t="s">
        <v>964</v>
      </c>
      <c r="F2946" t="s">
        <v>754</v>
      </c>
      <c r="G2946" t="s">
        <v>2954</v>
      </c>
      <c r="H2946" t="s">
        <v>31</v>
      </c>
      <c r="I2946" s="28" t="s">
        <v>27</v>
      </c>
    </row>
    <row r="2947" spans="1:9" x14ac:dyDescent="0.3">
      <c r="A2947" s="26">
        <v>45337</v>
      </c>
      <c r="B2947" t="s">
        <v>1074</v>
      </c>
      <c r="C2947" t="s">
        <v>776</v>
      </c>
      <c r="D2947">
        <v>0.4</v>
      </c>
      <c r="E2947" t="s">
        <v>561</v>
      </c>
      <c r="F2947" t="s">
        <v>754</v>
      </c>
      <c r="G2947" t="s">
        <v>2955</v>
      </c>
      <c r="H2947" t="s">
        <v>31</v>
      </c>
      <c r="I2947" s="28" t="s">
        <v>27</v>
      </c>
    </row>
    <row r="2948" spans="1:9" x14ac:dyDescent="0.3">
      <c r="A2948" s="26">
        <v>45337</v>
      </c>
      <c r="B2948" t="s">
        <v>1074</v>
      </c>
      <c r="C2948" t="s">
        <v>2786</v>
      </c>
      <c r="D2948">
        <v>0.2</v>
      </c>
      <c r="E2948" t="s">
        <v>1096</v>
      </c>
      <c r="F2948" t="s">
        <v>754</v>
      </c>
      <c r="G2948" t="s">
        <v>2956</v>
      </c>
      <c r="H2948" t="s">
        <v>31</v>
      </c>
      <c r="I2948" s="28" t="s">
        <v>27</v>
      </c>
    </row>
    <row r="2949" spans="1:9" x14ac:dyDescent="0.3">
      <c r="A2949" s="26">
        <v>45337</v>
      </c>
      <c r="B2949" t="s">
        <v>1505</v>
      </c>
      <c r="C2949" t="s">
        <v>802</v>
      </c>
      <c r="D2949">
        <v>5</v>
      </c>
      <c r="E2949" t="s">
        <v>7</v>
      </c>
      <c r="F2949" t="s">
        <v>772</v>
      </c>
      <c r="G2949" t="s">
        <v>1506</v>
      </c>
      <c r="H2949" t="s">
        <v>31</v>
      </c>
      <c r="I2949" s="28" t="s">
        <v>27</v>
      </c>
    </row>
    <row r="2950" spans="1:9" x14ac:dyDescent="0.3">
      <c r="A2950" s="26">
        <v>45337</v>
      </c>
      <c r="B2950" t="s">
        <v>1081</v>
      </c>
      <c r="C2950" t="s">
        <v>771</v>
      </c>
      <c r="D2950">
        <v>1</v>
      </c>
      <c r="E2950" t="s">
        <v>7</v>
      </c>
      <c r="F2950" t="s">
        <v>772</v>
      </c>
      <c r="G2950" t="e">
        <f>- check venue/activity for March engagement</f>
        <v>#NAME?</v>
      </c>
      <c r="H2950" t="s">
        <v>31</v>
      </c>
      <c r="I2950" s="28" t="s">
        <v>27</v>
      </c>
    </row>
    <row r="2951" spans="1:9" x14ac:dyDescent="0.3">
      <c r="A2951" s="26">
        <v>45337</v>
      </c>
      <c r="B2951" t="s">
        <v>1081</v>
      </c>
      <c r="C2951" t="s">
        <v>771</v>
      </c>
      <c r="D2951">
        <v>2</v>
      </c>
      <c r="E2951" t="s">
        <v>7</v>
      </c>
      <c r="F2951" t="s">
        <v>772</v>
      </c>
      <c r="G2951" t="s">
        <v>2957</v>
      </c>
      <c r="H2951" t="s">
        <v>31</v>
      </c>
      <c r="I2951" s="28" t="s">
        <v>27</v>
      </c>
    </row>
    <row r="2952" spans="1:9" x14ac:dyDescent="0.3">
      <c r="A2952" s="26">
        <v>45337</v>
      </c>
      <c r="B2952" t="s">
        <v>1081</v>
      </c>
      <c r="C2952" t="s">
        <v>771</v>
      </c>
      <c r="D2952">
        <v>4</v>
      </c>
      <c r="E2952" t="s">
        <v>7</v>
      </c>
      <c r="F2952" t="s">
        <v>772</v>
      </c>
      <c r="G2952" t="e">
        <f>- coordinate payment to Ariva Academy - coordinate Clearance and Exit interview sched with April - request deletion of HMO membership - Intellicare SOA validation - respond to queries</f>
        <v>#NAME?</v>
      </c>
      <c r="H2952" t="s">
        <v>31</v>
      </c>
      <c r="I2952" s="28" t="s">
        <v>27</v>
      </c>
    </row>
    <row r="2953" spans="1:9" x14ac:dyDescent="0.3">
      <c r="A2953" s="26">
        <v>45337</v>
      </c>
      <c r="B2953" t="s">
        <v>1081</v>
      </c>
      <c r="C2953" t="s">
        <v>874</v>
      </c>
      <c r="D2953">
        <v>1</v>
      </c>
      <c r="E2953" t="s">
        <v>7</v>
      </c>
      <c r="F2953" t="s">
        <v>772</v>
      </c>
      <c r="G2953" t="s">
        <v>2958</v>
      </c>
      <c r="H2953" t="s">
        <v>31</v>
      </c>
      <c r="I2953" s="28" t="s">
        <v>27</v>
      </c>
    </row>
    <row r="2954" spans="1:9" x14ac:dyDescent="0.3">
      <c r="A2954" s="26">
        <v>45338</v>
      </c>
      <c r="B2954" t="s">
        <v>752</v>
      </c>
      <c r="C2954" t="s">
        <v>753</v>
      </c>
      <c r="D2954">
        <v>0.05</v>
      </c>
      <c r="E2954" t="s">
        <v>664</v>
      </c>
      <c r="F2954" t="s">
        <v>754</v>
      </c>
      <c r="G2954" t="s">
        <v>755</v>
      </c>
      <c r="H2954" t="s">
        <v>31</v>
      </c>
      <c r="I2954" s="28" t="s">
        <v>28</v>
      </c>
    </row>
    <row r="2955" spans="1:9" x14ac:dyDescent="0.3">
      <c r="A2955" s="26">
        <v>45338</v>
      </c>
      <c r="B2955" t="s">
        <v>752</v>
      </c>
      <c r="C2955" t="s">
        <v>753</v>
      </c>
      <c r="D2955">
        <v>7.0000000000000007E-2</v>
      </c>
      <c r="E2955" t="s">
        <v>630</v>
      </c>
      <c r="F2955" t="s">
        <v>754</v>
      </c>
      <c r="G2955" t="s">
        <v>759</v>
      </c>
      <c r="H2955" t="s">
        <v>31</v>
      </c>
      <c r="I2955" s="28" t="s">
        <v>28</v>
      </c>
    </row>
    <row r="2956" spans="1:9" x14ac:dyDescent="0.3">
      <c r="A2956" s="26">
        <v>45338</v>
      </c>
      <c r="B2956" t="s">
        <v>752</v>
      </c>
      <c r="C2956" t="s">
        <v>753</v>
      </c>
      <c r="D2956">
        <v>0.08</v>
      </c>
      <c r="E2956" t="s">
        <v>417</v>
      </c>
      <c r="F2956" t="s">
        <v>754</v>
      </c>
      <c r="G2956" t="s">
        <v>764</v>
      </c>
      <c r="H2956" t="s">
        <v>31</v>
      </c>
      <c r="I2956" s="28" t="s">
        <v>28</v>
      </c>
    </row>
    <row r="2957" spans="1:9" x14ac:dyDescent="0.3">
      <c r="A2957" s="26">
        <v>45338</v>
      </c>
      <c r="B2957" t="s">
        <v>752</v>
      </c>
      <c r="C2957" t="s">
        <v>753</v>
      </c>
      <c r="D2957">
        <v>0.12</v>
      </c>
      <c r="E2957" t="s">
        <v>757</v>
      </c>
      <c r="F2957" t="s">
        <v>754</v>
      </c>
      <c r="G2957" t="s">
        <v>758</v>
      </c>
      <c r="H2957" t="s">
        <v>31</v>
      </c>
      <c r="I2957" s="28" t="s">
        <v>28</v>
      </c>
    </row>
    <row r="2958" spans="1:9" x14ac:dyDescent="0.3">
      <c r="A2958" s="26">
        <v>45338</v>
      </c>
      <c r="B2958" t="s">
        <v>752</v>
      </c>
      <c r="C2958" t="s">
        <v>753</v>
      </c>
      <c r="D2958">
        <v>0.12</v>
      </c>
      <c r="E2958" t="s">
        <v>659</v>
      </c>
      <c r="F2958" t="s">
        <v>754</v>
      </c>
      <c r="G2958" t="s">
        <v>2959</v>
      </c>
      <c r="H2958" t="s">
        <v>31</v>
      </c>
      <c r="I2958" s="28" t="s">
        <v>28</v>
      </c>
    </row>
    <row r="2959" spans="1:9" x14ac:dyDescent="0.3">
      <c r="A2959" s="26">
        <v>45338</v>
      </c>
      <c r="B2959" t="s">
        <v>752</v>
      </c>
      <c r="C2959" t="s">
        <v>753</v>
      </c>
      <c r="D2959">
        <v>0.13</v>
      </c>
      <c r="E2959" t="s">
        <v>602</v>
      </c>
      <c r="F2959" t="s">
        <v>754</v>
      </c>
      <c r="G2959" t="s">
        <v>759</v>
      </c>
      <c r="H2959" t="s">
        <v>31</v>
      </c>
      <c r="I2959" s="28" t="s">
        <v>28</v>
      </c>
    </row>
    <row r="2960" spans="1:9" x14ac:dyDescent="0.3">
      <c r="A2960" s="26">
        <v>45338</v>
      </c>
      <c r="B2960" t="s">
        <v>752</v>
      </c>
      <c r="C2960" t="s">
        <v>753</v>
      </c>
      <c r="D2960">
        <v>0.18</v>
      </c>
      <c r="E2960" t="s">
        <v>430</v>
      </c>
      <c r="F2960" t="s">
        <v>754</v>
      </c>
      <c r="G2960" t="s">
        <v>2960</v>
      </c>
      <c r="H2960" t="s">
        <v>31</v>
      </c>
      <c r="I2960" s="28" t="s">
        <v>28</v>
      </c>
    </row>
    <row r="2961" spans="1:9" x14ac:dyDescent="0.3">
      <c r="A2961" s="26">
        <v>45338</v>
      </c>
      <c r="B2961" t="s">
        <v>752</v>
      </c>
      <c r="C2961" t="s">
        <v>753</v>
      </c>
      <c r="D2961">
        <v>0.2</v>
      </c>
      <c r="E2961" t="s">
        <v>664</v>
      </c>
      <c r="F2961" t="s">
        <v>754</v>
      </c>
      <c r="G2961" t="s">
        <v>1735</v>
      </c>
      <c r="H2961" t="s">
        <v>31</v>
      </c>
      <c r="I2961" s="28" t="s">
        <v>28</v>
      </c>
    </row>
    <row r="2962" spans="1:9" x14ac:dyDescent="0.3">
      <c r="A2962" s="26">
        <v>45338</v>
      </c>
      <c r="B2962" t="s">
        <v>752</v>
      </c>
      <c r="C2962" t="s">
        <v>753</v>
      </c>
      <c r="D2962">
        <v>0.4</v>
      </c>
      <c r="E2962" t="s">
        <v>602</v>
      </c>
      <c r="F2962" t="s">
        <v>754</v>
      </c>
      <c r="G2962" t="s">
        <v>758</v>
      </c>
      <c r="H2962" t="s">
        <v>31</v>
      </c>
      <c r="I2962" s="28" t="s">
        <v>28</v>
      </c>
    </row>
    <row r="2963" spans="1:9" x14ac:dyDescent="0.3">
      <c r="A2963" s="26">
        <v>45338</v>
      </c>
      <c r="B2963" t="s">
        <v>752</v>
      </c>
      <c r="C2963" t="s">
        <v>753</v>
      </c>
      <c r="D2963">
        <v>0.57999999999999996</v>
      </c>
      <c r="E2963" t="s">
        <v>561</v>
      </c>
      <c r="F2963" t="s">
        <v>754</v>
      </c>
      <c r="G2963" t="s">
        <v>765</v>
      </c>
      <c r="H2963" t="s">
        <v>31</v>
      </c>
      <c r="I2963" s="28" t="s">
        <v>28</v>
      </c>
    </row>
    <row r="2964" spans="1:9" x14ac:dyDescent="0.3">
      <c r="A2964" s="26">
        <v>45338</v>
      </c>
      <c r="B2964" t="s">
        <v>752</v>
      </c>
      <c r="C2964" t="s">
        <v>753</v>
      </c>
      <c r="D2964">
        <v>1.42</v>
      </c>
      <c r="E2964" t="s">
        <v>659</v>
      </c>
      <c r="F2964" t="s">
        <v>754</v>
      </c>
      <c r="G2964" t="s">
        <v>765</v>
      </c>
      <c r="H2964" t="s">
        <v>31</v>
      </c>
      <c r="I2964" s="28" t="s">
        <v>28</v>
      </c>
    </row>
    <row r="2965" spans="1:9" x14ac:dyDescent="0.3">
      <c r="A2965" s="26">
        <v>45338</v>
      </c>
      <c r="B2965" t="s">
        <v>752</v>
      </c>
      <c r="C2965" t="s">
        <v>771</v>
      </c>
      <c r="D2965">
        <v>0.12</v>
      </c>
      <c r="E2965" t="s">
        <v>7</v>
      </c>
      <c r="F2965" t="s">
        <v>772</v>
      </c>
      <c r="G2965" t="s">
        <v>2961</v>
      </c>
      <c r="H2965" t="s">
        <v>31</v>
      </c>
      <c r="I2965" s="28" t="s">
        <v>28</v>
      </c>
    </row>
    <row r="2966" spans="1:9" x14ac:dyDescent="0.3">
      <c r="A2966" s="26">
        <v>45338</v>
      </c>
      <c r="B2966" t="s">
        <v>752</v>
      </c>
      <c r="C2966" t="s">
        <v>771</v>
      </c>
      <c r="D2966">
        <v>0.17</v>
      </c>
      <c r="E2966" t="s">
        <v>7</v>
      </c>
      <c r="F2966" t="s">
        <v>772</v>
      </c>
      <c r="G2966" t="s">
        <v>2962</v>
      </c>
      <c r="H2966" t="s">
        <v>31</v>
      </c>
      <c r="I2966" s="28" t="s">
        <v>28</v>
      </c>
    </row>
    <row r="2967" spans="1:9" x14ac:dyDescent="0.3">
      <c r="A2967" s="26">
        <v>45338</v>
      </c>
      <c r="B2967" t="s">
        <v>752</v>
      </c>
      <c r="C2967" t="s">
        <v>771</v>
      </c>
      <c r="D2967">
        <v>0.18</v>
      </c>
      <c r="E2967" t="s">
        <v>7</v>
      </c>
      <c r="F2967" t="s">
        <v>772</v>
      </c>
      <c r="G2967" t="s">
        <v>2963</v>
      </c>
      <c r="H2967" t="s">
        <v>31</v>
      </c>
      <c r="I2967" s="28" t="s">
        <v>28</v>
      </c>
    </row>
    <row r="2968" spans="1:9" x14ac:dyDescent="0.3">
      <c r="A2968" s="26">
        <v>45338</v>
      </c>
      <c r="B2968" t="s">
        <v>752</v>
      </c>
      <c r="C2968" t="s">
        <v>771</v>
      </c>
      <c r="D2968">
        <v>0.25</v>
      </c>
      <c r="E2968" t="s">
        <v>7</v>
      </c>
      <c r="F2968" t="s">
        <v>772</v>
      </c>
      <c r="G2968" t="s">
        <v>774</v>
      </c>
      <c r="H2968" t="s">
        <v>31</v>
      </c>
      <c r="I2968" s="28" t="s">
        <v>28</v>
      </c>
    </row>
    <row r="2969" spans="1:9" x14ac:dyDescent="0.3">
      <c r="A2969" s="26">
        <v>45338</v>
      </c>
      <c r="B2969" t="s">
        <v>752</v>
      </c>
      <c r="C2969" t="s">
        <v>771</v>
      </c>
      <c r="D2969">
        <v>0.25</v>
      </c>
      <c r="E2969" t="s">
        <v>7</v>
      </c>
      <c r="F2969" t="s">
        <v>772</v>
      </c>
      <c r="G2969" t="s">
        <v>775</v>
      </c>
      <c r="H2969" t="s">
        <v>31</v>
      </c>
      <c r="I2969" s="28" t="s">
        <v>28</v>
      </c>
    </row>
    <row r="2970" spans="1:9" x14ac:dyDescent="0.3">
      <c r="A2970" s="26">
        <v>45338</v>
      </c>
      <c r="B2970" t="s">
        <v>752</v>
      </c>
      <c r="C2970" t="s">
        <v>771</v>
      </c>
      <c r="D2970">
        <v>0.25</v>
      </c>
      <c r="E2970" t="s">
        <v>7</v>
      </c>
      <c r="F2970" t="s">
        <v>772</v>
      </c>
      <c r="G2970" t="s">
        <v>2964</v>
      </c>
      <c r="H2970" t="s">
        <v>31</v>
      </c>
      <c r="I2970" s="28" t="s">
        <v>28</v>
      </c>
    </row>
    <row r="2971" spans="1:9" x14ac:dyDescent="0.3">
      <c r="A2971" s="26">
        <v>45338</v>
      </c>
      <c r="B2971" t="s">
        <v>752</v>
      </c>
      <c r="C2971" t="s">
        <v>1441</v>
      </c>
      <c r="D2971">
        <v>0.22</v>
      </c>
      <c r="E2971" t="s">
        <v>553</v>
      </c>
      <c r="F2971" t="s">
        <v>754</v>
      </c>
      <c r="G2971" t="s">
        <v>2965</v>
      </c>
      <c r="H2971" t="s">
        <v>31</v>
      </c>
      <c r="I2971" s="28" t="s">
        <v>28</v>
      </c>
    </row>
    <row r="2972" spans="1:9" x14ac:dyDescent="0.3">
      <c r="A2972" s="26">
        <v>45338</v>
      </c>
      <c r="B2972" t="s">
        <v>752</v>
      </c>
      <c r="C2972" t="s">
        <v>834</v>
      </c>
      <c r="D2972">
        <v>0.17</v>
      </c>
      <c r="E2972" t="s">
        <v>7</v>
      </c>
      <c r="F2972" t="s">
        <v>772</v>
      </c>
      <c r="G2972" t="s">
        <v>1741</v>
      </c>
      <c r="H2972" t="s">
        <v>31</v>
      </c>
      <c r="I2972" s="28" t="s">
        <v>28</v>
      </c>
    </row>
    <row r="2973" spans="1:9" x14ac:dyDescent="0.3">
      <c r="A2973" s="26">
        <v>45338</v>
      </c>
      <c r="B2973" t="s">
        <v>752</v>
      </c>
      <c r="C2973" t="s">
        <v>834</v>
      </c>
      <c r="D2973">
        <v>0.38</v>
      </c>
      <c r="E2973" t="s">
        <v>7</v>
      </c>
      <c r="F2973" t="s">
        <v>772</v>
      </c>
      <c r="G2973" t="s">
        <v>2966</v>
      </c>
      <c r="H2973" t="s">
        <v>31</v>
      </c>
      <c r="I2973" s="28" t="s">
        <v>28</v>
      </c>
    </row>
    <row r="2974" spans="1:9" x14ac:dyDescent="0.3">
      <c r="A2974" s="26">
        <v>45338</v>
      </c>
      <c r="B2974" t="s">
        <v>752</v>
      </c>
      <c r="C2974" t="s">
        <v>835</v>
      </c>
      <c r="D2974">
        <v>0.18</v>
      </c>
      <c r="E2974" t="s">
        <v>210</v>
      </c>
      <c r="F2974" t="s">
        <v>754</v>
      </c>
      <c r="G2974" t="s">
        <v>2967</v>
      </c>
      <c r="H2974" t="s">
        <v>31</v>
      </c>
      <c r="I2974" s="28" t="s">
        <v>28</v>
      </c>
    </row>
    <row r="2975" spans="1:9" x14ac:dyDescent="0.3">
      <c r="A2975" s="26">
        <v>45338</v>
      </c>
      <c r="B2975" t="s">
        <v>752</v>
      </c>
      <c r="C2975" t="s">
        <v>835</v>
      </c>
      <c r="D2975">
        <v>1.35</v>
      </c>
      <c r="E2975" t="s">
        <v>417</v>
      </c>
      <c r="F2975" t="s">
        <v>754</v>
      </c>
      <c r="G2975" t="s">
        <v>2411</v>
      </c>
      <c r="H2975" t="s">
        <v>31</v>
      </c>
      <c r="I2975" s="28" t="s">
        <v>28</v>
      </c>
    </row>
    <row r="2976" spans="1:9" x14ac:dyDescent="0.3">
      <c r="A2976" s="26">
        <v>45338</v>
      </c>
      <c r="B2976" t="s">
        <v>752</v>
      </c>
      <c r="C2976" t="s">
        <v>874</v>
      </c>
      <c r="D2976">
        <v>0.78</v>
      </c>
      <c r="E2976" t="s">
        <v>7</v>
      </c>
      <c r="F2976" t="s">
        <v>772</v>
      </c>
      <c r="G2976" t="s">
        <v>1090</v>
      </c>
      <c r="H2976" t="s">
        <v>31</v>
      </c>
      <c r="I2976" s="28" t="s">
        <v>28</v>
      </c>
    </row>
    <row r="2977" spans="1:9" x14ac:dyDescent="0.3">
      <c r="A2977" s="26">
        <v>45338</v>
      </c>
      <c r="B2977" t="s">
        <v>752</v>
      </c>
      <c r="C2977" t="s">
        <v>776</v>
      </c>
      <c r="D2977">
        <v>0.35</v>
      </c>
      <c r="E2977" t="s">
        <v>553</v>
      </c>
      <c r="F2977" t="s">
        <v>754</v>
      </c>
      <c r="H2977" t="s">
        <v>31</v>
      </c>
      <c r="I2977" s="28" t="s">
        <v>28</v>
      </c>
    </row>
    <row r="2978" spans="1:9" x14ac:dyDescent="0.3">
      <c r="A2978" s="26">
        <v>45338</v>
      </c>
      <c r="B2978" t="s">
        <v>1093</v>
      </c>
      <c r="C2978" t="s">
        <v>1522</v>
      </c>
      <c r="D2978">
        <v>0.33</v>
      </c>
      <c r="E2978" t="s">
        <v>455</v>
      </c>
      <c r="F2978" t="s">
        <v>754</v>
      </c>
      <c r="G2978" t="s">
        <v>2968</v>
      </c>
      <c r="H2978" t="s">
        <v>31</v>
      </c>
      <c r="I2978" s="28" t="s">
        <v>28</v>
      </c>
    </row>
    <row r="2979" spans="1:9" x14ac:dyDescent="0.3">
      <c r="A2979" s="26">
        <v>45338</v>
      </c>
      <c r="B2979" t="s">
        <v>1093</v>
      </c>
      <c r="C2979" t="s">
        <v>1309</v>
      </c>
      <c r="D2979">
        <v>1</v>
      </c>
      <c r="E2979" t="s">
        <v>455</v>
      </c>
      <c r="F2979" t="s">
        <v>754</v>
      </c>
      <c r="G2979" t="s">
        <v>2969</v>
      </c>
      <c r="H2979" t="s">
        <v>31</v>
      </c>
      <c r="I2979" s="28" t="s">
        <v>28</v>
      </c>
    </row>
    <row r="2980" spans="1:9" x14ac:dyDescent="0.3">
      <c r="A2980" s="26">
        <v>45338</v>
      </c>
      <c r="B2980" t="s">
        <v>1093</v>
      </c>
      <c r="C2980" t="s">
        <v>1524</v>
      </c>
      <c r="D2980">
        <v>0.5</v>
      </c>
      <c r="E2980" t="s">
        <v>455</v>
      </c>
      <c r="F2980" t="s">
        <v>754</v>
      </c>
      <c r="G2980" t="s">
        <v>2970</v>
      </c>
      <c r="H2980" t="s">
        <v>31</v>
      </c>
      <c r="I2980" s="28" t="s">
        <v>28</v>
      </c>
    </row>
    <row r="2981" spans="1:9" x14ac:dyDescent="0.3">
      <c r="A2981" s="26">
        <v>45338</v>
      </c>
      <c r="B2981" t="s">
        <v>1093</v>
      </c>
      <c r="C2981" t="s">
        <v>1094</v>
      </c>
      <c r="D2981">
        <v>1.58</v>
      </c>
      <c r="E2981" t="s">
        <v>455</v>
      </c>
      <c r="F2981" t="s">
        <v>754</v>
      </c>
      <c r="G2981" t="s">
        <v>2971</v>
      </c>
      <c r="H2981" t="s">
        <v>31</v>
      </c>
      <c r="I2981" s="28" t="s">
        <v>28</v>
      </c>
    </row>
    <row r="2982" spans="1:9" x14ac:dyDescent="0.3">
      <c r="A2982" s="26">
        <v>45338</v>
      </c>
      <c r="B2982" t="s">
        <v>21</v>
      </c>
      <c r="C2982" t="s">
        <v>753</v>
      </c>
      <c r="D2982">
        <v>0.7</v>
      </c>
      <c r="E2982" t="s">
        <v>589</v>
      </c>
      <c r="F2982" t="s">
        <v>754</v>
      </c>
      <c r="H2982" t="s">
        <v>31</v>
      </c>
      <c r="I2982" s="28" t="s">
        <v>28</v>
      </c>
    </row>
    <row r="2983" spans="1:9" x14ac:dyDescent="0.3">
      <c r="A2983" s="26">
        <v>45338</v>
      </c>
      <c r="B2983" t="s">
        <v>21</v>
      </c>
      <c r="C2983" t="s">
        <v>753</v>
      </c>
      <c r="D2983">
        <v>2.5</v>
      </c>
      <c r="E2983" t="s">
        <v>13</v>
      </c>
      <c r="F2983" t="s">
        <v>754</v>
      </c>
      <c r="H2983" t="s">
        <v>31</v>
      </c>
      <c r="I2983" s="28" t="s">
        <v>28</v>
      </c>
    </row>
    <row r="2984" spans="1:9" x14ac:dyDescent="0.3">
      <c r="A2984" s="26">
        <v>45338</v>
      </c>
      <c r="B2984" t="s">
        <v>21</v>
      </c>
      <c r="C2984" t="s">
        <v>771</v>
      </c>
      <c r="D2984">
        <v>0.17</v>
      </c>
      <c r="E2984" t="s">
        <v>7</v>
      </c>
      <c r="F2984" t="s">
        <v>772</v>
      </c>
      <c r="G2984" t="s">
        <v>2972</v>
      </c>
      <c r="H2984" t="s">
        <v>31</v>
      </c>
      <c r="I2984" s="28" t="s">
        <v>28</v>
      </c>
    </row>
    <row r="2985" spans="1:9" x14ac:dyDescent="0.3">
      <c r="A2985" s="26">
        <v>45338</v>
      </c>
      <c r="B2985" t="s">
        <v>21</v>
      </c>
      <c r="C2985" t="s">
        <v>771</v>
      </c>
      <c r="D2985">
        <v>0.23</v>
      </c>
      <c r="E2985" t="s">
        <v>7</v>
      </c>
      <c r="F2985" t="s">
        <v>772</v>
      </c>
      <c r="G2985" t="s">
        <v>2973</v>
      </c>
      <c r="H2985" t="s">
        <v>31</v>
      </c>
      <c r="I2985" s="28" t="s">
        <v>28</v>
      </c>
    </row>
    <row r="2986" spans="1:9" x14ac:dyDescent="0.3">
      <c r="A2986" s="26">
        <v>45338</v>
      </c>
      <c r="B2986" t="s">
        <v>21</v>
      </c>
      <c r="C2986" t="s">
        <v>771</v>
      </c>
      <c r="D2986">
        <v>0.28000000000000003</v>
      </c>
      <c r="E2986" t="s">
        <v>7</v>
      </c>
      <c r="F2986" t="s">
        <v>772</v>
      </c>
      <c r="G2986" t="s">
        <v>2974</v>
      </c>
      <c r="H2986" t="s">
        <v>31</v>
      </c>
      <c r="I2986" s="28" t="s">
        <v>28</v>
      </c>
    </row>
    <row r="2987" spans="1:9" x14ac:dyDescent="0.3">
      <c r="A2987" s="26">
        <v>45338</v>
      </c>
      <c r="B2987" t="s">
        <v>21</v>
      </c>
      <c r="C2987" t="s">
        <v>771</v>
      </c>
      <c r="D2987">
        <v>1.72</v>
      </c>
      <c r="E2987" t="s">
        <v>7</v>
      </c>
      <c r="F2987" t="s">
        <v>772</v>
      </c>
      <c r="G2987" t="s">
        <v>2975</v>
      </c>
      <c r="H2987" t="s">
        <v>31</v>
      </c>
      <c r="I2987" s="28" t="s">
        <v>28</v>
      </c>
    </row>
    <row r="2988" spans="1:9" x14ac:dyDescent="0.3">
      <c r="A2988" s="26">
        <v>45338</v>
      </c>
      <c r="B2988" t="s">
        <v>21</v>
      </c>
      <c r="C2988" t="s">
        <v>874</v>
      </c>
      <c r="D2988">
        <v>0.23</v>
      </c>
      <c r="E2988" t="s">
        <v>7</v>
      </c>
      <c r="F2988" t="s">
        <v>772</v>
      </c>
      <c r="G2988" t="s">
        <v>2976</v>
      </c>
      <c r="H2988" t="s">
        <v>31</v>
      </c>
      <c r="I2988" s="28" t="s">
        <v>28</v>
      </c>
    </row>
    <row r="2989" spans="1:9" x14ac:dyDescent="0.3">
      <c r="A2989" s="26">
        <v>45338</v>
      </c>
      <c r="B2989" t="s">
        <v>21</v>
      </c>
      <c r="C2989" t="s">
        <v>874</v>
      </c>
      <c r="D2989">
        <v>0.27</v>
      </c>
      <c r="E2989" t="s">
        <v>7</v>
      </c>
      <c r="F2989" t="s">
        <v>772</v>
      </c>
      <c r="G2989" t="s">
        <v>2977</v>
      </c>
      <c r="H2989" t="s">
        <v>31</v>
      </c>
      <c r="I2989" s="28" t="s">
        <v>28</v>
      </c>
    </row>
    <row r="2990" spans="1:9" x14ac:dyDescent="0.3">
      <c r="A2990" s="26">
        <v>45338</v>
      </c>
      <c r="B2990" t="s">
        <v>21</v>
      </c>
      <c r="C2990" t="s">
        <v>874</v>
      </c>
      <c r="D2990">
        <v>0.75</v>
      </c>
      <c r="E2990" t="s">
        <v>7</v>
      </c>
      <c r="F2990" t="s">
        <v>772</v>
      </c>
      <c r="G2990" t="s">
        <v>2978</v>
      </c>
      <c r="H2990" t="s">
        <v>31</v>
      </c>
      <c r="I2990" s="28" t="s">
        <v>28</v>
      </c>
    </row>
    <row r="2991" spans="1:9" x14ac:dyDescent="0.3">
      <c r="A2991" s="26">
        <v>45338</v>
      </c>
      <c r="B2991" t="s">
        <v>21</v>
      </c>
      <c r="C2991" t="s">
        <v>874</v>
      </c>
      <c r="D2991">
        <v>0.78</v>
      </c>
      <c r="E2991" t="s">
        <v>7</v>
      </c>
      <c r="F2991" t="s">
        <v>772</v>
      </c>
      <c r="G2991" t="s">
        <v>2979</v>
      </c>
      <c r="H2991" t="s">
        <v>31</v>
      </c>
      <c r="I2991" s="28" t="s">
        <v>28</v>
      </c>
    </row>
    <row r="2992" spans="1:9" x14ac:dyDescent="0.3">
      <c r="A2992" s="26">
        <v>45338</v>
      </c>
      <c r="B2992" t="s">
        <v>21</v>
      </c>
      <c r="C2992" t="s">
        <v>776</v>
      </c>
      <c r="D2992">
        <v>0.37</v>
      </c>
      <c r="E2992" t="s">
        <v>589</v>
      </c>
      <c r="F2992" t="s">
        <v>754</v>
      </c>
      <c r="H2992" t="s">
        <v>31</v>
      </c>
      <c r="I2992" s="28" t="s">
        <v>28</v>
      </c>
    </row>
    <row r="2993" spans="1:9" x14ac:dyDescent="0.3">
      <c r="A2993" s="26">
        <v>45338</v>
      </c>
      <c r="B2993" t="s">
        <v>785</v>
      </c>
      <c r="C2993" t="s">
        <v>786</v>
      </c>
      <c r="D2993">
        <v>8</v>
      </c>
      <c r="E2993" t="s">
        <v>7</v>
      </c>
      <c r="F2993" t="s">
        <v>772</v>
      </c>
      <c r="G2993" t="s">
        <v>2980</v>
      </c>
      <c r="H2993" t="s">
        <v>31</v>
      </c>
      <c r="I2993" s="28" t="s">
        <v>28</v>
      </c>
    </row>
    <row r="2994" spans="1:9" x14ac:dyDescent="0.3">
      <c r="A2994" s="26">
        <v>45338</v>
      </c>
      <c r="B2994" t="s">
        <v>788</v>
      </c>
      <c r="C2994" t="s">
        <v>786</v>
      </c>
      <c r="D2994">
        <v>8</v>
      </c>
      <c r="E2994" t="s">
        <v>7</v>
      </c>
      <c r="F2994" t="s">
        <v>772</v>
      </c>
      <c r="H2994" t="s">
        <v>31</v>
      </c>
      <c r="I2994" s="28" t="s">
        <v>28</v>
      </c>
    </row>
    <row r="2995" spans="1:9" x14ac:dyDescent="0.3">
      <c r="A2995" s="26">
        <v>45338</v>
      </c>
      <c r="B2995" t="s">
        <v>792</v>
      </c>
      <c r="C2995" t="s">
        <v>753</v>
      </c>
      <c r="D2995">
        <v>0.95</v>
      </c>
      <c r="E2995" t="s">
        <v>790</v>
      </c>
      <c r="F2995" t="s">
        <v>754</v>
      </c>
      <c r="G2995" t="s">
        <v>2981</v>
      </c>
      <c r="H2995" t="s">
        <v>31</v>
      </c>
      <c r="I2995" s="28" t="s">
        <v>28</v>
      </c>
    </row>
    <row r="2996" spans="1:9" x14ac:dyDescent="0.3">
      <c r="A2996" s="26">
        <v>45338</v>
      </c>
      <c r="B2996" t="s">
        <v>792</v>
      </c>
      <c r="C2996" t="s">
        <v>753</v>
      </c>
      <c r="D2996">
        <v>1.83</v>
      </c>
      <c r="E2996" t="s">
        <v>790</v>
      </c>
      <c r="F2996" t="s">
        <v>754</v>
      </c>
      <c r="G2996" t="s">
        <v>2426</v>
      </c>
      <c r="H2996" t="s">
        <v>31</v>
      </c>
      <c r="I2996" s="28" t="s">
        <v>28</v>
      </c>
    </row>
    <row r="2997" spans="1:9" x14ac:dyDescent="0.3">
      <c r="A2997" s="26">
        <v>45338</v>
      </c>
      <c r="B2997" t="s">
        <v>792</v>
      </c>
      <c r="C2997" t="s">
        <v>753</v>
      </c>
      <c r="D2997">
        <v>4.62</v>
      </c>
      <c r="E2997" t="s">
        <v>790</v>
      </c>
      <c r="F2997" t="s">
        <v>754</v>
      </c>
      <c r="G2997" t="s">
        <v>1541</v>
      </c>
      <c r="H2997" t="s">
        <v>31</v>
      </c>
      <c r="I2997" s="28" t="s">
        <v>28</v>
      </c>
    </row>
    <row r="2998" spans="1:9" x14ac:dyDescent="0.3">
      <c r="A2998" s="26">
        <v>45338</v>
      </c>
      <c r="B2998" t="s">
        <v>792</v>
      </c>
      <c r="C2998" t="s">
        <v>874</v>
      </c>
      <c r="D2998">
        <v>1</v>
      </c>
      <c r="E2998" t="s">
        <v>7</v>
      </c>
      <c r="F2998" t="s">
        <v>772</v>
      </c>
      <c r="G2998" t="s">
        <v>2982</v>
      </c>
      <c r="H2998" t="s">
        <v>31</v>
      </c>
      <c r="I2998" s="28" t="s">
        <v>28</v>
      </c>
    </row>
    <row r="2999" spans="1:9" x14ac:dyDescent="0.3">
      <c r="A2999" s="26">
        <v>45338</v>
      </c>
      <c r="B2999" t="s">
        <v>796</v>
      </c>
      <c r="C2999" t="s">
        <v>1163</v>
      </c>
      <c r="D2999">
        <v>4</v>
      </c>
      <c r="E2999" t="s">
        <v>7</v>
      </c>
      <c r="F2999" t="s">
        <v>772</v>
      </c>
      <c r="H2999" t="s">
        <v>31</v>
      </c>
      <c r="I2999" s="28" t="s">
        <v>28</v>
      </c>
    </row>
    <row r="3000" spans="1:9" x14ac:dyDescent="0.3">
      <c r="A3000" s="26">
        <v>45338</v>
      </c>
      <c r="B3000" t="s">
        <v>796</v>
      </c>
      <c r="C3000" t="s">
        <v>753</v>
      </c>
      <c r="D3000">
        <v>2.75</v>
      </c>
      <c r="E3000" t="s">
        <v>430</v>
      </c>
      <c r="F3000" t="s">
        <v>772</v>
      </c>
      <c r="G3000" t="s">
        <v>2983</v>
      </c>
      <c r="H3000" t="s">
        <v>31</v>
      </c>
      <c r="I3000" s="28" t="s">
        <v>28</v>
      </c>
    </row>
    <row r="3001" spans="1:9" x14ac:dyDescent="0.3">
      <c r="A3001" s="26">
        <v>45338</v>
      </c>
      <c r="B3001" t="s">
        <v>796</v>
      </c>
      <c r="C3001" t="s">
        <v>771</v>
      </c>
      <c r="D3001">
        <v>0.42</v>
      </c>
      <c r="E3001" t="s">
        <v>7</v>
      </c>
      <c r="F3001" t="s">
        <v>772</v>
      </c>
      <c r="G3001" t="s">
        <v>2984</v>
      </c>
      <c r="H3001" t="s">
        <v>31</v>
      </c>
      <c r="I3001" s="28" t="s">
        <v>28</v>
      </c>
    </row>
    <row r="3002" spans="1:9" x14ac:dyDescent="0.3">
      <c r="A3002" s="26">
        <v>45338</v>
      </c>
      <c r="B3002" t="s">
        <v>796</v>
      </c>
      <c r="C3002" t="s">
        <v>771</v>
      </c>
      <c r="D3002">
        <v>0.83</v>
      </c>
      <c r="E3002" t="s">
        <v>7</v>
      </c>
      <c r="F3002" t="s">
        <v>772</v>
      </c>
      <c r="H3002" t="s">
        <v>31</v>
      </c>
      <c r="I3002" s="28" t="s">
        <v>28</v>
      </c>
    </row>
    <row r="3003" spans="1:9" x14ac:dyDescent="0.3">
      <c r="A3003" s="26">
        <v>45338</v>
      </c>
      <c r="B3003" t="s">
        <v>801</v>
      </c>
      <c r="C3003" t="s">
        <v>802</v>
      </c>
      <c r="D3003">
        <v>9.7200000000000006</v>
      </c>
      <c r="E3003" t="s">
        <v>7</v>
      </c>
      <c r="F3003" t="s">
        <v>772</v>
      </c>
      <c r="H3003" t="s">
        <v>31</v>
      </c>
      <c r="I3003" s="28" t="s">
        <v>28</v>
      </c>
    </row>
    <row r="3004" spans="1:9" x14ac:dyDescent="0.3">
      <c r="A3004" s="26">
        <v>45338</v>
      </c>
      <c r="B3004" t="s">
        <v>806</v>
      </c>
      <c r="C3004" t="s">
        <v>802</v>
      </c>
      <c r="D3004">
        <v>3</v>
      </c>
      <c r="E3004" t="s">
        <v>7</v>
      </c>
      <c r="F3004" t="s">
        <v>772</v>
      </c>
      <c r="G3004" t="s">
        <v>2985</v>
      </c>
      <c r="H3004" t="s">
        <v>31</v>
      </c>
      <c r="I3004" s="28" t="s">
        <v>28</v>
      </c>
    </row>
    <row r="3005" spans="1:9" x14ac:dyDescent="0.3">
      <c r="A3005" s="26">
        <v>45338</v>
      </c>
      <c r="B3005" t="s">
        <v>808</v>
      </c>
      <c r="C3005" t="s">
        <v>802</v>
      </c>
      <c r="D3005">
        <v>9</v>
      </c>
      <c r="E3005" t="s">
        <v>7</v>
      </c>
      <c r="F3005" t="s">
        <v>772</v>
      </c>
      <c r="G3005" t="s">
        <v>2794</v>
      </c>
      <c r="H3005" t="s">
        <v>31</v>
      </c>
      <c r="I3005" s="28" t="s">
        <v>28</v>
      </c>
    </row>
    <row r="3006" spans="1:9" x14ac:dyDescent="0.3">
      <c r="A3006" s="26">
        <v>45338</v>
      </c>
      <c r="B3006" t="s">
        <v>810</v>
      </c>
      <c r="C3006" t="s">
        <v>753</v>
      </c>
      <c r="D3006">
        <v>0.17</v>
      </c>
      <c r="E3006" t="s">
        <v>815</v>
      </c>
      <c r="F3006" t="s">
        <v>754</v>
      </c>
      <c r="G3006" t="s">
        <v>849</v>
      </c>
      <c r="H3006" t="s">
        <v>31</v>
      </c>
      <c r="I3006" s="28" t="s">
        <v>28</v>
      </c>
    </row>
    <row r="3007" spans="1:9" x14ac:dyDescent="0.3">
      <c r="A3007" s="26">
        <v>45338</v>
      </c>
      <c r="B3007" t="s">
        <v>810</v>
      </c>
      <c r="C3007" t="s">
        <v>753</v>
      </c>
      <c r="D3007">
        <v>0.25</v>
      </c>
      <c r="E3007" t="s">
        <v>687</v>
      </c>
      <c r="F3007" t="s">
        <v>772</v>
      </c>
      <c r="G3007" t="s">
        <v>1548</v>
      </c>
      <c r="H3007" t="s">
        <v>31</v>
      </c>
      <c r="I3007" s="28" t="s">
        <v>28</v>
      </c>
    </row>
    <row r="3008" spans="1:9" x14ac:dyDescent="0.3">
      <c r="A3008" s="26">
        <v>45338</v>
      </c>
      <c r="B3008" t="s">
        <v>810</v>
      </c>
      <c r="C3008" t="s">
        <v>753</v>
      </c>
      <c r="D3008">
        <v>0.42</v>
      </c>
      <c r="E3008" t="s">
        <v>910</v>
      </c>
      <c r="F3008" t="s">
        <v>754</v>
      </c>
      <c r="G3008" t="s">
        <v>2607</v>
      </c>
      <c r="H3008" t="s">
        <v>31</v>
      </c>
      <c r="I3008" s="28" t="s">
        <v>28</v>
      </c>
    </row>
    <row r="3009" spans="1:9" x14ac:dyDescent="0.3">
      <c r="A3009" s="26">
        <v>45338</v>
      </c>
      <c r="B3009" t="s">
        <v>810</v>
      </c>
      <c r="C3009" t="s">
        <v>753</v>
      </c>
      <c r="D3009">
        <v>1.08</v>
      </c>
      <c r="E3009" t="s">
        <v>687</v>
      </c>
      <c r="F3009" t="s">
        <v>754</v>
      </c>
      <c r="G3009" t="s">
        <v>1339</v>
      </c>
      <c r="H3009" t="s">
        <v>31</v>
      </c>
      <c r="I3009" s="28" t="s">
        <v>28</v>
      </c>
    </row>
    <row r="3010" spans="1:9" x14ac:dyDescent="0.3">
      <c r="A3010" s="26">
        <v>45338</v>
      </c>
      <c r="B3010" t="s">
        <v>810</v>
      </c>
      <c r="C3010" t="s">
        <v>753</v>
      </c>
      <c r="D3010">
        <v>4.58</v>
      </c>
      <c r="E3010" t="s">
        <v>516</v>
      </c>
      <c r="F3010" t="s">
        <v>754</v>
      </c>
      <c r="G3010" t="s">
        <v>2986</v>
      </c>
      <c r="H3010" t="s">
        <v>31</v>
      </c>
      <c r="I3010" s="28" t="s">
        <v>28</v>
      </c>
    </row>
    <row r="3011" spans="1:9" x14ac:dyDescent="0.3">
      <c r="A3011" s="26">
        <v>45338</v>
      </c>
      <c r="B3011" t="s">
        <v>810</v>
      </c>
      <c r="C3011" t="s">
        <v>771</v>
      </c>
      <c r="D3011">
        <v>0.5</v>
      </c>
      <c r="E3011" t="s">
        <v>7</v>
      </c>
      <c r="F3011" t="s">
        <v>772</v>
      </c>
      <c r="G3011" t="s">
        <v>781</v>
      </c>
      <c r="H3011" t="s">
        <v>31</v>
      </c>
      <c r="I3011" s="28" t="s">
        <v>28</v>
      </c>
    </row>
    <row r="3012" spans="1:9" x14ac:dyDescent="0.3">
      <c r="A3012" s="26">
        <v>45338</v>
      </c>
      <c r="B3012" t="s">
        <v>810</v>
      </c>
      <c r="C3012" t="s">
        <v>874</v>
      </c>
      <c r="D3012">
        <v>0.83</v>
      </c>
      <c r="E3012" t="s">
        <v>7</v>
      </c>
      <c r="F3012" t="s">
        <v>772</v>
      </c>
      <c r="G3012" t="s">
        <v>1125</v>
      </c>
      <c r="H3012" t="s">
        <v>31</v>
      </c>
      <c r="I3012" s="28" t="s">
        <v>28</v>
      </c>
    </row>
    <row r="3013" spans="1:9" x14ac:dyDescent="0.3">
      <c r="A3013" s="26">
        <v>45338</v>
      </c>
      <c r="B3013" t="s">
        <v>810</v>
      </c>
      <c r="C3013" t="s">
        <v>919</v>
      </c>
      <c r="D3013">
        <v>0.17</v>
      </c>
      <c r="E3013" t="s">
        <v>2987</v>
      </c>
      <c r="F3013" t="s">
        <v>754</v>
      </c>
      <c r="G3013" t="s">
        <v>2607</v>
      </c>
      <c r="H3013" t="s">
        <v>31</v>
      </c>
      <c r="I3013" s="28" t="s">
        <v>28</v>
      </c>
    </row>
    <row r="3014" spans="1:9" x14ac:dyDescent="0.3">
      <c r="A3014" s="26">
        <v>45338</v>
      </c>
      <c r="B3014" t="s">
        <v>829</v>
      </c>
      <c r="C3014" t="s">
        <v>753</v>
      </c>
      <c r="D3014">
        <v>7.0000000000000007E-2</v>
      </c>
      <c r="E3014" t="s">
        <v>898</v>
      </c>
      <c r="F3014" t="s">
        <v>772</v>
      </c>
      <c r="G3014" t="s">
        <v>2988</v>
      </c>
      <c r="H3014" t="s">
        <v>31</v>
      </c>
      <c r="I3014" s="28" t="s">
        <v>28</v>
      </c>
    </row>
    <row r="3015" spans="1:9" x14ac:dyDescent="0.3">
      <c r="A3015" s="26">
        <v>45338</v>
      </c>
      <c r="B3015" t="s">
        <v>829</v>
      </c>
      <c r="C3015" t="s">
        <v>753</v>
      </c>
      <c r="D3015">
        <v>0.17</v>
      </c>
      <c r="E3015" t="s">
        <v>857</v>
      </c>
      <c r="F3015" t="s">
        <v>754</v>
      </c>
      <c r="G3015" t="s">
        <v>1243</v>
      </c>
      <c r="H3015" t="s">
        <v>31</v>
      </c>
      <c r="I3015" s="28" t="s">
        <v>28</v>
      </c>
    </row>
    <row r="3016" spans="1:9" x14ac:dyDescent="0.3">
      <c r="A3016" s="26">
        <v>45338</v>
      </c>
      <c r="B3016" t="s">
        <v>829</v>
      </c>
      <c r="C3016" t="s">
        <v>753</v>
      </c>
      <c r="D3016">
        <v>0.32</v>
      </c>
      <c r="E3016" t="s">
        <v>857</v>
      </c>
      <c r="F3016" t="s">
        <v>754</v>
      </c>
      <c r="G3016" t="s">
        <v>2989</v>
      </c>
      <c r="H3016" t="s">
        <v>31</v>
      </c>
      <c r="I3016" s="28" t="s">
        <v>28</v>
      </c>
    </row>
    <row r="3017" spans="1:9" x14ac:dyDescent="0.3">
      <c r="A3017" s="26">
        <v>45338</v>
      </c>
      <c r="B3017" t="s">
        <v>829</v>
      </c>
      <c r="C3017" t="s">
        <v>753</v>
      </c>
      <c r="D3017">
        <v>0.33</v>
      </c>
      <c r="E3017" t="s">
        <v>985</v>
      </c>
      <c r="F3017" t="s">
        <v>772</v>
      </c>
      <c r="G3017" t="s">
        <v>2988</v>
      </c>
      <c r="H3017" t="s">
        <v>31</v>
      </c>
      <c r="I3017" s="28" t="s">
        <v>28</v>
      </c>
    </row>
    <row r="3018" spans="1:9" x14ac:dyDescent="0.3">
      <c r="A3018" s="26">
        <v>45338</v>
      </c>
      <c r="B3018" t="s">
        <v>829</v>
      </c>
      <c r="C3018" t="s">
        <v>753</v>
      </c>
      <c r="D3018">
        <v>0.42</v>
      </c>
      <c r="E3018" t="s">
        <v>226</v>
      </c>
      <c r="F3018" t="s">
        <v>754</v>
      </c>
      <c r="G3018" t="s">
        <v>2990</v>
      </c>
      <c r="H3018" t="s">
        <v>31</v>
      </c>
      <c r="I3018" s="28" t="s">
        <v>28</v>
      </c>
    </row>
    <row r="3019" spans="1:9" x14ac:dyDescent="0.3">
      <c r="A3019" s="26">
        <v>45338</v>
      </c>
      <c r="B3019" t="s">
        <v>829</v>
      </c>
      <c r="C3019" t="s">
        <v>753</v>
      </c>
      <c r="D3019">
        <v>0.83</v>
      </c>
      <c r="E3019" t="s">
        <v>226</v>
      </c>
      <c r="F3019" t="s">
        <v>754</v>
      </c>
      <c r="G3019" t="s">
        <v>2442</v>
      </c>
      <c r="H3019" t="s">
        <v>31</v>
      </c>
      <c r="I3019" s="28" t="s">
        <v>28</v>
      </c>
    </row>
    <row r="3020" spans="1:9" x14ac:dyDescent="0.3">
      <c r="A3020" s="26">
        <v>45338</v>
      </c>
      <c r="B3020" t="s">
        <v>829</v>
      </c>
      <c r="C3020" t="s">
        <v>753</v>
      </c>
      <c r="D3020">
        <v>4.3499999999999996</v>
      </c>
      <c r="E3020" t="s">
        <v>226</v>
      </c>
      <c r="F3020" t="s">
        <v>754</v>
      </c>
      <c r="G3020" t="s">
        <v>2991</v>
      </c>
      <c r="H3020" t="s">
        <v>31</v>
      </c>
      <c r="I3020" s="28" t="s">
        <v>28</v>
      </c>
    </row>
    <row r="3021" spans="1:9" x14ac:dyDescent="0.3">
      <c r="A3021" s="26">
        <v>45338</v>
      </c>
      <c r="B3021" t="s">
        <v>829</v>
      </c>
      <c r="C3021" t="s">
        <v>771</v>
      </c>
      <c r="D3021">
        <v>0.75</v>
      </c>
      <c r="E3021" t="s">
        <v>7</v>
      </c>
      <c r="F3021" t="s">
        <v>772</v>
      </c>
      <c r="G3021" t="s">
        <v>1018</v>
      </c>
      <c r="H3021" t="s">
        <v>31</v>
      </c>
      <c r="I3021" s="28" t="s">
        <v>28</v>
      </c>
    </row>
    <row r="3022" spans="1:9" x14ac:dyDescent="0.3">
      <c r="A3022" s="26">
        <v>45338</v>
      </c>
      <c r="B3022" t="s">
        <v>829</v>
      </c>
      <c r="C3022" t="s">
        <v>874</v>
      </c>
      <c r="D3022">
        <v>0.77</v>
      </c>
      <c r="E3022" t="s">
        <v>7</v>
      </c>
      <c r="F3022" t="s">
        <v>772</v>
      </c>
      <c r="G3022" t="s">
        <v>1982</v>
      </c>
      <c r="H3022" t="s">
        <v>31</v>
      </c>
      <c r="I3022" s="28" t="s">
        <v>28</v>
      </c>
    </row>
    <row r="3023" spans="1:9" x14ac:dyDescent="0.3">
      <c r="A3023" s="26">
        <v>45338</v>
      </c>
      <c r="B3023" t="s">
        <v>840</v>
      </c>
      <c r="C3023" t="s">
        <v>771</v>
      </c>
      <c r="D3023">
        <v>9.75</v>
      </c>
      <c r="E3023" t="s">
        <v>7</v>
      </c>
      <c r="F3023" t="s">
        <v>772</v>
      </c>
      <c r="G3023" t="e">
        <f>- Meeting with Ali. - ASIC - Emails - re-Arranged schedule of meetings for Nick, Ali and Shalini. - Admin Overview Meeting with Sherly.</f>
        <v>#NAME?</v>
      </c>
      <c r="H3023" t="s">
        <v>31</v>
      </c>
      <c r="I3023" s="28" t="s">
        <v>28</v>
      </c>
    </row>
    <row r="3024" spans="1:9" x14ac:dyDescent="0.3">
      <c r="A3024" s="26">
        <v>45338</v>
      </c>
      <c r="B3024" t="s">
        <v>843</v>
      </c>
      <c r="C3024" t="s">
        <v>753</v>
      </c>
      <c r="D3024">
        <v>0.68</v>
      </c>
      <c r="E3024" t="s">
        <v>234</v>
      </c>
      <c r="F3024" t="s">
        <v>754</v>
      </c>
      <c r="G3024" t="s">
        <v>2992</v>
      </c>
      <c r="H3024" t="s">
        <v>31</v>
      </c>
      <c r="I3024" s="28" t="s">
        <v>28</v>
      </c>
    </row>
    <row r="3025" spans="1:9" x14ac:dyDescent="0.3">
      <c r="A3025" s="26">
        <v>45338</v>
      </c>
      <c r="B3025" t="s">
        <v>843</v>
      </c>
      <c r="C3025" t="s">
        <v>753</v>
      </c>
      <c r="D3025">
        <v>0.8</v>
      </c>
      <c r="E3025" t="s">
        <v>628</v>
      </c>
      <c r="F3025" t="s">
        <v>754</v>
      </c>
      <c r="G3025" t="s">
        <v>2993</v>
      </c>
      <c r="H3025" t="s">
        <v>31</v>
      </c>
      <c r="I3025" s="28" t="s">
        <v>28</v>
      </c>
    </row>
    <row r="3026" spans="1:9" x14ac:dyDescent="0.3">
      <c r="A3026" s="26">
        <v>45338</v>
      </c>
      <c r="B3026" t="s">
        <v>843</v>
      </c>
      <c r="C3026" t="s">
        <v>853</v>
      </c>
      <c r="D3026">
        <v>0.75</v>
      </c>
      <c r="E3026" t="s">
        <v>259</v>
      </c>
      <c r="F3026" t="s">
        <v>754</v>
      </c>
      <c r="G3026" t="s">
        <v>2994</v>
      </c>
      <c r="H3026" t="s">
        <v>31</v>
      </c>
      <c r="I3026" s="28" t="s">
        <v>28</v>
      </c>
    </row>
    <row r="3027" spans="1:9" x14ac:dyDescent="0.3">
      <c r="A3027" s="26">
        <v>45338</v>
      </c>
      <c r="B3027" t="s">
        <v>843</v>
      </c>
      <c r="C3027" t="s">
        <v>853</v>
      </c>
      <c r="D3027">
        <v>0.78</v>
      </c>
      <c r="E3027" t="s">
        <v>259</v>
      </c>
      <c r="F3027" t="s">
        <v>754</v>
      </c>
      <c r="G3027" t="s">
        <v>2995</v>
      </c>
      <c r="H3027" t="s">
        <v>31</v>
      </c>
      <c r="I3027" s="28" t="s">
        <v>28</v>
      </c>
    </row>
    <row r="3028" spans="1:9" x14ac:dyDescent="0.3">
      <c r="A3028" s="26">
        <v>45338</v>
      </c>
      <c r="B3028" t="s">
        <v>843</v>
      </c>
      <c r="C3028" t="s">
        <v>853</v>
      </c>
      <c r="D3028">
        <v>1.42</v>
      </c>
      <c r="E3028" t="s">
        <v>259</v>
      </c>
      <c r="F3028" t="s">
        <v>754</v>
      </c>
      <c r="G3028" t="s">
        <v>2996</v>
      </c>
      <c r="H3028" t="s">
        <v>31</v>
      </c>
      <c r="I3028" s="28" t="s">
        <v>28</v>
      </c>
    </row>
    <row r="3029" spans="1:9" x14ac:dyDescent="0.3">
      <c r="A3029" s="26">
        <v>45338</v>
      </c>
      <c r="B3029" t="s">
        <v>843</v>
      </c>
      <c r="C3029" t="s">
        <v>771</v>
      </c>
      <c r="D3029">
        <v>0.5</v>
      </c>
      <c r="E3029" t="s">
        <v>7</v>
      </c>
      <c r="F3029" t="s">
        <v>772</v>
      </c>
      <c r="G3029" t="s">
        <v>781</v>
      </c>
      <c r="H3029" t="s">
        <v>31</v>
      </c>
      <c r="I3029" s="28" t="s">
        <v>28</v>
      </c>
    </row>
    <row r="3030" spans="1:9" x14ac:dyDescent="0.3">
      <c r="A3030" s="26">
        <v>45338</v>
      </c>
      <c r="B3030" t="s">
        <v>843</v>
      </c>
      <c r="C3030" t="s">
        <v>771</v>
      </c>
      <c r="D3030">
        <v>0.88</v>
      </c>
      <c r="E3030" t="s">
        <v>7</v>
      </c>
      <c r="F3030" t="s">
        <v>772</v>
      </c>
      <c r="G3030" t="s">
        <v>1110</v>
      </c>
      <c r="H3030" t="s">
        <v>31</v>
      </c>
      <c r="I3030" s="28" t="s">
        <v>28</v>
      </c>
    </row>
    <row r="3031" spans="1:9" x14ac:dyDescent="0.3">
      <c r="A3031" s="26">
        <v>45338</v>
      </c>
      <c r="B3031" t="s">
        <v>843</v>
      </c>
      <c r="C3031" t="s">
        <v>834</v>
      </c>
      <c r="D3031">
        <v>0.63</v>
      </c>
      <c r="E3031" t="s">
        <v>7</v>
      </c>
      <c r="F3031" t="s">
        <v>772</v>
      </c>
      <c r="G3031" t="s">
        <v>2997</v>
      </c>
      <c r="H3031" t="s">
        <v>31</v>
      </c>
      <c r="I3031" s="28" t="s">
        <v>28</v>
      </c>
    </row>
    <row r="3032" spans="1:9" x14ac:dyDescent="0.3">
      <c r="A3032" s="26">
        <v>45338</v>
      </c>
      <c r="B3032" t="s">
        <v>843</v>
      </c>
      <c r="C3032" t="s">
        <v>874</v>
      </c>
      <c r="D3032">
        <v>1.55</v>
      </c>
      <c r="E3032" t="s">
        <v>7</v>
      </c>
      <c r="F3032" t="s">
        <v>772</v>
      </c>
      <c r="G3032" t="s">
        <v>2809</v>
      </c>
      <c r="H3032" t="s">
        <v>31</v>
      </c>
      <c r="I3032" s="28" t="s">
        <v>28</v>
      </c>
    </row>
    <row r="3033" spans="1:9" x14ac:dyDescent="0.3">
      <c r="A3033" s="26">
        <v>45338</v>
      </c>
      <c r="B3033" t="s">
        <v>856</v>
      </c>
      <c r="C3033" t="s">
        <v>1163</v>
      </c>
      <c r="D3033">
        <v>8</v>
      </c>
      <c r="E3033" t="s">
        <v>7</v>
      </c>
      <c r="F3033" t="s">
        <v>772</v>
      </c>
      <c r="H3033" t="s">
        <v>31</v>
      </c>
      <c r="I3033" s="28" t="s">
        <v>28</v>
      </c>
    </row>
    <row r="3034" spans="1:9" x14ac:dyDescent="0.3">
      <c r="A3034" s="26">
        <v>45338</v>
      </c>
      <c r="B3034" t="s">
        <v>33</v>
      </c>
      <c r="C3034" t="s">
        <v>771</v>
      </c>
      <c r="D3034">
        <v>0.42</v>
      </c>
      <c r="E3034" t="s">
        <v>7</v>
      </c>
      <c r="F3034" t="s">
        <v>772</v>
      </c>
      <c r="G3034" t="s">
        <v>2998</v>
      </c>
      <c r="H3034" t="s">
        <v>31</v>
      </c>
      <c r="I3034" s="28" t="s">
        <v>28</v>
      </c>
    </row>
    <row r="3035" spans="1:9" x14ac:dyDescent="0.3">
      <c r="A3035" s="26">
        <v>45338</v>
      </c>
      <c r="B3035" t="s">
        <v>33</v>
      </c>
      <c r="C3035" t="s">
        <v>771</v>
      </c>
      <c r="D3035">
        <v>0.45</v>
      </c>
      <c r="E3035" t="s">
        <v>7</v>
      </c>
      <c r="F3035" t="s">
        <v>772</v>
      </c>
      <c r="G3035" t="s">
        <v>2999</v>
      </c>
      <c r="H3035" t="s">
        <v>31</v>
      </c>
      <c r="I3035" s="28" t="s">
        <v>28</v>
      </c>
    </row>
    <row r="3036" spans="1:9" x14ac:dyDescent="0.3">
      <c r="A3036" s="26">
        <v>45338</v>
      </c>
      <c r="B3036" t="s">
        <v>33</v>
      </c>
      <c r="C3036" t="s">
        <v>771</v>
      </c>
      <c r="D3036">
        <v>0.57999999999999996</v>
      </c>
      <c r="E3036" t="s">
        <v>7</v>
      </c>
      <c r="F3036" t="s">
        <v>772</v>
      </c>
      <c r="G3036" t="s">
        <v>3000</v>
      </c>
      <c r="H3036" t="s">
        <v>31</v>
      </c>
      <c r="I3036" s="28" t="s">
        <v>28</v>
      </c>
    </row>
    <row r="3037" spans="1:9" x14ac:dyDescent="0.3">
      <c r="A3037" s="26">
        <v>45338</v>
      </c>
      <c r="B3037" t="s">
        <v>33</v>
      </c>
      <c r="C3037" t="s">
        <v>771</v>
      </c>
      <c r="D3037">
        <v>0.8</v>
      </c>
      <c r="E3037" t="s">
        <v>7</v>
      </c>
      <c r="F3037" t="s">
        <v>772</v>
      </c>
      <c r="G3037" t="s">
        <v>2456</v>
      </c>
      <c r="H3037" t="s">
        <v>31</v>
      </c>
      <c r="I3037" s="28" t="s">
        <v>28</v>
      </c>
    </row>
    <row r="3038" spans="1:9" x14ac:dyDescent="0.3">
      <c r="A3038" s="26">
        <v>45338</v>
      </c>
      <c r="B3038" t="s">
        <v>33</v>
      </c>
      <c r="C3038" t="s">
        <v>771</v>
      </c>
      <c r="D3038">
        <v>1.38</v>
      </c>
      <c r="E3038" t="s">
        <v>7</v>
      </c>
      <c r="F3038" t="s">
        <v>772</v>
      </c>
      <c r="G3038" t="s">
        <v>3001</v>
      </c>
      <c r="H3038" t="s">
        <v>31</v>
      </c>
      <c r="I3038" s="28" t="s">
        <v>28</v>
      </c>
    </row>
    <row r="3039" spans="1:9" x14ac:dyDescent="0.3">
      <c r="A3039" s="26">
        <v>45338</v>
      </c>
      <c r="B3039" t="s">
        <v>33</v>
      </c>
      <c r="C3039" t="s">
        <v>771</v>
      </c>
      <c r="D3039">
        <v>1.77</v>
      </c>
      <c r="E3039" t="s">
        <v>7</v>
      </c>
      <c r="F3039" t="s">
        <v>772</v>
      </c>
      <c r="G3039" t="s">
        <v>3002</v>
      </c>
      <c r="H3039" t="s">
        <v>31</v>
      </c>
      <c r="I3039" s="28" t="s">
        <v>28</v>
      </c>
    </row>
    <row r="3040" spans="1:9" x14ac:dyDescent="0.3">
      <c r="A3040" s="26">
        <v>45338</v>
      </c>
      <c r="B3040" t="s">
        <v>33</v>
      </c>
      <c r="C3040" t="s">
        <v>771</v>
      </c>
      <c r="D3040">
        <v>1.77</v>
      </c>
      <c r="E3040" t="s">
        <v>7</v>
      </c>
      <c r="F3040" t="s">
        <v>772</v>
      </c>
      <c r="G3040" t="s">
        <v>3003</v>
      </c>
      <c r="H3040" t="s">
        <v>31</v>
      </c>
      <c r="I3040" s="28" t="s">
        <v>28</v>
      </c>
    </row>
    <row r="3041" spans="1:9" x14ac:dyDescent="0.3">
      <c r="A3041" s="26">
        <v>45338</v>
      </c>
      <c r="B3041" t="s">
        <v>33</v>
      </c>
      <c r="C3041" t="s">
        <v>874</v>
      </c>
      <c r="D3041">
        <v>0.78</v>
      </c>
      <c r="E3041" t="s">
        <v>7</v>
      </c>
      <c r="F3041" t="s">
        <v>772</v>
      </c>
      <c r="G3041" t="s">
        <v>3004</v>
      </c>
      <c r="H3041" t="s">
        <v>31</v>
      </c>
      <c r="I3041" s="28" t="s">
        <v>28</v>
      </c>
    </row>
    <row r="3042" spans="1:9" x14ac:dyDescent="0.3">
      <c r="A3042" s="26">
        <v>45338</v>
      </c>
      <c r="B3042" t="s">
        <v>876</v>
      </c>
      <c r="C3042" t="s">
        <v>753</v>
      </c>
      <c r="D3042">
        <v>6.9</v>
      </c>
      <c r="E3042" t="s">
        <v>11</v>
      </c>
      <c r="F3042" t="s">
        <v>754</v>
      </c>
      <c r="H3042" t="s">
        <v>31</v>
      </c>
      <c r="I3042" s="28" t="s">
        <v>28</v>
      </c>
    </row>
    <row r="3043" spans="1:9" x14ac:dyDescent="0.3">
      <c r="A3043" s="26">
        <v>45338</v>
      </c>
      <c r="B3043" t="s">
        <v>876</v>
      </c>
      <c r="C3043" t="s">
        <v>874</v>
      </c>
      <c r="D3043">
        <v>0.87</v>
      </c>
      <c r="E3043" t="s">
        <v>7</v>
      </c>
      <c r="F3043" t="s">
        <v>772</v>
      </c>
      <c r="G3043" t="s">
        <v>2011</v>
      </c>
      <c r="H3043" t="s">
        <v>31</v>
      </c>
      <c r="I3043" s="28" t="s">
        <v>28</v>
      </c>
    </row>
    <row r="3044" spans="1:9" x14ac:dyDescent="0.3">
      <c r="A3044" s="26">
        <v>45338</v>
      </c>
      <c r="B3044" t="s">
        <v>876</v>
      </c>
      <c r="C3044" t="s">
        <v>776</v>
      </c>
      <c r="D3044">
        <v>0.3</v>
      </c>
      <c r="E3044" t="s">
        <v>664</v>
      </c>
      <c r="F3044" t="s">
        <v>754</v>
      </c>
      <c r="H3044" t="s">
        <v>31</v>
      </c>
      <c r="I3044" s="28" t="s">
        <v>28</v>
      </c>
    </row>
    <row r="3045" spans="1:9" x14ac:dyDescent="0.3">
      <c r="A3045" s="26">
        <v>45338</v>
      </c>
      <c r="B3045" t="s">
        <v>884</v>
      </c>
      <c r="C3045" t="s">
        <v>753</v>
      </c>
      <c r="D3045">
        <v>0.17</v>
      </c>
      <c r="E3045" t="s">
        <v>885</v>
      </c>
      <c r="F3045" t="s">
        <v>754</v>
      </c>
      <c r="G3045" t="s">
        <v>3005</v>
      </c>
      <c r="H3045" t="s">
        <v>31</v>
      </c>
      <c r="I3045" s="28" t="s">
        <v>28</v>
      </c>
    </row>
    <row r="3046" spans="1:9" x14ac:dyDescent="0.3">
      <c r="A3046" s="26">
        <v>45338</v>
      </c>
      <c r="B3046" t="s">
        <v>884</v>
      </c>
      <c r="C3046" t="s">
        <v>753</v>
      </c>
      <c r="D3046">
        <v>0.27</v>
      </c>
      <c r="E3046" t="s">
        <v>248</v>
      </c>
      <c r="F3046" t="s">
        <v>754</v>
      </c>
      <c r="G3046" t="s">
        <v>818</v>
      </c>
      <c r="H3046" t="s">
        <v>31</v>
      </c>
      <c r="I3046" s="28" t="s">
        <v>28</v>
      </c>
    </row>
    <row r="3047" spans="1:9" x14ac:dyDescent="0.3">
      <c r="A3047" s="26">
        <v>45338</v>
      </c>
      <c r="B3047" t="s">
        <v>884</v>
      </c>
      <c r="C3047" t="s">
        <v>753</v>
      </c>
      <c r="D3047">
        <v>0.33</v>
      </c>
      <c r="E3047" t="s">
        <v>248</v>
      </c>
      <c r="F3047" t="s">
        <v>754</v>
      </c>
      <c r="G3047" t="s">
        <v>3006</v>
      </c>
      <c r="H3047" t="s">
        <v>31</v>
      </c>
      <c r="I3047" s="28" t="s">
        <v>28</v>
      </c>
    </row>
    <row r="3048" spans="1:9" x14ac:dyDescent="0.3">
      <c r="A3048" s="26">
        <v>45338</v>
      </c>
      <c r="B3048" t="s">
        <v>884</v>
      </c>
      <c r="C3048" t="s">
        <v>753</v>
      </c>
      <c r="D3048">
        <v>0.33</v>
      </c>
      <c r="E3048" t="s">
        <v>288</v>
      </c>
      <c r="F3048" t="s">
        <v>754</v>
      </c>
      <c r="G3048" t="s">
        <v>849</v>
      </c>
      <c r="H3048" t="s">
        <v>31</v>
      </c>
      <c r="I3048" s="28" t="s">
        <v>28</v>
      </c>
    </row>
    <row r="3049" spans="1:9" x14ac:dyDescent="0.3">
      <c r="A3049" s="26">
        <v>45338</v>
      </c>
      <c r="B3049" t="s">
        <v>884</v>
      </c>
      <c r="C3049" t="s">
        <v>753</v>
      </c>
      <c r="D3049">
        <v>0.33</v>
      </c>
      <c r="E3049" t="s">
        <v>375</v>
      </c>
      <c r="F3049" t="s">
        <v>754</v>
      </c>
      <c r="H3049" t="s">
        <v>31</v>
      </c>
      <c r="I3049" s="28" t="s">
        <v>28</v>
      </c>
    </row>
    <row r="3050" spans="1:9" x14ac:dyDescent="0.3">
      <c r="A3050" s="26">
        <v>45338</v>
      </c>
      <c r="B3050" t="s">
        <v>884</v>
      </c>
      <c r="C3050" t="s">
        <v>753</v>
      </c>
      <c r="D3050">
        <v>0.33</v>
      </c>
      <c r="E3050" t="s">
        <v>646</v>
      </c>
      <c r="F3050" t="s">
        <v>754</v>
      </c>
      <c r="G3050" t="s">
        <v>3007</v>
      </c>
      <c r="H3050" t="s">
        <v>31</v>
      </c>
      <c r="I3050" s="28" t="s">
        <v>28</v>
      </c>
    </row>
    <row r="3051" spans="1:9" x14ac:dyDescent="0.3">
      <c r="A3051" s="26">
        <v>45338</v>
      </c>
      <c r="B3051" t="s">
        <v>884</v>
      </c>
      <c r="C3051" t="s">
        <v>753</v>
      </c>
      <c r="D3051">
        <v>0.5</v>
      </c>
      <c r="E3051" t="s">
        <v>316</v>
      </c>
      <c r="F3051" t="s">
        <v>754</v>
      </c>
      <c r="G3051" t="s">
        <v>3008</v>
      </c>
      <c r="H3051" t="s">
        <v>31</v>
      </c>
      <c r="I3051" s="28" t="s">
        <v>28</v>
      </c>
    </row>
    <row r="3052" spans="1:9" x14ac:dyDescent="0.3">
      <c r="A3052" s="26">
        <v>45338</v>
      </c>
      <c r="B3052" t="s">
        <v>884</v>
      </c>
      <c r="C3052" t="s">
        <v>753</v>
      </c>
      <c r="D3052">
        <v>0.53</v>
      </c>
      <c r="E3052" t="s">
        <v>885</v>
      </c>
      <c r="F3052" t="s">
        <v>754</v>
      </c>
      <c r="G3052" t="s">
        <v>1802</v>
      </c>
      <c r="H3052" t="s">
        <v>31</v>
      </c>
      <c r="I3052" s="28" t="s">
        <v>28</v>
      </c>
    </row>
    <row r="3053" spans="1:9" x14ac:dyDescent="0.3">
      <c r="A3053" s="26">
        <v>45338</v>
      </c>
      <c r="B3053" t="s">
        <v>884</v>
      </c>
      <c r="C3053" t="s">
        <v>753</v>
      </c>
      <c r="D3053">
        <v>1.1200000000000001</v>
      </c>
      <c r="E3053" t="s">
        <v>375</v>
      </c>
      <c r="F3053" t="s">
        <v>754</v>
      </c>
      <c r="G3053" t="s">
        <v>3009</v>
      </c>
      <c r="H3053" t="s">
        <v>31</v>
      </c>
      <c r="I3053" s="28" t="s">
        <v>28</v>
      </c>
    </row>
    <row r="3054" spans="1:9" x14ac:dyDescent="0.3">
      <c r="A3054" s="26">
        <v>45338</v>
      </c>
      <c r="B3054" t="s">
        <v>884</v>
      </c>
      <c r="C3054" t="s">
        <v>753</v>
      </c>
      <c r="D3054">
        <v>1.5</v>
      </c>
      <c r="E3054" t="s">
        <v>562</v>
      </c>
      <c r="F3054" t="s">
        <v>754</v>
      </c>
      <c r="G3054" t="s">
        <v>3010</v>
      </c>
      <c r="H3054" t="s">
        <v>31</v>
      </c>
      <c r="I3054" s="28" t="s">
        <v>28</v>
      </c>
    </row>
    <row r="3055" spans="1:9" x14ac:dyDescent="0.3">
      <c r="A3055" s="26">
        <v>45338</v>
      </c>
      <c r="B3055" t="s">
        <v>884</v>
      </c>
      <c r="C3055" t="s">
        <v>753</v>
      </c>
      <c r="D3055">
        <v>1.65</v>
      </c>
      <c r="E3055" t="s">
        <v>375</v>
      </c>
      <c r="F3055" t="s">
        <v>754</v>
      </c>
      <c r="G3055" t="s">
        <v>3011</v>
      </c>
      <c r="H3055" t="s">
        <v>31</v>
      </c>
      <c r="I3055" s="28" t="s">
        <v>28</v>
      </c>
    </row>
    <row r="3056" spans="1:9" x14ac:dyDescent="0.3">
      <c r="A3056" s="26">
        <v>45338</v>
      </c>
      <c r="B3056" t="s">
        <v>884</v>
      </c>
      <c r="C3056" t="s">
        <v>874</v>
      </c>
      <c r="D3056">
        <v>0.95</v>
      </c>
      <c r="E3056" t="s">
        <v>7</v>
      </c>
      <c r="F3056" t="s">
        <v>772</v>
      </c>
      <c r="G3056" t="s">
        <v>3012</v>
      </c>
      <c r="H3056" t="s">
        <v>31</v>
      </c>
      <c r="I3056" s="28" t="s">
        <v>28</v>
      </c>
    </row>
    <row r="3057" spans="1:9" x14ac:dyDescent="0.3">
      <c r="A3057" s="26">
        <v>45338</v>
      </c>
      <c r="B3057" t="s">
        <v>891</v>
      </c>
      <c r="C3057" t="s">
        <v>802</v>
      </c>
      <c r="D3057">
        <v>8</v>
      </c>
      <c r="E3057" t="s">
        <v>7</v>
      </c>
      <c r="F3057" t="s">
        <v>772</v>
      </c>
      <c r="G3057" t="s">
        <v>892</v>
      </c>
      <c r="H3057" t="s">
        <v>31</v>
      </c>
      <c r="I3057" s="28" t="s">
        <v>28</v>
      </c>
    </row>
    <row r="3058" spans="1:9" x14ac:dyDescent="0.3">
      <c r="A3058" s="26">
        <v>45338</v>
      </c>
      <c r="B3058" t="s">
        <v>34</v>
      </c>
      <c r="C3058" t="s">
        <v>802</v>
      </c>
      <c r="D3058">
        <v>8</v>
      </c>
      <c r="E3058" t="s">
        <v>7</v>
      </c>
      <c r="F3058" t="s">
        <v>772</v>
      </c>
      <c r="H3058" t="s">
        <v>31</v>
      </c>
      <c r="I3058" s="28" t="s">
        <v>28</v>
      </c>
    </row>
    <row r="3059" spans="1:9" x14ac:dyDescent="0.3">
      <c r="A3059" s="26">
        <v>45338</v>
      </c>
      <c r="B3059" t="s">
        <v>893</v>
      </c>
      <c r="C3059" t="s">
        <v>802</v>
      </c>
      <c r="D3059">
        <v>8</v>
      </c>
      <c r="E3059" t="s">
        <v>7</v>
      </c>
      <c r="F3059" t="s">
        <v>772</v>
      </c>
      <c r="G3059" t="s">
        <v>2835</v>
      </c>
      <c r="H3059" t="s">
        <v>31</v>
      </c>
      <c r="I3059" s="28" t="s">
        <v>28</v>
      </c>
    </row>
    <row r="3060" spans="1:9" x14ac:dyDescent="0.3">
      <c r="A3060" s="26">
        <v>45338</v>
      </c>
      <c r="B3060" t="s">
        <v>895</v>
      </c>
      <c r="C3060" t="s">
        <v>753</v>
      </c>
      <c r="D3060">
        <v>0.97</v>
      </c>
      <c r="E3060" t="s">
        <v>903</v>
      </c>
      <c r="F3060" t="s">
        <v>754</v>
      </c>
      <c r="G3060" t="s">
        <v>3013</v>
      </c>
      <c r="H3060" t="s">
        <v>31</v>
      </c>
      <c r="I3060" s="28" t="s">
        <v>28</v>
      </c>
    </row>
    <row r="3061" spans="1:9" x14ac:dyDescent="0.3">
      <c r="A3061" s="26">
        <v>45338</v>
      </c>
      <c r="B3061" t="s">
        <v>895</v>
      </c>
      <c r="C3061" t="s">
        <v>906</v>
      </c>
      <c r="D3061">
        <v>1.67</v>
      </c>
      <c r="E3061" t="s">
        <v>7</v>
      </c>
      <c r="F3061" t="s">
        <v>772</v>
      </c>
      <c r="G3061" t="s">
        <v>3014</v>
      </c>
      <c r="H3061" t="s">
        <v>31</v>
      </c>
      <c r="I3061" s="28" t="s">
        <v>28</v>
      </c>
    </row>
    <row r="3062" spans="1:9" x14ac:dyDescent="0.3">
      <c r="A3062" s="26">
        <v>45338</v>
      </c>
      <c r="B3062" t="s">
        <v>895</v>
      </c>
      <c r="C3062" t="s">
        <v>909</v>
      </c>
      <c r="D3062">
        <v>0.4</v>
      </c>
      <c r="E3062" t="s">
        <v>2605</v>
      </c>
      <c r="F3062" t="s">
        <v>754</v>
      </c>
      <c r="G3062" t="s">
        <v>3015</v>
      </c>
      <c r="H3062" t="s">
        <v>31</v>
      </c>
      <c r="I3062" s="28" t="s">
        <v>28</v>
      </c>
    </row>
    <row r="3063" spans="1:9" x14ac:dyDescent="0.3">
      <c r="A3063" s="26">
        <v>45338</v>
      </c>
      <c r="B3063" t="s">
        <v>895</v>
      </c>
      <c r="C3063" t="s">
        <v>789</v>
      </c>
      <c r="D3063">
        <v>0.75</v>
      </c>
      <c r="E3063" t="s">
        <v>2792</v>
      </c>
      <c r="F3063" t="s">
        <v>772</v>
      </c>
      <c r="G3063" t="s">
        <v>3016</v>
      </c>
      <c r="H3063" t="s">
        <v>31</v>
      </c>
      <c r="I3063" s="28" t="s">
        <v>28</v>
      </c>
    </row>
    <row r="3064" spans="1:9" x14ac:dyDescent="0.3">
      <c r="A3064" s="26">
        <v>45338</v>
      </c>
      <c r="B3064" t="s">
        <v>895</v>
      </c>
      <c r="C3064" t="s">
        <v>789</v>
      </c>
      <c r="D3064">
        <v>0.77</v>
      </c>
      <c r="E3064" t="s">
        <v>757</v>
      </c>
      <c r="F3064" t="s">
        <v>772</v>
      </c>
      <c r="G3064" t="s">
        <v>3017</v>
      </c>
      <c r="H3064" t="s">
        <v>31</v>
      </c>
      <c r="I3064" s="28" t="s">
        <v>28</v>
      </c>
    </row>
    <row r="3065" spans="1:9" x14ac:dyDescent="0.3">
      <c r="A3065" s="26">
        <v>45338</v>
      </c>
      <c r="B3065" t="s">
        <v>895</v>
      </c>
      <c r="C3065" t="s">
        <v>771</v>
      </c>
      <c r="D3065">
        <v>0.13</v>
      </c>
      <c r="E3065" t="s">
        <v>7</v>
      </c>
      <c r="F3065" t="s">
        <v>772</v>
      </c>
      <c r="G3065" t="s">
        <v>3018</v>
      </c>
      <c r="H3065" t="s">
        <v>31</v>
      </c>
      <c r="I3065" s="28" t="s">
        <v>28</v>
      </c>
    </row>
    <row r="3066" spans="1:9" x14ac:dyDescent="0.3">
      <c r="A3066" s="26">
        <v>45338</v>
      </c>
      <c r="B3066" t="s">
        <v>895</v>
      </c>
      <c r="C3066" t="s">
        <v>771</v>
      </c>
      <c r="D3066">
        <v>0.22</v>
      </c>
      <c r="E3066" t="s">
        <v>7</v>
      </c>
      <c r="F3066" t="s">
        <v>772</v>
      </c>
      <c r="G3066" t="s">
        <v>760</v>
      </c>
      <c r="H3066" t="s">
        <v>31</v>
      </c>
      <c r="I3066" s="28" t="s">
        <v>28</v>
      </c>
    </row>
    <row r="3067" spans="1:9" x14ac:dyDescent="0.3">
      <c r="A3067" s="26">
        <v>45338</v>
      </c>
      <c r="B3067" t="s">
        <v>895</v>
      </c>
      <c r="C3067" t="s">
        <v>874</v>
      </c>
      <c r="D3067">
        <v>0.73</v>
      </c>
      <c r="E3067" t="s">
        <v>7</v>
      </c>
      <c r="F3067" t="s">
        <v>772</v>
      </c>
      <c r="G3067" t="s">
        <v>3019</v>
      </c>
      <c r="H3067" t="s">
        <v>31</v>
      </c>
      <c r="I3067" s="28" t="s">
        <v>28</v>
      </c>
    </row>
    <row r="3068" spans="1:9" x14ac:dyDescent="0.3">
      <c r="A3068" s="26">
        <v>45338</v>
      </c>
      <c r="B3068" t="s">
        <v>895</v>
      </c>
      <c r="C3068" t="s">
        <v>874</v>
      </c>
      <c r="D3068">
        <v>1</v>
      </c>
      <c r="E3068" t="s">
        <v>7</v>
      </c>
      <c r="F3068" t="s">
        <v>772</v>
      </c>
      <c r="G3068" t="s">
        <v>3020</v>
      </c>
      <c r="H3068" t="s">
        <v>31</v>
      </c>
      <c r="I3068" s="28" t="s">
        <v>28</v>
      </c>
    </row>
    <row r="3069" spans="1:9" x14ac:dyDescent="0.3">
      <c r="A3069" s="26">
        <v>45338</v>
      </c>
      <c r="B3069" t="s">
        <v>895</v>
      </c>
      <c r="C3069" t="s">
        <v>776</v>
      </c>
      <c r="D3069">
        <v>0.28000000000000003</v>
      </c>
      <c r="E3069" t="s">
        <v>922</v>
      </c>
      <c r="F3069" t="s">
        <v>754</v>
      </c>
      <c r="G3069" t="s">
        <v>3021</v>
      </c>
      <c r="H3069" t="s">
        <v>31</v>
      </c>
      <c r="I3069" s="28" t="s">
        <v>28</v>
      </c>
    </row>
    <row r="3070" spans="1:9" x14ac:dyDescent="0.3">
      <c r="A3070" s="26">
        <v>45338</v>
      </c>
      <c r="B3070" t="s">
        <v>895</v>
      </c>
      <c r="C3070" t="s">
        <v>776</v>
      </c>
      <c r="D3070">
        <v>0.33</v>
      </c>
      <c r="E3070" t="s">
        <v>879</v>
      </c>
      <c r="F3070" t="s">
        <v>754</v>
      </c>
      <c r="G3070" t="s">
        <v>3022</v>
      </c>
      <c r="H3070" t="s">
        <v>31</v>
      </c>
      <c r="I3070" s="28" t="s">
        <v>28</v>
      </c>
    </row>
    <row r="3071" spans="1:9" x14ac:dyDescent="0.3">
      <c r="A3071" s="26">
        <v>45338</v>
      </c>
      <c r="B3071" t="s">
        <v>895</v>
      </c>
      <c r="C3071" t="s">
        <v>776</v>
      </c>
      <c r="D3071">
        <v>0.67</v>
      </c>
      <c r="E3071" t="s">
        <v>922</v>
      </c>
      <c r="F3071" t="s">
        <v>754</v>
      </c>
      <c r="G3071" t="s">
        <v>3023</v>
      </c>
      <c r="H3071" t="s">
        <v>31</v>
      </c>
      <c r="I3071" s="28" t="s">
        <v>28</v>
      </c>
    </row>
    <row r="3072" spans="1:9" x14ac:dyDescent="0.3">
      <c r="A3072" s="26">
        <v>45338</v>
      </c>
      <c r="B3072" t="s">
        <v>929</v>
      </c>
      <c r="C3072" t="s">
        <v>789</v>
      </c>
      <c r="D3072">
        <v>0.08</v>
      </c>
      <c r="E3072" t="s">
        <v>553</v>
      </c>
      <c r="F3072" t="s">
        <v>754</v>
      </c>
      <c r="G3072" t="s">
        <v>3024</v>
      </c>
      <c r="H3072" t="s">
        <v>31</v>
      </c>
      <c r="I3072" s="28" t="s">
        <v>28</v>
      </c>
    </row>
    <row r="3073" spans="1:9" x14ac:dyDescent="0.3">
      <c r="A3073" s="26">
        <v>45338</v>
      </c>
      <c r="B3073" t="s">
        <v>929</v>
      </c>
      <c r="C3073" t="s">
        <v>789</v>
      </c>
      <c r="D3073">
        <v>0.08</v>
      </c>
      <c r="E3073" t="s">
        <v>628</v>
      </c>
      <c r="F3073" t="s">
        <v>772</v>
      </c>
      <c r="G3073" t="s">
        <v>3025</v>
      </c>
      <c r="H3073" t="s">
        <v>31</v>
      </c>
      <c r="I3073" s="28" t="s">
        <v>28</v>
      </c>
    </row>
    <row r="3074" spans="1:9" x14ac:dyDescent="0.3">
      <c r="A3074" s="26">
        <v>45338</v>
      </c>
      <c r="B3074" t="s">
        <v>929</v>
      </c>
      <c r="C3074" t="s">
        <v>789</v>
      </c>
      <c r="D3074">
        <v>0.08</v>
      </c>
      <c r="E3074" t="s">
        <v>644</v>
      </c>
      <c r="F3074" t="s">
        <v>772</v>
      </c>
      <c r="G3074" t="s">
        <v>3026</v>
      </c>
      <c r="H3074" t="s">
        <v>31</v>
      </c>
      <c r="I3074" s="28" t="s">
        <v>28</v>
      </c>
    </row>
    <row r="3075" spans="1:9" x14ac:dyDescent="0.3">
      <c r="A3075" s="26">
        <v>45338</v>
      </c>
      <c r="B3075" t="s">
        <v>929</v>
      </c>
      <c r="C3075" t="s">
        <v>789</v>
      </c>
      <c r="D3075">
        <v>0.08</v>
      </c>
      <c r="E3075" t="s">
        <v>646</v>
      </c>
      <c r="F3075" t="s">
        <v>754</v>
      </c>
      <c r="G3075" t="s">
        <v>3027</v>
      </c>
      <c r="H3075" t="s">
        <v>31</v>
      </c>
      <c r="I3075" s="28" t="s">
        <v>28</v>
      </c>
    </row>
    <row r="3076" spans="1:9" x14ac:dyDescent="0.3">
      <c r="A3076" s="26">
        <v>45338</v>
      </c>
      <c r="B3076" t="s">
        <v>929</v>
      </c>
      <c r="C3076" t="s">
        <v>789</v>
      </c>
      <c r="D3076">
        <v>0.15</v>
      </c>
      <c r="E3076" t="s">
        <v>644</v>
      </c>
      <c r="F3076" t="s">
        <v>754</v>
      </c>
      <c r="G3076" t="s">
        <v>3028</v>
      </c>
      <c r="H3076" t="s">
        <v>31</v>
      </c>
      <c r="I3076" s="28" t="s">
        <v>28</v>
      </c>
    </row>
    <row r="3077" spans="1:9" x14ac:dyDescent="0.3">
      <c r="A3077" s="26">
        <v>45338</v>
      </c>
      <c r="B3077" t="s">
        <v>929</v>
      </c>
      <c r="C3077" t="s">
        <v>771</v>
      </c>
      <c r="D3077">
        <v>0.25</v>
      </c>
      <c r="E3077" t="s">
        <v>7</v>
      </c>
      <c r="F3077" t="s">
        <v>772</v>
      </c>
      <c r="G3077" t="s">
        <v>2053</v>
      </c>
      <c r="H3077" t="s">
        <v>31</v>
      </c>
      <c r="I3077" s="28" t="s">
        <v>28</v>
      </c>
    </row>
    <row r="3078" spans="1:9" x14ac:dyDescent="0.3">
      <c r="A3078" s="26">
        <v>45338</v>
      </c>
      <c r="B3078" t="s">
        <v>929</v>
      </c>
      <c r="C3078" t="s">
        <v>771</v>
      </c>
      <c r="D3078">
        <v>0.25</v>
      </c>
      <c r="E3078" t="s">
        <v>7</v>
      </c>
      <c r="F3078" t="s">
        <v>772</v>
      </c>
      <c r="G3078" t="s">
        <v>2054</v>
      </c>
      <c r="H3078" t="s">
        <v>31</v>
      </c>
      <c r="I3078" s="28" t="s">
        <v>28</v>
      </c>
    </row>
    <row r="3079" spans="1:9" x14ac:dyDescent="0.3">
      <c r="A3079" s="26">
        <v>45338</v>
      </c>
      <c r="B3079" t="s">
        <v>929</v>
      </c>
      <c r="C3079" t="s">
        <v>1441</v>
      </c>
      <c r="D3079">
        <v>0.03</v>
      </c>
      <c r="E3079" t="s">
        <v>507</v>
      </c>
      <c r="F3079" t="s">
        <v>754</v>
      </c>
      <c r="G3079" t="s">
        <v>3029</v>
      </c>
      <c r="H3079" t="s">
        <v>31</v>
      </c>
      <c r="I3079" s="28" t="s">
        <v>28</v>
      </c>
    </row>
    <row r="3080" spans="1:9" x14ac:dyDescent="0.3">
      <c r="A3080" s="26">
        <v>45338</v>
      </c>
      <c r="B3080" t="s">
        <v>929</v>
      </c>
      <c r="C3080" t="s">
        <v>1441</v>
      </c>
      <c r="D3080">
        <v>0.05</v>
      </c>
      <c r="E3080" t="s">
        <v>507</v>
      </c>
      <c r="F3080" t="s">
        <v>754</v>
      </c>
      <c r="H3080" t="s">
        <v>31</v>
      </c>
      <c r="I3080" s="28" t="s">
        <v>28</v>
      </c>
    </row>
    <row r="3081" spans="1:9" x14ac:dyDescent="0.3">
      <c r="A3081" s="26">
        <v>45338</v>
      </c>
      <c r="B3081" t="s">
        <v>929</v>
      </c>
      <c r="C3081" t="s">
        <v>1441</v>
      </c>
      <c r="D3081">
        <v>0.05</v>
      </c>
      <c r="E3081" t="s">
        <v>10</v>
      </c>
      <c r="F3081" t="s">
        <v>754</v>
      </c>
      <c r="H3081" t="s">
        <v>31</v>
      </c>
      <c r="I3081" s="28" t="s">
        <v>28</v>
      </c>
    </row>
    <row r="3082" spans="1:9" x14ac:dyDescent="0.3">
      <c r="A3082" s="26">
        <v>45338</v>
      </c>
      <c r="B3082" t="s">
        <v>929</v>
      </c>
      <c r="C3082" t="s">
        <v>1441</v>
      </c>
      <c r="D3082">
        <v>7.0000000000000007E-2</v>
      </c>
      <c r="E3082" t="s">
        <v>10</v>
      </c>
      <c r="F3082" t="s">
        <v>754</v>
      </c>
      <c r="G3082" t="s">
        <v>3029</v>
      </c>
      <c r="H3082" t="s">
        <v>31</v>
      </c>
      <c r="I3082" s="28" t="s">
        <v>28</v>
      </c>
    </row>
    <row r="3083" spans="1:9" x14ac:dyDescent="0.3">
      <c r="A3083" s="26">
        <v>45338</v>
      </c>
      <c r="B3083" t="s">
        <v>929</v>
      </c>
      <c r="C3083" t="s">
        <v>1441</v>
      </c>
      <c r="D3083">
        <v>7.0000000000000007E-2</v>
      </c>
      <c r="E3083" t="s">
        <v>553</v>
      </c>
      <c r="F3083" t="s">
        <v>754</v>
      </c>
      <c r="H3083" t="s">
        <v>31</v>
      </c>
      <c r="I3083" s="28" t="s">
        <v>28</v>
      </c>
    </row>
    <row r="3084" spans="1:9" x14ac:dyDescent="0.3">
      <c r="A3084" s="26">
        <v>45338</v>
      </c>
      <c r="B3084" t="s">
        <v>929</v>
      </c>
      <c r="C3084" t="s">
        <v>1441</v>
      </c>
      <c r="D3084">
        <v>7.0000000000000007E-2</v>
      </c>
      <c r="E3084" t="s">
        <v>553</v>
      </c>
      <c r="F3084" t="s">
        <v>754</v>
      </c>
      <c r="G3084" t="s">
        <v>3029</v>
      </c>
      <c r="H3084" t="s">
        <v>31</v>
      </c>
      <c r="I3084" s="28" t="s">
        <v>28</v>
      </c>
    </row>
    <row r="3085" spans="1:9" x14ac:dyDescent="0.3">
      <c r="A3085" s="26">
        <v>45338</v>
      </c>
      <c r="B3085" t="s">
        <v>929</v>
      </c>
      <c r="C3085" t="s">
        <v>1441</v>
      </c>
      <c r="D3085">
        <v>0.1</v>
      </c>
      <c r="E3085" t="s">
        <v>628</v>
      </c>
      <c r="F3085" t="s">
        <v>754</v>
      </c>
      <c r="G3085" t="s">
        <v>3029</v>
      </c>
      <c r="H3085" t="s">
        <v>31</v>
      </c>
      <c r="I3085" s="28" t="s">
        <v>28</v>
      </c>
    </row>
    <row r="3086" spans="1:9" x14ac:dyDescent="0.3">
      <c r="A3086" s="26">
        <v>45338</v>
      </c>
      <c r="B3086" t="s">
        <v>929</v>
      </c>
      <c r="C3086" t="s">
        <v>1441</v>
      </c>
      <c r="D3086">
        <v>0.13</v>
      </c>
      <c r="E3086" t="s">
        <v>646</v>
      </c>
      <c r="F3086" t="s">
        <v>754</v>
      </c>
      <c r="G3086" t="s">
        <v>3029</v>
      </c>
      <c r="H3086" t="s">
        <v>31</v>
      </c>
      <c r="I3086" s="28" t="s">
        <v>28</v>
      </c>
    </row>
    <row r="3087" spans="1:9" x14ac:dyDescent="0.3">
      <c r="A3087" s="26">
        <v>45338</v>
      </c>
      <c r="B3087" t="s">
        <v>929</v>
      </c>
      <c r="C3087" t="s">
        <v>916</v>
      </c>
      <c r="D3087">
        <v>7.0000000000000007E-2</v>
      </c>
      <c r="E3087" t="s">
        <v>602</v>
      </c>
      <c r="F3087" t="s">
        <v>754</v>
      </c>
      <c r="G3087" t="s">
        <v>3030</v>
      </c>
      <c r="H3087" t="s">
        <v>31</v>
      </c>
      <c r="I3087" s="28" t="s">
        <v>28</v>
      </c>
    </row>
    <row r="3088" spans="1:9" x14ac:dyDescent="0.3">
      <c r="A3088" s="26">
        <v>45338</v>
      </c>
      <c r="B3088" t="s">
        <v>929</v>
      </c>
      <c r="C3088" t="s">
        <v>916</v>
      </c>
      <c r="D3088">
        <v>0.1</v>
      </c>
      <c r="E3088" t="s">
        <v>655</v>
      </c>
      <c r="F3088" t="s">
        <v>754</v>
      </c>
      <c r="G3088" t="s">
        <v>3031</v>
      </c>
      <c r="H3088" t="s">
        <v>31</v>
      </c>
      <c r="I3088" s="28" t="s">
        <v>28</v>
      </c>
    </row>
    <row r="3089" spans="1:9" x14ac:dyDescent="0.3">
      <c r="A3089" s="26">
        <v>45338</v>
      </c>
      <c r="B3089" t="s">
        <v>929</v>
      </c>
      <c r="C3089" t="s">
        <v>916</v>
      </c>
      <c r="D3089">
        <v>0.42</v>
      </c>
      <c r="E3089" t="s">
        <v>316</v>
      </c>
      <c r="F3089" t="s">
        <v>754</v>
      </c>
      <c r="G3089" t="s">
        <v>2493</v>
      </c>
      <c r="H3089" t="s">
        <v>31</v>
      </c>
      <c r="I3089" s="28" t="s">
        <v>28</v>
      </c>
    </row>
    <row r="3090" spans="1:9" x14ac:dyDescent="0.3">
      <c r="A3090" s="26">
        <v>45338</v>
      </c>
      <c r="B3090" t="s">
        <v>929</v>
      </c>
      <c r="C3090" t="s">
        <v>916</v>
      </c>
      <c r="D3090">
        <v>0.82</v>
      </c>
      <c r="E3090" t="s">
        <v>644</v>
      </c>
      <c r="F3090" t="s">
        <v>754</v>
      </c>
      <c r="G3090" t="s">
        <v>3032</v>
      </c>
      <c r="H3090" t="s">
        <v>31</v>
      </c>
      <c r="I3090" s="28" t="s">
        <v>28</v>
      </c>
    </row>
    <row r="3091" spans="1:9" x14ac:dyDescent="0.3">
      <c r="A3091" s="26">
        <v>45338</v>
      </c>
      <c r="B3091" t="s">
        <v>929</v>
      </c>
      <c r="C3091" t="s">
        <v>916</v>
      </c>
      <c r="D3091">
        <v>1.02</v>
      </c>
      <c r="E3091" t="s">
        <v>857</v>
      </c>
      <c r="F3091" t="s">
        <v>754</v>
      </c>
      <c r="G3091" t="s">
        <v>2493</v>
      </c>
      <c r="H3091" t="s">
        <v>31</v>
      </c>
      <c r="I3091" s="28" t="s">
        <v>28</v>
      </c>
    </row>
    <row r="3092" spans="1:9" x14ac:dyDescent="0.3">
      <c r="A3092" s="26">
        <v>45338</v>
      </c>
      <c r="B3092" t="s">
        <v>929</v>
      </c>
      <c r="C3092" t="s">
        <v>916</v>
      </c>
      <c r="D3092">
        <v>1.53</v>
      </c>
      <c r="E3092" t="s">
        <v>713</v>
      </c>
      <c r="F3092" t="s">
        <v>754</v>
      </c>
      <c r="G3092" t="s">
        <v>2493</v>
      </c>
      <c r="H3092" t="s">
        <v>31</v>
      </c>
      <c r="I3092" s="28" t="s">
        <v>28</v>
      </c>
    </row>
    <row r="3093" spans="1:9" x14ac:dyDescent="0.3">
      <c r="A3093" s="26">
        <v>45338</v>
      </c>
      <c r="B3093" t="s">
        <v>929</v>
      </c>
      <c r="C3093" t="s">
        <v>916</v>
      </c>
      <c r="D3093">
        <v>1.55</v>
      </c>
      <c r="E3093" t="s">
        <v>316</v>
      </c>
      <c r="F3093" t="s">
        <v>754</v>
      </c>
      <c r="G3093" t="s">
        <v>3033</v>
      </c>
      <c r="H3093" t="s">
        <v>31</v>
      </c>
      <c r="I3093" s="28" t="s">
        <v>28</v>
      </c>
    </row>
    <row r="3094" spans="1:9" x14ac:dyDescent="0.3">
      <c r="A3094" s="26">
        <v>45338</v>
      </c>
      <c r="B3094" t="s">
        <v>929</v>
      </c>
      <c r="C3094" t="s">
        <v>982</v>
      </c>
      <c r="D3094">
        <v>0.48</v>
      </c>
      <c r="E3094" t="s">
        <v>7</v>
      </c>
      <c r="F3094" t="s">
        <v>772</v>
      </c>
      <c r="G3094" t="s">
        <v>3034</v>
      </c>
      <c r="H3094" t="s">
        <v>31</v>
      </c>
      <c r="I3094" s="28" t="s">
        <v>28</v>
      </c>
    </row>
    <row r="3095" spans="1:9" x14ac:dyDescent="0.3">
      <c r="A3095" s="26">
        <v>45338</v>
      </c>
      <c r="B3095" t="s">
        <v>929</v>
      </c>
      <c r="C3095" t="s">
        <v>954</v>
      </c>
      <c r="D3095">
        <v>0.28000000000000003</v>
      </c>
      <c r="E3095" t="s">
        <v>7</v>
      </c>
      <c r="F3095" t="s">
        <v>772</v>
      </c>
      <c r="G3095" t="s">
        <v>3035</v>
      </c>
      <c r="H3095" t="s">
        <v>31</v>
      </c>
      <c r="I3095" s="28" t="s">
        <v>28</v>
      </c>
    </row>
    <row r="3096" spans="1:9" x14ac:dyDescent="0.3">
      <c r="A3096" s="26">
        <v>45338</v>
      </c>
      <c r="B3096" t="s">
        <v>929</v>
      </c>
      <c r="C3096" t="s">
        <v>954</v>
      </c>
      <c r="D3096">
        <v>0.65</v>
      </c>
      <c r="E3096" t="s">
        <v>7</v>
      </c>
      <c r="F3096" t="s">
        <v>772</v>
      </c>
      <c r="G3096" t="s">
        <v>3036</v>
      </c>
      <c r="H3096" t="s">
        <v>31</v>
      </c>
      <c r="I3096" s="28" t="s">
        <v>28</v>
      </c>
    </row>
    <row r="3097" spans="1:9" x14ac:dyDescent="0.3">
      <c r="A3097" s="26">
        <v>45338</v>
      </c>
      <c r="B3097" t="s">
        <v>961</v>
      </c>
      <c r="C3097" t="s">
        <v>753</v>
      </c>
      <c r="D3097">
        <v>1.1200000000000001</v>
      </c>
      <c r="E3097" t="s">
        <v>790</v>
      </c>
      <c r="F3097" t="s">
        <v>754</v>
      </c>
      <c r="H3097" t="s">
        <v>31</v>
      </c>
      <c r="I3097" s="28" t="s">
        <v>28</v>
      </c>
    </row>
    <row r="3098" spans="1:9" x14ac:dyDescent="0.3">
      <c r="A3098" s="26">
        <v>45338</v>
      </c>
      <c r="B3098" t="s">
        <v>961</v>
      </c>
      <c r="C3098" t="s">
        <v>753</v>
      </c>
      <c r="D3098">
        <v>3.28</v>
      </c>
      <c r="E3098" t="s">
        <v>655</v>
      </c>
      <c r="F3098" t="s">
        <v>754</v>
      </c>
      <c r="H3098" t="s">
        <v>31</v>
      </c>
      <c r="I3098" s="28" t="s">
        <v>28</v>
      </c>
    </row>
    <row r="3099" spans="1:9" x14ac:dyDescent="0.3">
      <c r="A3099" s="26">
        <v>45338</v>
      </c>
      <c r="B3099" t="s">
        <v>961</v>
      </c>
      <c r="C3099" t="s">
        <v>771</v>
      </c>
      <c r="D3099">
        <v>0.32</v>
      </c>
      <c r="E3099" t="s">
        <v>7</v>
      </c>
      <c r="F3099" t="s">
        <v>772</v>
      </c>
      <c r="G3099" t="s">
        <v>3037</v>
      </c>
      <c r="H3099" t="s">
        <v>31</v>
      </c>
      <c r="I3099" s="28" t="s">
        <v>28</v>
      </c>
    </row>
    <row r="3100" spans="1:9" x14ac:dyDescent="0.3">
      <c r="A3100" s="26">
        <v>45338</v>
      </c>
      <c r="B3100" t="s">
        <v>961</v>
      </c>
      <c r="C3100" t="s">
        <v>982</v>
      </c>
      <c r="D3100">
        <v>1.82</v>
      </c>
      <c r="E3100" t="s">
        <v>7</v>
      </c>
      <c r="F3100" t="s">
        <v>772</v>
      </c>
      <c r="G3100" t="s">
        <v>3038</v>
      </c>
      <c r="H3100" t="s">
        <v>31</v>
      </c>
      <c r="I3100" s="28" t="s">
        <v>28</v>
      </c>
    </row>
    <row r="3101" spans="1:9" x14ac:dyDescent="0.3">
      <c r="A3101" s="26">
        <v>45338</v>
      </c>
      <c r="B3101" t="s">
        <v>961</v>
      </c>
      <c r="C3101" t="s">
        <v>874</v>
      </c>
      <c r="D3101">
        <v>1.55</v>
      </c>
      <c r="E3101" t="s">
        <v>7</v>
      </c>
      <c r="F3101" t="s">
        <v>772</v>
      </c>
      <c r="G3101" t="s">
        <v>3039</v>
      </c>
      <c r="H3101" t="s">
        <v>31</v>
      </c>
      <c r="I3101" s="28" t="s">
        <v>28</v>
      </c>
    </row>
    <row r="3102" spans="1:9" x14ac:dyDescent="0.3">
      <c r="A3102" s="26">
        <v>45338</v>
      </c>
      <c r="B3102" t="s">
        <v>966</v>
      </c>
      <c r="C3102" t="s">
        <v>967</v>
      </c>
      <c r="D3102">
        <v>3</v>
      </c>
      <c r="E3102" t="s">
        <v>7</v>
      </c>
      <c r="F3102" t="s">
        <v>754</v>
      </c>
      <c r="H3102" t="s">
        <v>31</v>
      </c>
      <c r="I3102" s="28" t="s">
        <v>28</v>
      </c>
    </row>
    <row r="3103" spans="1:9" x14ac:dyDescent="0.3">
      <c r="A3103" s="26">
        <v>45338</v>
      </c>
      <c r="B3103" t="s">
        <v>966</v>
      </c>
      <c r="C3103" t="s">
        <v>967</v>
      </c>
      <c r="D3103">
        <v>4</v>
      </c>
      <c r="E3103" t="s">
        <v>790</v>
      </c>
      <c r="F3103" t="s">
        <v>754</v>
      </c>
      <c r="H3103" t="s">
        <v>31</v>
      </c>
      <c r="I3103" s="28" t="s">
        <v>28</v>
      </c>
    </row>
    <row r="3104" spans="1:9" x14ac:dyDescent="0.3">
      <c r="A3104" s="26">
        <v>45338</v>
      </c>
      <c r="B3104" t="s">
        <v>966</v>
      </c>
      <c r="C3104" t="s">
        <v>874</v>
      </c>
      <c r="D3104">
        <v>1</v>
      </c>
      <c r="E3104" t="s">
        <v>7</v>
      </c>
      <c r="F3104" t="s">
        <v>772</v>
      </c>
      <c r="G3104" t="s">
        <v>1210</v>
      </c>
      <c r="H3104" t="s">
        <v>31</v>
      </c>
      <c r="I3104" s="28" t="s">
        <v>28</v>
      </c>
    </row>
    <row r="3105" spans="1:9" x14ac:dyDescent="0.3">
      <c r="A3105" s="26">
        <v>45338</v>
      </c>
      <c r="B3105" t="s">
        <v>969</v>
      </c>
      <c r="C3105" t="s">
        <v>753</v>
      </c>
      <c r="D3105">
        <v>0.22</v>
      </c>
      <c r="E3105" t="s">
        <v>790</v>
      </c>
      <c r="F3105" t="s">
        <v>754</v>
      </c>
      <c r="G3105" t="s">
        <v>768</v>
      </c>
      <c r="H3105" t="s">
        <v>31</v>
      </c>
      <c r="I3105" s="28" t="s">
        <v>28</v>
      </c>
    </row>
    <row r="3106" spans="1:9" x14ac:dyDescent="0.3">
      <c r="A3106" s="26">
        <v>45338</v>
      </c>
      <c r="B3106" t="s">
        <v>969</v>
      </c>
      <c r="C3106" t="s">
        <v>753</v>
      </c>
      <c r="D3106">
        <v>1.1499999999999999</v>
      </c>
      <c r="E3106" t="s">
        <v>790</v>
      </c>
      <c r="F3106" t="s">
        <v>754</v>
      </c>
      <c r="G3106" t="s">
        <v>3040</v>
      </c>
      <c r="H3106" t="s">
        <v>31</v>
      </c>
      <c r="I3106" s="28" t="s">
        <v>28</v>
      </c>
    </row>
    <row r="3107" spans="1:9" x14ac:dyDescent="0.3">
      <c r="A3107" s="26">
        <v>45338</v>
      </c>
      <c r="B3107" t="s">
        <v>969</v>
      </c>
      <c r="C3107" t="s">
        <v>789</v>
      </c>
      <c r="D3107">
        <v>0.52</v>
      </c>
      <c r="E3107" t="s">
        <v>790</v>
      </c>
      <c r="F3107" t="s">
        <v>754</v>
      </c>
      <c r="G3107" t="s">
        <v>3041</v>
      </c>
      <c r="H3107" t="s">
        <v>31</v>
      </c>
      <c r="I3107" s="28" t="s">
        <v>28</v>
      </c>
    </row>
    <row r="3108" spans="1:9" x14ac:dyDescent="0.3">
      <c r="A3108" s="26">
        <v>45338</v>
      </c>
      <c r="B3108" t="s">
        <v>969</v>
      </c>
      <c r="C3108" t="s">
        <v>771</v>
      </c>
      <c r="D3108">
        <v>0.42</v>
      </c>
      <c r="E3108" t="s">
        <v>7</v>
      </c>
      <c r="F3108" t="s">
        <v>772</v>
      </c>
      <c r="G3108" t="s">
        <v>3042</v>
      </c>
      <c r="H3108" t="s">
        <v>31</v>
      </c>
      <c r="I3108" s="28" t="s">
        <v>28</v>
      </c>
    </row>
    <row r="3109" spans="1:9" x14ac:dyDescent="0.3">
      <c r="A3109" s="26">
        <v>45338</v>
      </c>
      <c r="B3109" t="s">
        <v>969</v>
      </c>
      <c r="C3109" t="s">
        <v>771</v>
      </c>
      <c r="D3109">
        <v>1.5</v>
      </c>
      <c r="E3109" t="s">
        <v>7</v>
      </c>
      <c r="F3109" t="s">
        <v>772</v>
      </c>
      <c r="G3109" t="s">
        <v>3043</v>
      </c>
      <c r="H3109" t="s">
        <v>31</v>
      </c>
      <c r="I3109" s="28" t="s">
        <v>28</v>
      </c>
    </row>
    <row r="3110" spans="1:9" x14ac:dyDescent="0.3">
      <c r="A3110" s="26">
        <v>45338</v>
      </c>
      <c r="B3110" t="s">
        <v>969</v>
      </c>
      <c r="C3110" t="s">
        <v>771</v>
      </c>
      <c r="D3110">
        <v>2.15</v>
      </c>
      <c r="E3110" t="s">
        <v>7</v>
      </c>
      <c r="F3110" t="s">
        <v>772</v>
      </c>
      <c r="G3110" t="s">
        <v>3044</v>
      </c>
      <c r="H3110" t="s">
        <v>31</v>
      </c>
      <c r="I3110" s="28" t="s">
        <v>28</v>
      </c>
    </row>
    <row r="3111" spans="1:9" x14ac:dyDescent="0.3">
      <c r="A3111" s="26">
        <v>45338</v>
      </c>
      <c r="B3111" t="s">
        <v>969</v>
      </c>
      <c r="C3111" t="s">
        <v>835</v>
      </c>
      <c r="D3111">
        <v>0.8</v>
      </c>
      <c r="E3111" t="s">
        <v>7</v>
      </c>
      <c r="F3111" t="s">
        <v>772</v>
      </c>
      <c r="G3111" t="s">
        <v>3045</v>
      </c>
      <c r="H3111" t="s">
        <v>31</v>
      </c>
      <c r="I3111" s="28" t="s">
        <v>28</v>
      </c>
    </row>
    <row r="3112" spans="1:9" x14ac:dyDescent="0.3">
      <c r="A3112" s="26">
        <v>45338</v>
      </c>
      <c r="B3112" t="s">
        <v>969</v>
      </c>
      <c r="C3112" t="s">
        <v>835</v>
      </c>
      <c r="D3112">
        <v>0.87</v>
      </c>
      <c r="E3112" t="s">
        <v>790</v>
      </c>
      <c r="F3112" t="s">
        <v>754</v>
      </c>
      <c r="G3112" t="s">
        <v>3046</v>
      </c>
      <c r="H3112" t="s">
        <v>31</v>
      </c>
      <c r="I3112" s="28" t="s">
        <v>28</v>
      </c>
    </row>
    <row r="3113" spans="1:9" x14ac:dyDescent="0.3">
      <c r="A3113" s="26">
        <v>45338</v>
      </c>
      <c r="B3113" t="s">
        <v>977</v>
      </c>
      <c r="C3113" t="s">
        <v>753</v>
      </c>
      <c r="D3113">
        <v>2.65</v>
      </c>
      <c r="E3113" t="s">
        <v>978</v>
      </c>
      <c r="F3113" t="s">
        <v>754</v>
      </c>
      <c r="G3113" t="s">
        <v>3047</v>
      </c>
      <c r="H3113" t="s">
        <v>31</v>
      </c>
      <c r="I3113" s="28" t="s">
        <v>28</v>
      </c>
    </row>
    <row r="3114" spans="1:9" x14ac:dyDescent="0.3">
      <c r="A3114" s="26">
        <v>45338</v>
      </c>
      <c r="B3114" t="s">
        <v>977</v>
      </c>
      <c r="C3114" t="s">
        <v>753</v>
      </c>
      <c r="D3114">
        <v>3.75</v>
      </c>
      <c r="E3114" t="s">
        <v>978</v>
      </c>
      <c r="F3114" t="s">
        <v>754</v>
      </c>
      <c r="G3114" t="s">
        <v>3048</v>
      </c>
      <c r="H3114" t="s">
        <v>31</v>
      </c>
      <c r="I3114" s="28" t="s">
        <v>28</v>
      </c>
    </row>
    <row r="3115" spans="1:9" x14ac:dyDescent="0.3">
      <c r="A3115" s="26">
        <v>45338</v>
      </c>
      <c r="B3115" t="s">
        <v>977</v>
      </c>
      <c r="C3115" t="s">
        <v>789</v>
      </c>
      <c r="D3115">
        <v>0.35</v>
      </c>
      <c r="E3115" t="s">
        <v>978</v>
      </c>
      <c r="F3115" t="s">
        <v>772</v>
      </c>
      <c r="G3115" t="s">
        <v>3049</v>
      </c>
      <c r="H3115" t="s">
        <v>31</v>
      </c>
      <c r="I3115" s="28" t="s">
        <v>28</v>
      </c>
    </row>
    <row r="3116" spans="1:9" x14ac:dyDescent="0.3">
      <c r="A3116" s="26">
        <v>45338</v>
      </c>
      <c r="B3116" t="s">
        <v>977</v>
      </c>
      <c r="C3116" t="s">
        <v>771</v>
      </c>
      <c r="D3116">
        <v>0.5</v>
      </c>
      <c r="E3116" t="s">
        <v>7</v>
      </c>
      <c r="F3116" t="s">
        <v>772</v>
      </c>
      <c r="G3116" t="s">
        <v>820</v>
      </c>
      <c r="H3116" t="s">
        <v>31</v>
      </c>
      <c r="I3116" s="28" t="s">
        <v>28</v>
      </c>
    </row>
    <row r="3117" spans="1:9" x14ac:dyDescent="0.3">
      <c r="A3117" s="26">
        <v>45338</v>
      </c>
      <c r="B3117" t="s">
        <v>977</v>
      </c>
      <c r="C3117" t="s">
        <v>874</v>
      </c>
      <c r="D3117">
        <v>0.83</v>
      </c>
      <c r="E3117" t="s">
        <v>7</v>
      </c>
      <c r="F3117" t="s">
        <v>772</v>
      </c>
      <c r="G3117" t="s">
        <v>1210</v>
      </c>
      <c r="H3117" t="s">
        <v>31</v>
      </c>
      <c r="I3117" s="28" t="s">
        <v>28</v>
      </c>
    </row>
    <row r="3118" spans="1:9" x14ac:dyDescent="0.3">
      <c r="A3118" s="26">
        <v>45338</v>
      </c>
      <c r="B3118" t="s">
        <v>981</v>
      </c>
      <c r="C3118" t="s">
        <v>982</v>
      </c>
      <c r="D3118">
        <v>9</v>
      </c>
      <c r="E3118" t="s">
        <v>7</v>
      </c>
      <c r="F3118" t="s">
        <v>772</v>
      </c>
      <c r="G3118" t="s">
        <v>3050</v>
      </c>
      <c r="H3118" t="s">
        <v>31</v>
      </c>
      <c r="I3118" s="28" t="s">
        <v>28</v>
      </c>
    </row>
    <row r="3119" spans="1:9" x14ac:dyDescent="0.3">
      <c r="A3119" s="26">
        <v>45338</v>
      </c>
      <c r="B3119" t="s">
        <v>984</v>
      </c>
      <c r="C3119" t="s">
        <v>753</v>
      </c>
      <c r="D3119">
        <v>1.87</v>
      </c>
      <c r="E3119" t="s">
        <v>13</v>
      </c>
      <c r="F3119" t="s">
        <v>754</v>
      </c>
      <c r="G3119" t="s">
        <v>987</v>
      </c>
      <c r="H3119" t="s">
        <v>31</v>
      </c>
      <c r="I3119" s="28" t="s">
        <v>28</v>
      </c>
    </row>
    <row r="3120" spans="1:9" x14ac:dyDescent="0.3">
      <c r="A3120" s="26">
        <v>45338</v>
      </c>
      <c r="B3120" t="s">
        <v>984</v>
      </c>
      <c r="C3120" t="s">
        <v>753</v>
      </c>
      <c r="D3120">
        <v>3.2</v>
      </c>
      <c r="E3120" t="s">
        <v>985</v>
      </c>
      <c r="F3120" t="s">
        <v>754</v>
      </c>
      <c r="G3120" t="s">
        <v>3051</v>
      </c>
      <c r="H3120" t="s">
        <v>31</v>
      </c>
      <c r="I3120" s="28" t="s">
        <v>28</v>
      </c>
    </row>
    <row r="3121" spans="1:9" x14ac:dyDescent="0.3">
      <c r="A3121" s="26">
        <v>45338</v>
      </c>
      <c r="B3121" t="s">
        <v>984</v>
      </c>
      <c r="C3121" t="s">
        <v>771</v>
      </c>
      <c r="D3121">
        <v>0.87</v>
      </c>
      <c r="E3121" t="s">
        <v>7</v>
      </c>
      <c r="F3121" t="s">
        <v>772</v>
      </c>
      <c r="G3121" t="s">
        <v>3052</v>
      </c>
      <c r="H3121" t="s">
        <v>31</v>
      </c>
      <c r="I3121" s="28" t="s">
        <v>28</v>
      </c>
    </row>
    <row r="3122" spans="1:9" x14ac:dyDescent="0.3">
      <c r="A3122" s="26">
        <v>45338</v>
      </c>
      <c r="B3122" t="s">
        <v>984</v>
      </c>
      <c r="C3122" t="s">
        <v>771</v>
      </c>
      <c r="D3122">
        <v>2.1</v>
      </c>
      <c r="E3122" t="s">
        <v>7</v>
      </c>
      <c r="F3122" t="s">
        <v>772</v>
      </c>
      <c r="H3122" t="s">
        <v>31</v>
      </c>
      <c r="I3122" s="28" t="s">
        <v>28</v>
      </c>
    </row>
    <row r="3123" spans="1:9" x14ac:dyDescent="0.3">
      <c r="A3123" s="26">
        <v>45338</v>
      </c>
      <c r="B3123" t="s">
        <v>991</v>
      </c>
      <c r="C3123" t="s">
        <v>992</v>
      </c>
      <c r="D3123">
        <v>0.2</v>
      </c>
      <c r="E3123" t="s">
        <v>7</v>
      </c>
      <c r="F3123" t="s">
        <v>772</v>
      </c>
      <c r="G3123" t="s">
        <v>3053</v>
      </c>
      <c r="H3123" t="s">
        <v>31</v>
      </c>
      <c r="I3123" s="28" t="s">
        <v>28</v>
      </c>
    </row>
    <row r="3124" spans="1:9" x14ac:dyDescent="0.3">
      <c r="A3124" s="26">
        <v>45338</v>
      </c>
      <c r="B3124" t="s">
        <v>991</v>
      </c>
      <c r="C3124" t="s">
        <v>992</v>
      </c>
      <c r="D3124">
        <v>0.35</v>
      </c>
      <c r="E3124" t="s">
        <v>7</v>
      </c>
      <c r="F3124" t="s">
        <v>772</v>
      </c>
      <c r="G3124" t="s">
        <v>3054</v>
      </c>
      <c r="H3124" t="s">
        <v>31</v>
      </c>
      <c r="I3124" s="28" t="s">
        <v>28</v>
      </c>
    </row>
    <row r="3125" spans="1:9" x14ac:dyDescent="0.3">
      <c r="A3125" s="26">
        <v>45338</v>
      </c>
      <c r="B3125" t="s">
        <v>991</v>
      </c>
      <c r="C3125" t="s">
        <v>992</v>
      </c>
      <c r="D3125">
        <v>0.47</v>
      </c>
      <c r="E3125" t="s">
        <v>999</v>
      </c>
      <c r="F3125" t="s">
        <v>772</v>
      </c>
      <c r="G3125" t="s">
        <v>3055</v>
      </c>
      <c r="H3125" t="s">
        <v>31</v>
      </c>
      <c r="I3125" s="28" t="s">
        <v>28</v>
      </c>
    </row>
    <row r="3126" spans="1:9" x14ac:dyDescent="0.3">
      <c r="A3126" s="26">
        <v>45338</v>
      </c>
      <c r="B3126" t="s">
        <v>991</v>
      </c>
      <c r="C3126" t="s">
        <v>992</v>
      </c>
      <c r="D3126">
        <v>0.65</v>
      </c>
      <c r="E3126" t="s">
        <v>7</v>
      </c>
      <c r="F3126" t="s">
        <v>772</v>
      </c>
      <c r="G3126" t="s">
        <v>3056</v>
      </c>
      <c r="H3126" t="s">
        <v>31</v>
      </c>
      <c r="I3126" s="28" t="s">
        <v>28</v>
      </c>
    </row>
    <row r="3127" spans="1:9" x14ac:dyDescent="0.3">
      <c r="A3127" s="26">
        <v>45338</v>
      </c>
      <c r="B3127" t="s">
        <v>991</v>
      </c>
      <c r="C3127" t="s">
        <v>992</v>
      </c>
      <c r="D3127">
        <v>0.92</v>
      </c>
      <c r="E3127" t="s">
        <v>7</v>
      </c>
      <c r="F3127" t="s">
        <v>772</v>
      </c>
      <c r="G3127" t="s">
        <v>3057</v>
      </c>
      <c r="H3127" t="s">
        <v>31</v>
      </c>
      <c r="I3127" s="28" t="s">
        <v>28</v>
      </c>
    </row>
    <row r="3128" spans="1:9" x14ac:dyDescent="0.3">
      <c r="A3128" s="26">
        <v>45338</v>
      </c>
      <c r="B3128" t="s">
        <v>991</v>
      </c>
      <c r="C3128" t="s">
        <v>992</v>
      </c>
      <c r="D3128">
        <v>3.48</v>
      </c>
      <c r="E3128" t="s">
        <v>7</v>
      </c>
      <c r="F3128" t="s">
        <v>772</v>
      </c>
      <c r="G3128" t="s">
        <v>3058</v>
      </c>
      <c r="H3128" t="s">
        <v>31</v>
      </c>
      <c r="I3128" s="28" t="s">
        <v>28</v>
      </c>
    </row>
    <row r="3129" spans="1:9" x14ac:dyDescent="0.3">
      <c r="A3129" s="26">
        <v>45338</v>
      </c>
      <c r="B3129" t="s">
        <v>991</v>
      </c>
      <c r="C3129" t="s">
        <v>771</v>
      </c>
      <c r="D3129">
        <v>1.97</v>
      </c>
      <c r="E3129" t="s">
        <v>999</v>
      </c>
      <c r="F3129" t="s">
        <v>772</v>
      </c>
      <c r="G3129" t="s">
        <v>3059</v>
      </c>
      <c r="H3129" t="s">
        <v>31</v>
      </c>
      <c r="I3129" s="28" t="s">
        <v>28</v>
      </c>
    </row>
    <row r="3130" spans="1:9" x14ac:dyDescent="0.3">
      <c r="A3130" s="26">
        <v>45338</v>
      </c>
      <c r="B3130" t="s">
        <v>1002</v>
      </c>
      <c r="C3130" t="s">
        <v>1003</v>
      </c>
      <c r="D3130">
        <v>10</v>
      </c>
      <c r="E3130" t="s">
        <v>7</v>
      </c>
      <c r="F3130" t="s">
        <v>772</v>
      </c>
      <c r="G3130" t="s">
        <v>2894</v>
      </c>
      <c r="H3130" t="s">
        <v>31</v>
      </c>
      <c r="I3130" s="28" t="s">
        <v>28</v>
      </c>
    </row>
    <row r="3131" spans="1:9" x14ac:dyDescent="0.3">
      <c r="A3131" s="26">
        <v>45338</v>
      </c>
      <c r="B3131" t="s">
        <v>1005</v>
      </c>
      <c r="C3131" t="s">
        <v>753</v>
      </c>
      <c r="D3131">
        <v>0.25</v>
      </c>
      <c r="E3131" t="s">
        <v>161</v>
      </c>
      <c r="F3131" t="s">
        <v>754</v>
      </c>
      <c r="H3131" t="s">
        <v>31</v>
      </c>
      <c r="I3131" s="28" t="s">
        <v>28</v>
      </c>
    </row>
    <row r="3132" spans="1:9" x14ac:dyDescent="0.3">
      <c r="A3132" s="26">
        <v>45338</v>
      </c>
      <c r="B3132" t="s">
        <v>1005</v>
      </c>
      <c r="C3132" t="s">
        <v>753</v>
      </c>
      <c r="D3132">
        <v>0.5</v>
      </c>
      <c r="E3132" t="s">
        <v>1438</v>
      </c>
      <c r="F3132" t="s">
        <v>754</v>
      </c>
      <c r="G3132" t="s">
        <v>1874</v>
      </c>
      <c r="H3132" t="s">
        <v>31</v>
      </c>
      <c r="I3132" s="28" t="s">
        <v>28</v>
      </c>
    </row>
    <row r="3133" spans="1:9" x14ac:dyDescent="0.3">
      <c r="A3133" s="26">
        <v>45338</v>
      </c>
      <c r="B3133" t="s">
        <v>1005</v>
      </c>
      <c r="C3133" t="s">
        <v>753</v>
      </c>
      <c r="D3133">
        <v>0.5</v>
      </c>
      <c r="E3133" t="s">
        <v>201</v>
      </c>
      <c r="F3133" t="s">
        <v>754</v>
      </c>
      <c r="H3133" t="s">
        <v>31</v>
      </c>
      <c r="I3133" s="28" t="s">
        <v>28</v>
      </c>
    </row>
    <row r="3134" spans="1:9" x14ac:dyDescent="0.3">
      <c r="A3134" s="26">
        <v>45338</v>
      </c>
      <c r="B3134" t="s">
        <v>1005</v>
      </c>
      <c r="C3134" t="s">
        <v>753</v>
      </c>
      <c r="D3134">
        <v>0.5</v>
      </c>
      <c r="E3134" t="s">
        <v>471</v>
      </c>
      <c r="F3134" t="s">
        <v>754</v>
      </c>
      <c r="H3134" t="s">
        <v>31</v>
      </c>
      <c r="I3134" s="28" t="s">
        <v>28</v>
      </c>
    </row>
    <row r="3135" spans="1:9" x14ac:dyDescent="0.3">
      <c r="A3135" s="26">
        <v>45338</v>
      </c>
      <c r="B3135" t="s">
        <v>1005</v>
      </c>
      <c r="C3135" t="s">
        <v>753</v>
      </c>
      <c r="D3135">
        <v>2.5</v>
      </c>
      <c r="E3135" t="s">
        <v>430</v>
      </c>
      <c r="F3135" t="s">
        <v>754</v>
      </c>
      <c r="H3135" t="s">
        <v>31</v>
      </c>
      <c r="I3135" s="28" t="s">
        <v>28</v>
      </c>
    </row>
    <row r="3136" spans="1:9" x14ac:dyDescent="0.3">
      <c r="A3136" s="26">
        <v>45338</v>
      </c>
      <c r="B3136" t="s">
        <v>1005</v>
      </c>
      <c r="C3136" t="s">
        <v>771</v>
      </c>
      <c r="D3136">
        <v>0.5</v>
      </c>
      <c r="E3136" t="s">
        <v>7</v>
      </c>
      <c r="F3136" t="s">
        <v>772</v>
      </c>
      <c r="G3136" t="s">
        <v>3060</v>
      </c>
      <c r="H3136" t="s">
        <v>31</v>
      </c>
      <c r="I3136" s="28" t="s">
        <v>28</v>
      </c>
    </row>
    <row r="3137" spans="1:9" x14ac:dyDescent="0.3">
      <c r="A3137" s="26">
        <v>45338</v>
      </c>
      <c r="B3137" t="s">
        <v>1005</v>
      </c>
      <c r="C3137" t="s">
        <v>1441</v>
      </c>
      <c r="D3137">
        <v>0.25</v>
      </c>
      <c r="E3137" t="s">
        <v>141</v>
      </c>
      <c r="F3137" t="s">
        <v>754</v>
      </c>
      <c r="H3137" t="s">
        <v>31</v>
      </c>
      <c r="I3137" s="28" t="s">
        <v>28</v>
      </c>
    </row>
    <row r="3138" spans="1:9" x14ac:dyDescent="0.3">
      <c r="A3138" s="26">
        <v>45338</v>
      </c>
      <c r="B3138" t="s">
        <v>1005</v>
      </c>
      <c r="C3138" t="s">
        <v>776</v>
      </c>
      <c r="D3138">
        <v>0.5</v>
      </c>
      <c r="E3138" t="s">
        <v>1438</v>
      </c>
      <c r="F3138" t="s">
        <v>754</v>
      </c>
      <c r="G3138" t="s">
        <v>3061</v>
      </c>
      <c r="H3138" t="s">
        <v>31</v>
      </c>
      <c r="I3138" s="28" t="s">
        <v>28</v>
      </c>
    </row>
    <row r="3139" spans="1:9" x14ac:dyDescent="0.3">
      <c r="A3139" s="26">
        <v>45338</v>
      </c>
      <c r="B3139" t="s">
        <v>1006</v>
      </c>
      <c r="C3139" t="s">
        <v>909</v>
      </c>
      <c r="D3139">
        <v>0.18</v>
      </c>
      <c r="E3139" t="s">
        <v>922</v>
      </c>
      <c r="F3139" t="s">
        <v>754</v>
      </c>
      <c r="G3139" t="s">
        <v>1010</v>
      </c>
      <c r="H3139" t="s">
        <v>31</v>
      </c>
      <c r="I3139" s="28" t="s">
        <v>28</v>
      </c>
    </row>
    <row r="3140" spans="1:9" x14ac:dyDescent="0.3">
      <c r="A3140" s="26">
        <v>45338</v>
      </c>
      <c r="B3140" t="s">
        <v>1006</v>
      </c>
      <c r="C3140" t="s">
        <v>909</v>
      </c>
      <c r="D3140">
        <v>0.18</v>
      </c>
      <c r="E3140" t="s">
        <v>757</v>
      </c>
      <c r="F3140" t="s">
        <v>772</v>
      </c>
      <c r="G3140" t="s">
        <v>3062</v>
      </c>
      <c r="H3140" t="s">
        <v>31</v>
      </c>
      <c r="I3140" s="28" t="s">
        <v>28</v>
      </c>
    </row>
    <row r="3141" spans="1:9" x14ac:dyDescent="0.3">
      <c r="A3141" s="26">
        <v>45338</v>
      </c>
      <c r="B3141" t="s">
        <v>1006</v>
      </c>
      <c r="C3141" t="s">
        <v>909</v>
      </c>
      <c r="D3141">
        <v>0.5</v>
      </c>
      <c r="E3141" t="s">
        <v>757</v>
      </c>
      <c r="F3141" t="s">
        <v>772</v>
      </c>
      <c r="G3141" t="s">
        <v>3063</v>
      </c>
      <c r="H3141" t="s">
        <v>31</v>
      </c>
      <c r="I3141" s="28" t="s">
        <v>28</v>
      </c>
    </row>
    <row r="3142" spans="1:9" x14ac:dyDescent="0.3">
      <c r="A3142" s="26">
        <v>45338</v>
      </c>
      <c r="B3142" t="s">
        <v>1006</v>
      </c>
      <c r="C3142" t="s">
        <v>909</v>
      </c>
      <c r="D3142">
        <v>3.48</v>
      </c>
      <c r="E3142" t="s">
        <v>757</v>
      </c>
      <c r="F3142" t="s">
        <v>754</v>
      </c>
      <c r="G3142" t="s">
        <v>2354</v>
      </c>
      <c r="H3142" t="s">
        <v>31</v>
      </c>
      <c r="I3142" s="28" t="s">
        <v>28</v>
      </c>
    </row>
    <row r="3143" spans="1:9" x14ac:dyDescent="0.3">
      <c r="A3143" s="26">
        <v>45338</v>
      </c>
      <c r="B3143" t="s">
        <v>1006</v>
      </c>
      <c r="C3143" t="s">
        <v>771</v>
      </c>
      <c r="D3143">
        <v>1.23</v>
      </c>
      <c r="E3143" t="s">
        <v>7</v>
      </c>
      <c r="F3143" t="s">
        <v>772</v>
      </c>
      <c r="G3143" t="s">
        <v>1010</v>
      </c>
      <c r="H3143" t="s">
        <v>31</v>
      </c>
      <c r="I3143" s="28" t="s">
        <v>28</v>
      </c>
    </row>
    <row r="3144" spans="1:9" x14ac:dyDescent="0.3">
      <c r="A3144" s="26">
        <v>45338</v>
      </c>
      <c r="B3144" t="s">
        <v>1006</v>
      </c>
      <c r="C3144" t="s">
        <v>874</v>
      </c>
      <c r="D3144">
        <v>0.42</v>
      </c>
      <c r="E3144" t="s">
        <v>7</v>
      </c>
      <c r="F3144" t="s">
        <v>772</v>
      </c>
      <c r="G3144" t="s">
        <v>3064</v>
      </c>
      <c r="H3144" t="s">
        <v>31</v>
      </c>
      <c r="I3144" s="28" t="s">
        <v>28</v>
      </c>
    </row>
    <row r="3145" spans="1:9" x14ac:dyDescent="0.3">
      <c r="A3145" s="26">
        <v>45338</v>
      </c>
      <c r="B3145" t="s">
        <v>1011</v>
      </c>
      <c r="C3145" t="s">
        <v>753</v>
      </c>
      <c r="D3145">
        <v>0.27</v>
      </c>
      <c r="E3145" t="s">
        <v>173</v>
      </c>
      <c r="F3145" t="s">
        <v>754</v>
      </c>
      <c r="G3145" t="s">
        <v>3065</v>
      </c>
      <c r="H3145" t="s">
        <v>31</v>
      </c>
      <c r="I3145" s="28" t="s">
        <v>28</v>
      </c>
    </row>
    <row r="3146" spans="1:9" x14ac:dyDescent="0.3">
      <c r="A3146" s="26">
        <v>45338</v>
      </c>
      <c r="B3146" t="s">
        <v>1011</v>
      </c>
      <c r="C3146" t="s">
        <v>753</v>
      </c>
      <c r="D3146">
        <v>0.33</v>
      </c>
      <c r="E3146" t="s">
        <v>1013</v>
      </c>
      <c r="F3146" t="s">
        <v>754</v>
      </c>
      <c r="G3146" t="s">
        <v>1014</v>
      </c>
      <c r="H3146" t="s">
        <v>31</v>
      </c>
      <c r="I3146" s="28" t="s">
        <v>28</v>
      </c>
    </row>
    <row r="3147" spans="1:9" x14ac:dyDescent="0.3">
      <c r="A3147" s="26">
        <v>45338</v>
      </c>
      <c r="B3147" t="s">
        <v>1011</v>
      </c>
      <c r="C3147" t="s">
        <v>753</v>
      </c>
      <c r="D3147">
        <v>0.57999999999999996</v>
      </c>
      <c r="E3147" t="s">
        <v>857</v>
      </c>
      <c r="F3147" t="s">
        <v>754</v>
      </c>
      <c r="H3147" t="s">
        <v>31</v>
      </c>
      <c r="I3147" s="28" t="s">
        <v>28</v>
      </c>
    </row>
    <row r="3148" spans="1:9" x14ac:dyDescent="0.3">
      <c r="A3148" s="26">
        <v>45338</v>
      </c>
      <c r="B3148" t="s">
        <v>1011</v>
      </c>
      <c r="C3148" t="s">
        <v>753</v>
      </c>
      <c r="D3148">
        <v>0.62</v>
      </c>
      <c r="E3148" t="s">
        <v>1013</v>
      </c>
      <c r="F3148" t="s">
        <v>754</v>
      </c>
      <c r="G3148" t="s">
        <v>3066</v>
      </c>
      <c r="H3148" t="s">
        <v>31</v>
      </c>
      <c r="I3148" s="28" t="s">
        <v>28</v>
      </c>
    </row>
    <row r="3149" spans="1:9" x14ac:dyDescent="0.3">
      <c r="A3149" s="26">
        <v>45338</v>
      </c>
      <c r="B3149" t="s">
        <v>1011</v>
      </c>
      <c r="C3149" t="s">
        <v>753</v>
      </c>
      <c r="D3149">
        <v>0.87</v>
      </c>
      <c r="E3149" t="s">
        <v>589</v>
      </c>
      <c r="F3149" t="s">
        <v>754</v>
      </c>
      <c r="G3149" t="s">
        <v>1243</v>
      </c>
      <c r="H3149" t="s">
        <v>31</v>
      </c>
      <c r="I3149" s="28" t="s">
        <v>28</v>
      </c>
    </row>
    <row r="3150" spans="1:9" x14ac:dyDescent="0.3">
      <c r="A3150" s="26">
        <v>45338</v>
      </c>
      <c r="B3150" t="s">
        <v>1011</v>
      </c>
      <c r="C3150" t="s">
        <v>784</v>
      </c>
      <c r="D3150">
        <v>4</v>
      </c>
      <c r="E3150" t="s">
        <v>7</v>
      </c>
      <c r="F3150" t="s">
        <v>772</v>
      </c>
      <c r="H3150" t="s">
        <v>31</v>
      </c>
      <c r="I3150" s="28" t="s">
        <v>28</v>
      </c>
    </row>
    <row r="3151" spans="1:9" x14ac:dyDescent="0.3">
      <c r="A3151" s="26">
        <v>45338</v>
      </c>
      <c r="B3151" t="s">
        <v>1020</v>
      </c>
      <c r="C3151" t="s">
        <v>753</v>
      </c>
      <c r="D3151">
        <v>0.68</v>
      </c>
      <c r="E3151" t="s">
        <v>964</v>
      </c>
      <c r="F3151" t="s">
        <v>754</v>
      </c>
      <c r="G3151" t="s">
        <v>3067</v>
      </c>
      <c r="H3151" t="s">
        <v>31</v>
      </c>
      <c r="I3151" s="28" t="s">
        <v>28</v>
      </c>
    </row>
    <row r="3152" spans="1:9" x14ac:dyDescent="0.3">
      <c r="A3152" s="26">
        <v>45338</v>
      </c>
      <c r="B3152" t="s">
        <v>1020</v>
      </c>
      <c r="C3152" t="s">
        <v>753</v>
      </c>
      <c r="D3152">
        <v>4.4800000000000004</v>
      </c>
      <c r="E3152" t="s">
        <v>11</v>
      </c>
      <c r="F3152" t="s">
        <v>754</v>
      </c>
      <c r="G3152" t="s">
        <v>3068</v>
      </c>
      <c r="H3152" t="s">
        <v>31</v>
      </c>
      <c r="I3152" s="28" t="s">
        <v>28</v>
      </c>
    </row>
    <row r="3153" spans="1:9" x14ac:dyDescent="0.3">
      <c r="A3153" s="26">
        <v>45338</v>
      </c>
      <c r="B3153" t="s">
        <v>1020</v>
      </c>
      <c r="C3153" t="s">
        <v>771</v>
      </c>
      <c r="D3153">
        <v>0.25</v>
      </c>
      <c r="E3153" t="s">
        <v>7</v>
      </c>
      <c r="F3153" t="s">
        <v>772</v>
      </c>
      <c r="G3153" t="s">
        <v>3069</v>
      </c>
      <c r="H3153" t="s">
        <v>31</v>
      </c>
      <c r="I3153" s="28" t="s">
        <v>28</v>
      </c>
    </row>
    <row r="3154" spans="1:9" x14ac:dyDescent="0.3">
      <c r="A3154" s="26">
        <v>45338</v>
      </c>
      <c r="B3154" t="s">
        <v>1020</v>
      </c>
      <c r="C3154" t="s">
        <v>784</v>
      </c>
      <c r="D3154">
        <v>4</v>
      </c>
      <c r="E3154" t="s">
        <v>7</v>
      </c>
      <c r="F3154" t="s">
        <v>772</v>
      </c>
      <c r="H3154" t="s">
        <v>31</v>
      </c>
      <c r="I3154" s="28" t="s">
        <v>28</v>
      </c>
    </row>
    <row r="3155" spans="1:9" x14ac:dyDescent="0.3">
      <c r="A3155" s="26">
        <v>45338</v>
      </c>
      <c r="B3155" t="s">
        <v>1026</v>
      </c>
      <c r="C3155" t="s">
        <v>771</v>
      </c>
      <c r="D3155">
        <v>0.27</v>
      </c>
      <c r="E3155" t="s">
        <v>7</v>
      </c>
      <c r="F3155" t="s">
        <v>772</v>
      </c>
      <c r="G3155" t="s">
        <v>3070</v>
      </c>
      <c r="H3155" t="s">
        <v>31</v>
      </c>
      <c r="I3155" s="28" t="s">
        <v>28</v>
      </c>
    </row>
    <row r="3156" spans="1:9" x14ac:dyDescent="0.3">
      <c r="A3156" s="26">
        <v>45338</v>
      </c>
      <c r="B3156" t="s">
        <v>1026</v>
      </c>
      <c r="C3156" t="s">
        <v>771</v>
      </c>
      <c r="D3156">
        <v>0.92</v>
      </c>
      <c r="E3156" t="s">
        <v>7</v>
      </c>
      <c r="F3156" t="s">
        <v>772</v>
      </c>
      <c r="G3156" t="s">
        <v>2729</v>
      </c>
      <c r="H3156" t="s">
        <v>31</v>
      </c>
      <c r="I3156" s="28" t="s">
        <v>28</v>
      </c>
    </row>
    <row r="3157" spans="1:9" x14ac:dyDescent="0.3">
      <c r="A3157" s="26">
        <v>45338</v>
      </c>
      <c r="B3157" t="s">
        <v>1026</v>
      </c>
      <c r="C3157" t="s">
        <v>771</v>
      </c>
      <c r="D3157">
        <v>1</v>
      </c>
      <c r="E3157" t="s">
        <v>7</v>
      </c>
      <c r="F3157" t="s">
        <v>772</v>
      </c>
      <c r="G3157" t="s">
        <v>3071</v>
      </c>
      <c r="H3157" t="s">
        <v>31</v>
      </c>
      <c r="I3157" s="28" t="s">
        <v>28</v>
      </c>
    </row>
    <row r="3158" spans="1:9" x14ac:dyDescent="0.3">
      <c r="A3158" s="26">
        <v>45338</v>
      </c>
      <c r="B3158" t="s">
        <v>1026</v>
      </c>
      <c r="C3158" t="s">
        <v>771</v>
      </c>
      <c r="D3158">
        <v>2.33</v>
      </c>
      <c r="E3158" t="s">
        <v>7</v>
      </c>
      <c r="F3158" t="s">
        <v>772</v>
      </c>
      <c r="G3158" t="s">
        <v>3072</v>
      </c>
      <c r="H3158" t="s">
        <v>31</v>
      </c>
      <c r="I3158" s="28" t="s">
        <v>28</v>
      </c>
    </row>
    <row r="3159" spans="1:9" x14ac:dyDescent="0.3">
      <c r="A3159" s="26">
        <v>45338</v>
      </c>
      <c r="B3159" t="s">
        <v>1026</v>
      </c>
      <c r="C3159" t="s">
        <v>771</v>
      </c>
      <c r="D3159">
        <v>3.08</v>
      </c>
      <c r="E3159" t="s">
        <v>7</v>
      </c>
      <c r="F3159" t="s">
        <v>772</v>
      </c>
      <c r="G3159" t="s">
        <v>3073</v>
      </c>
      <c r="H3159" t="s">
        <v>31</v>
      </c>
      <c r="I3159" s="28" t="s">
        <v>28</v>
      </c>
    </row>
    <row r="3160" spans="1:9" x14ac:dyDescent="0.3">
      <c r="A3160" s="26">
        <v>45338</v>
      </c>
      <c r="B3160" t="s">
        <v>1026</v>
      </c>
      <c r="C3160" t="s">
        <v>874</v>
      </c>
      <c r="D3160">
        <v>0.28000000000000003</v>
      </c>
      <c r="E3160" t="s">
        <v>7</v>
      </c>
      <c r="F3160" t="s">
        <v>772</v>
      </c>
      <c r="G3160" t="s">
        <v>3074</v>
      </c>
      <c r="H3160" t="s">
        <v>31</v>
      </c>
      <c r="I3160" s="28" t="s">
        <v>28</v>
      </c>
    </row>
    <row r="3161" spans="1:9" x14ac:dyDescent="0.3">
      <c r="A3161" s="26">
        <v>45338</v>
      </c>
      <c r="B3161" t="s">
        <v>1026</v>
      </c>
      <c r="C3161" t="s">
        <v>874</v>
      </c>
      <c r="D3161">
        <v>0.5</v>
      </c>
      <c r="E3161" t="s">
        <v>7</v>
      </c>
      <c r="F3161" t="s">
        <v>772</v>
      </c>
      <c r="G3161" t="s">
        <v>3075</v>
      </c>
      <c r="H3161" t="s">
        <v>31</v>
      </c>
      <c r="I3161" s="28" t="s">
        <v>28</v>
      </c>
    </row>
    <row r="3162" spans="1:9" x14ac:dyDescent="0.3">
      <c r="A3162" s="26">
        <v>45338</v>
      </c>
      <c r="B3162" t="s">
        <v>1026</v>
      </c>
      <c r="C3162" t="s">
        <v>874</v>
      </c>
      <c r="D3162">
        <v>0.75</v>
      </c>
      <c r="E3162" t="s">
        <v>7</v>
      </c>
      <c r="F3162" t="s">
        <v>772</v>
      </c>
      <c r="G3162" t="s">
        <v>3076</v>
      </c>
      <c r="H3162" t="s">
        <v>31</v>
      </c>
      <c r="I3162" s="28" t="s">
        <v>28</v>
      </c>
    </row>
    <row r="3163" spans="1:9" x14ac:dyDescent="0.3">
      <c r="A3163" s="26">
        <v>45338</v>
      </c>
      <c r="B3163" t="s">
        <v>1032</v>
      </c>
      <c r="C3163" t="s">
        <v>753</v>
      </c>
      <c r="D3163">
        <v>7.67</v>
      </c>
      <c r="E3163" t="s">
        <v>790</v>
      </c>
      <c r="F3163" t="s">
        <v>754</v>
      </c>
      <c r="H3163" t="s">
        <v>31</v>
      </c>
      <c r="I3163" s="28" t="s">
        <v>28</v>
      </c>
    </row>
    <row r="3164" spans="1:9" x14ac:dyDescent="0.3">
      <c r="A3164" s="26">
        <v>45338</v>
      </c>
      <c r="B3164" t="s">
        <v>1032</v>
      </c>
      <c r="C3164" t="s">
        <v>789</v>
      </c>
      <c r="D3164">
        <v>0.5</v>
      </c>
      <c r="E3164" t="s">
        <v>790</v>
      </c>
      <c r="F3164" t="s">
        <v>754</v>
      </c>
      <c r="G3164" t="s">
        <v>3077</v>
      </c>
      <c r="H3164" t="s">
        <v>31</v>
      </c>
      <c r="I3164" s="28" t="s">
        <v>28</v>
      </c>
    </row>
    <row r="3165" spans="1:9" x14ac:dyDescent="0.3">
      <c r="A3165" s="26">
        <v>45338</v>
      </c>
      <c r="B3165" t="s">
        <v>1032</v>
      </c>
      <c r="C3165" t="s">
        <v>874</v>
      </c>
      <c r="D3165">
        <v>0.75</v>
      </c>
      <c r="E3165" t="s">
        <v>7</v>
      </c>
      <c r="F3165" t="s">
        <v>772</v>
      </c>
      <c r="G3165" t="s">
        <v>3078</v>
      </c>
      <c r="H3165" t="s">
        <v>31</v>
      </c>
      <c r="I3165" s="28" t="s">
        <v>28</v>
      </c>
    </row>
    <row r="3166" spans="1:9" x14ac:dyDescent="0.3">
      <c r="A3166" s="26">
        <v>45338</v>
      </c>
      <c r="B3166" t="s">
        <v>1034</v>
      </c>
      <c r="C3166" t="s">
        <v>753</v>
      </c>
      <c r="D3166">
        <v>0.57999999999999996</v>
      </c>
      <c r="E3166" t="s">
        <v>978</v>
      </c>
      <c r="F3166" t="s">
        <v>754</v>
      </c>
      <c r="G3166" t="s">
        <v>3079</v>
      </c>
      <c r="H3166" t="s">
        <v>31</v>
      </c>
      <c r="I3166" s="28" t="s">
        <v>28</v>
      </c>
    </row>
    <row r="3167" spans="1:9" x14ac:dyDescent="0.3">
      <c r="A3167" s="26">
        <v>45338</v>
      </c>
      <c r="B3167" t="s">
        <v>1034</v>
      </c>
      <c r="C3167" t="s">
        <v>753</v>
      </c>
      <c r="D3167">
        <v>0.92</v>
      </c>
      <c r="E3167" t="s">
        <v>690</v>
      </c>
      <c r="F3167" t="s">
        <v>754</v>
      </c>
      <c r="G3167" t="s">
        <v>3080</v>
      </c>
      <c r="H3167" t="s">
        <v>31</v>
      </c>
      <c r="I3167" s="28" t="s">
        <v>28</v>
      </c>
    </row>
    <row r="3168" spans="1:9" x14ac:dyDescent="0.3">
      <c r="A3168" s="26">
        <v>45338</v>
      </c>
      <c r="B3168" t="s">
        <v>1034</v>
      </c>
      <c r="C3168" t="s">
        <v>753</v>
      </c>
      <c r="D3168">
        <v>1.1499999999999999</v>
      </c>
      <c r="E3168" t="s">
        <v>170</v>
      </c>
      <c r="F3168" t="s">
        <v>754</v>
      </c>
      <c r="G3168" t="s">
        <v>3081</v>
      </c>
      <c r="H3168" t="s">
        <v>31</v>
      </c>
      <c r="I3168" s="28" t="s">
        <v>28</v>
      </c>
    </row>
    <row r="3169" spans="1:9" x14ac:dyDescent="0.3">
      <c r="A3169" s="26">
        <v>45338</v>
      </c>
      <c r="B3169" t="s">
        <v>1034</v>
      </c>
      <c r="C3169" t="s">
        <v>753</v>
      </c>
      <c r="D3169">
        <v>1.2</v>
      </c>
      <c r="E3169" t="s">
        <v>564</v>
      </c>
      <c r="F3169" t="s">
        <v>754</v>
      </c>
      <c r="G3169" t="s">
        <v>3082</v>
      </c>
      <c r="H3169" t="s">
        <v>31</v>
      </c>
      <c r="I3169" s="28" t="s">
        <v>28</v>
      </c>
    </row>
    <row r="3170" spans="1:9" x14ac:dyDescent="0.3">
      <c r="A3170" s="26">
        <v>45338</v>
      </c>
      <c r="B3170" t="s">
        <v>1034</v>
      </c>
      <c r="C3170" t="s">
        <v>771</v>
      </c>
      <c r="D3170">
        <v>0.5</v>
      </c>
      <c r="E3170" t="s">
        <v>7</v>
      </c>
      <c r="F3170" t="s">
        <v>772</v>
      </c>
      <c r="G3170" t="s">
        <v>820</v>
      </c>
      <c r="H3170" t="s">
        <v>31</v>
      </c>
      <c r="I3170" s="28" t="s">
        <v>28</v>
      </c>
    </row>
    <row r="3171" spans="1:9" x14ac:dyDescent="0.3">
      <c r="A3171" s="26">
        <v>45338</v>
      </c>
      <c r="B3171" t="s">
        <v>1034</v>
      </c>
      <c r="C3171" t="s">
        <v>771</v>
      </c>
      <c r="D3171">
        <v>0.63</v>
      </c>
      <c r="E3171" t="s">
        <v>7</v>
      </c>
      <c r="F3171" t="s">
        <v>772</v>
      </c>
      <c r="G3171" t="s">
        <v>3083</v>
      </c>
      <c r="H3171" t="s">
        <v>31</v>
      </c>
      <c r="I3171" s="28" t="s">
        <v>28</v>
      </c>
    </row>
    <row r="3172" spans="1:9" x14ac:dyDescent="0.3">
      <c r="A3172" s="26">
        <v>45338</v>
      </c>
      <c r="B3172" t="s">
        <v>1034</v>
      </c>
      <c r="C3172" t="s">
        <v>916</v>
      </c>
      <c r="D3172">
        <v>0.4</v>
      </c>
      <c r="E3172" t="s">
        <v>1543</v>
      </c>
      <c r="F3172" t="s">
        <v>754</v>
      </c>
      <c r="G3172" t="s">
        <v>3084</v>
      </c>
      <c r="H3172" t="s">
        <v>31</v>
      </c>
      <c r="I3172" s="28" t="s">
        <v>28</v>
      </c>
    </row>
    <row r="3173" spans="1:9" x14ac:dyDescent="0.3">
      <c r="A3173" s="26">
        <v>45338</v>
      </c>
      <c r="B3173" t="s">
        <v>1034</v>
      </c>
      <c r="C3173" t="s">
        <v>834</v>
      </c>
      <c r="D3173">
        <v>1.43</v>
      </c>
      <c r="E3173" t="s">
        <v>7</v>
      </c>
      <c r="F3173" t="s">
        <v>772</v>
      </c>
      <c r="G3173" t="s">
        <v>3085</v>
      </c>
      <c r="H3173" t="s">
        <v>31</v>
      </c>
      <c r="I3173" s="28" t="s">
        <v>28</v>
      </c>
    </row>
    <row r="3174" spans="1:9" x14ac:dyDescent="0.3">
      <c r="A3174" s="26">
        <v>45338</v>
      </c>
      <c r="B3174" t="s">
        <v>1034</v>
      </c>
      <c r="C3174" t="s">
        <v>874</v>
      </c>
      <c r="D3174">
        <v>1.03</v>
      </c>
      <c r="E3174" t="s">
        <v>7</v>
      </c>
      <c r="F3174" t="s">
        <v>772</v>
      </c>
      <c r="G3174" t="s">
        <v>1125</v>
      </c>
      <c r="H3174" t="s">
        <v>31</v>
      </c>
      <c r="I3174" s="28" t="s">
        <v>28</v>
      </c>
    </row>
    <row r="3175" spans="1:9" x14ac:dyDescent="0.3">
      <c r="A3175" s="26">
        <v>45338</v>
      </c>
      <c r="B3175" t="s">
        <v>1034</v>
      </c>
      <c r="C3175" t="s">
        <v>776</v>
      </c>
      <c r="D3175">
        <v>0.13</v>
      </c>
      <c r="E3175" t="s">
        <v>657</v>
      </c>
      <c r="F3175" t="s">
        <v>754</v>
      </c>
      <c r="G3175" t="s">
        <v>3086</v>
      </c>
      <c r="H3175" t="s">
        <v>31</v>
      </c>
      <c r="I3175" s="28" t="s">
        <v>28</v>
      </c>
    </row>
    <row r="3176" spans="1:9" x14ac:dyDescent="0.3">
      <c r="A3176" s="26">
        <v>45338</v>
      </c>
      <c r="B3176" t="s">
        <v>1034</v>
      </c>
      <c r="C3176" t="s">
        <v>776</v>
      </c>
      <c r="D3176">
        <v>0.35</v>
      </c>
      <c r="E3176" t="s">
        <v>790</v>
      </c>
      <c r="F3176" t="s">
        <v>754</v>
      </c>
      <c r="G3176" t="s">
        <v>3087</v>
      </c>
      <c r="H3176" t="s">
        <v>31</v>
      </c>
      <c r="I3176" s="28" t="s">
        <v>28</v>
      </c>
    </row>
    <row r="3177" spans="1:9" x14ac:dyDescent="0.3">
      <c r="A3177" s="26">
        <v>45338</v>
      </c>
      <c r="B3177" t="s">
        <v>1043</v>
      </c>
      <c r="C3177" t="s">
        <v>919</v>
      </c>
      <c r="D3177">
        <v>0.17</v>
      </c>
      <c r="E3177" t="s">
        <v>917</v>
      </c>
      <c r="F3177" t="s">
        <v>754</v>
      </c>
      <c r="G3177" t="s">
        <v>3088</v>
      </c>
      <c r="H3177" t="s">
        <v>31</v>
      </c>
      <c r="I3177" s="28" t="s">
        <v>28</v>
      </c>
    </row>
    <row r="3178" spans="1:9" x14ac:dyDescent="0.3">
      <c r="A3178" s="26">
        <v>45338</v>
      </c>
      <c r="B3178" t="s">
        <v>1043</v>
      </c>
      <c r="C3178" t="s">
        <v>954</v>
      </c>
      <c r="D3178">
        <v>0.17</v>
      </c>
      <c r="E3178" t="s">
        <v>7</v>
      </c>
      <c r="F3178" t="s">
        <v>772</v>
      </c>
      <c r="G3178" t="s">
        <v>3089</v>
      </c>
      <c r="H3178" t="s">
        <v>31</v>
      </c>
      <c r="I3178" s="28" t="s">
        <v>28</v>
      </c>
    </row>
    <row r="3179" spans="1:9" x14ac:dyDescent="0.3">
      <c r="A3179" s="26">
        <v>45338</v>
      </c>
      <c r="B3179" t="s">
        <v>1049</v>
      </c>
      <c r="C3179" t="s">
        <v>753</v>
      </c>
      <c r="D3179">
        <v>0.47</v>
      </c>
      <c r="E3179" t="s">
        <v>964</v>
      </c>
      <c r="F3179" t="s">
        <v>754</v>
      </c>
      <c r="G3179" t="s">
        <v>3090</v>
      </c>
      <c r="H3179" t="s">
        <v>31</v>
      </c>
      <c r="I3179" s="28" t="s">
        <v>28</v>
      </c>
    </row>
    <row r="3180" spans="1:9" x14ac:dyDescent="0.3">
      <c r="A3180" s="26">
        <v>45338</v>
      </c>
      <c r="B3180" t="s">
        <v>1049</v>
      </c>
      <c r="C3180" t="s">
        <v>753</v>
      </c>
      <c r="D3180">
        <v>0.82</v>
      </c>
      <c r="E3180" t="s">
        <v>316</v>
      </c>
      <c r="F3180" t="s">
        <v>754</v>
      </c>
      <c r="G3180" t="s">
        <v>3091</v>
      </c>
      <c r="H3180" t="s">
        <v>31</v>
      </c>
      <c r="I3180" s="28" t="s">
        <v>28</v>
      </c>
    </row>
    <row r="3181" spans="1:9" x14ac:dyDescent="0.3">
      <c r="A3181" s="26">
        <v>45338</v>
      </c>
      <c r="B3181" t="s">
        <v>1049</v>
      </c>
      <c r="C3181" t="s">
        <v>753</v>
      </c>
      <c r="D3181">
        <v>2.5299999999999998</v>
      </c>
      <c r="E3181" t="s">
        <v>964</v>
      </c>
      <c r="F3181" t="s">
        <v>754</v>
      </c>
      <c r="G3181" t="s">
        <v>3092</v>
      </c>
      <c r="H3181" t="s">
        <v>31</v>
      </c>
      <c r="I3181" s="28" t="s">
        <v>28</v>
      </c>
    </row>
    <row r="3182" spans="1:9" x14ac:dyDescent="0.3">
      <c r="A3182" s="26">
        <v>45338</v>
      </c>
      <c r="B3182" t="s">
        <v>1049</v>
      </c>
      <c r="C3182" t="s">
        <v>771</v>
      </c>
      <c r="D3182">
        <v>0.5</v>
      </c>
      <c r="E3182" t="s">
        <v>7</v>
      </c>
      <c r="F3182" t="s">
        <v>772</v>
      </c>
      <c r="G3182" t="s">
        <v>1058</v>
      </c>
      <c r="H3182" t="s">
        <v>31</v>
      </c>
      <c r="I3182" s="28" t="s">
        <v>28</v>
      </c>
    </row>
    <row r="3183" spans="1:9" x14ac:dyDescent="0.3">
      <c r="A3183" s="26">
        <v>45338</v>
      </c>
      <c r="B3183" t="s">
        <v>1049</v>
      </c>
      <c r="C3183" t="s">
        <v>1441</v>
      </c>
      <c r="D3183">
        <v>7.0000000000000007E-2</v>
      </c>
      <c r="E3183" t="s">
        <v>10</v>
      </c>
      <c r="F3183" t="s">
        <v>754</v>
      </c>
      <c r="G3183" t="s">
        <v>1911</v>
      </c>
      <c r="H3183" t="s">
        <v>31</v>
      </c>
      <c r="I3183" s="28" t="s">
        <v>28</v>
      </c>
    </row>
    <row r="3184" spans="1:9" x14ac:dyDescent="0.3">
      <c r="A3184" s="26">
        <v>45338</v>
      </c>
      <c r="B3184" t="s">
        <v>1049</v>
      </c>
      <c r="C3184" t="s">
        <v>1441</v>
      </c>
      <c r="D3184">
        <v>0.08</v>
      </c>
      <c r="E3184" t="s">
        <v>507</v>
      </c>
      <c r="F3184" t="s">
        <v>754</v>
      </c>
      <c r="G3184" t="s">
        <v>1911</v>
      </c>
      <c r="H3184" t="s">
        <v>31</v>
      </c>
      <c r="I3184" s="28" t="s">
        <v>28</v>
      </c>
    </row>
    <row r="3185" spans="1:9" x14ac:dyDescent="0.3">
      <c r="A3185" s="26">
        <v>45338</v>
      </c>
      <c r="B3185" t="s">
        <v>1049</v>
      </c>
      <c r="C3185" t="s">
        <v>835</v>
      </c>
      <c r="D3185">
        <v>0.5</v>
      </c>
      <c r="E3185" t="s">
        <v>507</v>
      </c>
      <c r="F3185" t="s">
        <v>754</v>
      </c>
      <c r="G3185" t="s">
        <v>2934</v>
      </c>
      <c r="H3185" t="s">
        <v>31</v>
      </c>
      <c r="I3185" s="28" t="s">
        <v>28</v>
      </c>
    </row>
    <row r="3186" spans="1:9" x14ac:dyDescent="0.3">
      <c r="A3186" s="26">
        <v>45338</v>
      </c>
      <c r="B3186" t="s">
        <v>1049</v>
      </c>
      <c r="C3186" t="s">
        <v>874</v>
      </c>
      <c r="D3186">
        <v>0.83</v>
      </c>
      <c r="E3186" t="s">
        <v>7</v>
      </c>
      <c r="F3186" t="s">
        <v>772</v>
      </c>
      <c r="G3186" t="s">
        <v>1162</v>
      </c>
      <c r="H3186" t="s">
        <v>31</v>
      </c>
      <c r="I3186" s="28" t="s">
        <v>28</v>
      </c>
    </row>
    <row r="3187" spans="1:9" x14ac:dyDescent="0.3">
      <c r="A3187" s="26">
        <v>45338</v>
      </c>
      <c r="B3187" t="s">
        <v>1049</v>
      </c>
      <c r="C3187" t="s">
        <v>776</v>
      </c>
      <c r="D3187">
        <v>0.03</v>
      </c>
      <c r="E3187" t="s">
        <v>815</v>
      </c>
      <c r="F3187" t="s">
        <v>754</v>
      </c>
      <c r="G3187" t="s">
        <v>3093</v>
      </c>
      <c r="H3187" t="s">
        <v>31</v>
      </c>
      <c r="I3187" s="28" t="s">
        <v>28</v>
      </c>
    </row>
    <row r="3188" spans="1:9" x14ac:dyDescent="0.3">
      <c r="A3188" s="26">
        <v>45338</v>
      </c>
      <c r="B3188" t="s">
        <v>1049</v>
      </c>
      <c r="C3188" t="s">
        <v>776</v>
      </c>
      <c r="D3188">
        <v>0.72</v>
      </c>
      <c r="E3188" t="s">
        <v>1273</v>
      </c>
      <c r="F3188" t="s">
        <v>754</v>
      </c>
      <c r="G3188" t="s">
        <v>3094</v>
      </c>
      <c r="H3188" t="s">
        <v>31</v>
      </c>
      <c r="I3188" s="28" t="s">
        <v>28</v>
      </c>
    </row>
    <row r="3189" spans="1:9" x14ac:dyDescent="0.3">
      <c r="A3189" s="26">
        <v>45338</v>
      </c>
      <c r="B3189" t="s">
        <v>1049</v>
      </c>
      <c r="C3189" t="s">
        <v>776</v>
      </c>
      <c r="D3189">
        <v>0.72</v>
      </c>
      <c r="E3189" t="s">
        <v>1273</v>
      </c>
      <c r="F3189" t="s">
        <v>754</v>
      </c>
      <c r="G3189" t="s">
        <v>1275</v>
      </c>
      <c r="H3189" t="s">
        <v>31</v>
      </c>
      <c r="I3189" s="28" t="s">
        <v>28</v>
      </c>
    </row>
    <row r="3190" spans="1:9" x14ac:dyDescent="0.3">
      <c r="A3190" s="26">
        <v>45338</v>
      </c>
      <c r="B3190" t="s">
        <v>1049</v>
      </c>
      <c r="C3190" t="s">
        <v>776</v>
      </c>
      <c r="D3190">
        <v>0.77</v>
      </c>
      <c r="E3190" t="s">
        <v>1273</v>
      </c>
      <c r="F3190" t="s">
        <v>754</v>
      </c>
      <c r="G3190" t="s">
        <v>3095</v>
      </c>
      <c r="H3190" t="s">
        <v>31</v>
      </c>
      <c r="I3190" s="28" t="s">
        <v>28</v>
      </c>
    </row>
    <row r="3191" spans="1:9" x14ac:dyDescent="0.3">
      <c r="A3191" s="26">
        <v>45338</v>
      </c>
      <c r="B3191" t="s">
        <v>1060</v>
      </c>
      <c r="C3191" t="s">
        <v>909</v>
      </c>
      <c r="D3191">
        <v>0.5</v>
      </c>
      <c r="E3191" t="s">
        <v>288</v>
      </c>
      <c r="F3191" t="s">
        <v>754</v>
      </c>
      <c r="G3191" t="s">
        <v>3096</v>
      </c>
      <c r="H3191" t="s">
        <v>31</v>
      </c>
      <c r="I3191" s="28" t="s">
        <v>28</v>
      </c>
    </row>
    <row r="3192" spans="1:9" x14ac:dyDescent="0.3">
      <c r="A3192" s="26">
        <v>45338</v>
      </c>
      <c r="B3192" t="s">
        <v>1060</v>
      </c>
      <c r="C3192" t="s">
        <v>909</v>
      </c>
      <c r="D3192">
        <v>0.5</v>
      </c>
      <c r="E3192" t="s">
        <v>553</v>
      </c>
      <c r="F3192" t="s">
        <v>754</v>
      </c>
      <c r="G3192" t="s">
        <v>3097</v>
      </c>
      <c r="H3192" t="s">
        <v>31</v>
      </c>
      <c r="I3192" s="28" t="s">
        <v>28</v>
      </c>
    </row>
    <row r="3193" spans="1:9" x14ac:dyDescent="0.3">
      <c r="A3193" s="26">
        <v>45338</v>
      </c>
      <c r="B3193" t="s">
        <v>1060</v>
      </c>
      <c r="C3193" t="s">
        <v>771</v>
      </c>
      <c r="D3193">
        <v>4</v>
      </c>
      <c r="E3193" t="s">
        <v>7</v>
      </c>
      <c r="F3193" t="s">
        <v>772</v>
      </c>
      <c r="G3193" t="s">
        <v>3098</v>
      </c>
      <c r="H3193" t="s">
        <v>31</v>
      </c>
      <c r="I3193" s="28" t="s">
        <v>28</v>
      </c>
    </row>
    <row r="3194" spans="1:9" x14ac:dyDescent="0.3">
      <c r="A3194" s="26">
        <v>45338</v>
      </c>
      <c r="B3194" t="s">
        <v>1060</v>
      </c>
      <c r="C3194" t="s">
        <v>1441</v>
      </c>
      <c r="D3194">
        <v>0.17</v>
      </c>
      <c r="E3194" t="s">
        <v>646</v>
      </c>
      <c r="F3194" t="s">
        <v>754</v>
      </c>
      <c r="G3194" t="s">
        <v>1927</v>
      </c>
      <c r="H3194" t="s">
        <v>31</v>
      </c>
      <c r="I3194" s="28" t="s">
        <v>28</v>
      </c>
    </row>
    <row r="3195" spans="1:9" x14ac:dyDescent="0.3">
      <c r="A3195" s="26">
        <v>45338</v>
      </c>
      <c r="B3195" t="s">
        <v>1060</v>
      </c>
      <c r="C3195" t="s">
        <v>916</v>
      </c>
      <c r="D3195">
        <v>0.33</v>
      </c>
      <c r="E3195" t="s">
        <v>2496</v>
      </c>
      <c r="F3195" t="s">
        <v>754</v>
      </c>
      <c r="G3195" t="s">
        <v>1071</v>
      </c>
      <c r="H3195" t="s">
        <v>31</v>
      </c>
      <c r="I3195" s="28" t="s">
        <v>28</v>
      </c>
    </row>
    <row r="3196" spans="1:9" x14ac:dyDescent="0.3">
      <c r="A3196" s="26">
        <v>45338</v>
      </c>
      <c r="B3196" t="s">
        <v>1060</v>
      </c>
      <c r="C3196" t="s">
        <v>916</v>
      </c>
      <c r="D3196">
        <v>0.33</v>
      </c>
      <c r="E3196" t="s">
        <v>655</v>
      </c>
      <c r="F3196" t="s">
        <v>754</v>
      </c>
      <c r="G3196" t="s">
        <v>1071</v>
      </c>
      <c r="H3196" t="s">
        <v>31</v>
      </c>
      <c r="I3196" s="28" t="s">
        <v>28</v>
      </c>
    </row>
    <row r="3197" spans="1:9" x14ac:dyDescent="0.3">
      <c r="A3197" s="26">
        <v>45338</v>
      </c>
      <c r="B3197" t="s">
        <v>1060</v>
      </c>
      <c r="C3197" t="s">
        <v>916</v>
      </c>
      <c r="D3197">
        <v>0.5</v>
      </c>
      <c r="E3197" t="s">
        <v>602</v>
      </c>
      <c r="F3197" t="s">
        <v>754</v>
      </c>
      <c r="G3197" t="s">
        <v>3099</v>
      </c>
      <c r="H3197" t="s">
        <v>31</v>
      </c>
      <c r="I3197" s="28" t="s">
        <v>28</v>
      </c>
    </row>
    <row r="3198" spans="1:9" x14ac:dyDescent="0.3">
      <c r="A3198" s="26">
        <v>45338</v>
      </c>
      <c r="B3198" t="s">
        <v>1060</v>
      </c>
      <c r="C3198" t="s">
        <v>874</v>
      </c>
      <c r="D3198">
        <v>0.75</v>
      </c>
      <c r="E3198" t="s">
        <v>7</v>
      </c>
      <c r="F3198" t="s">
        <v>772</v>
      </c>
      <c r="G3198" t="s">
        <v>3100</v>
      </c>
      <c r="H3198" t="s">
        <v>31</v>
      </c>
      <c r="I3198" s="28" t="s">
        <v>28</v>
      </c>
    </row>
    <row r="3199" spans="1:9" x14ac:dyDescent="0.3">
      <c r="A3199" s="26">
        <v>45338</v>
      </c>
      <c r="B3199" t="s">
        <v>1060</v>
      </c>
      <c r="C3199" t="s">
        <v>874</v>
      </c>
      <c r="D3199">
        <v>0.75</v>
      </c>
      <c r="E3199" t="s">
        <v>7</v>
      </c>
      <c r="F3199" t="s">
        <v>772</v>
      </c>
      <c r="G3199" t="s">
        <v>3101</v>
      </c>
      <c r="H3199" t="s">
        <v>31</v>
      </c>
      <c r="I3199" s="28" t="s">
        <v>28</v>
      </c>
    </row>
    <row r="3200" spans="1:9" x14ac:dyDescent="0.3">
      <c r="A3200" s="26">
        <v>45338</v>
      </c>
      <c r="B3200" t="s">
        <v>2945</v>
      </c>
      <c r="C3200" t="s">
        <v>771</v>
      </c>
      <c r="D3200">
        <v>0.83</v>
      </c>
      <c r="E3200" t="s">
        <v>7</v>
      </c>
      <c r="F3200" t="s">
        <v>772</v>
      </c>
      <c r="G3200" t="s">
        <v>3102</v>
      </c>
      <c r="H3200" t="s">
        <v>31</v>
      </c>
      <c r="I3200" s="28" t="s">
        <v>28</v>
      </c>
    </row>
    <row r="3201" spans="1:9" x14ac:dyDescent="0.3">
      <c r="A3201" s="26">
        <v>45338</v>
      </c>
      <c r="B3201" t="s">
        <v>2945</v>
      </c>
      <c r="C3201" t="s">
        <v>771</v>
      </c>
      <c r="D3201">
        <v>3.8</v>
      </c>
      <c r="E3201" t="s">
        <v>7</v>
      </c>
      <c r="F3201" t="s">
        <v>772</v>
      </c>
      <c r="G3201" t="s">
        <v>3103</v>
      </c>
      <c r="H3201" t="s">
        <v>31</v>
      </c>
      <c r="I3201" s="28" t="s">
        <v>28</v>
      </c>
    </row>
    <row r="3202" spans="1:9" x14ac:dyDescent="0.3">
      <c r="A3202" s="26">
        <v>45338</v>
      </c>
      <c r="B3202" t="s">
        <v>2945</v>
      </c>
      <c r="C3202" t="s">
        <v>874</v>
      </c>
      <c r="D3202">
        <v>0.25</v>
      </c>
      <c r="E3202" t="s">
        <v>7</v>
      </c>
      <c r="F3202" t="s">
        <v>772</v>
      </c>
      <c r="G3202" t="s">
        <v>3104</v>
      </c>
      <c r="H3202" t="s">
        <v>31</v>
      </c>
      <c r="I3202" s="28" t="s">
        <v>28</v>
      </c>
    </row>
    <row r="3203" spans="1:9" x14ac:dyDescent="0.3">
      <c r="A3203" s="26">
        <v>45338</v>
      </c>
      <c r="B3203" t="s">
        <v>2945</v>
      </c>
      <c r="C3203" t="s">
        <v>874</v>
      </c>
      <c r="D3203">
        <v>0.33</v>
      </c>
      <c r="E3203" t="s">
        <v>7</v>
      </c>
      <c r="F3203" t="s">
        <v>772</v>
      </c>
      <c r="G3203" t="s">
        <v>3105</v>
      </c>
      <c r="H3203" t="s">
        <v>31</v>
      </c>
      <c r="I3203" s="28" t="s">
        <v>28</v>
      </c>
    </row>
    <row r="3204" spans="1:9" x14ac:dyDescent="0.3">
      <c r="A3204" s="26">
        <v>45338</v>
      </c>
      <c r="B3204" t="s">
        <v>2945</v>
      </c>
      <c r="C3204" t="s">
        <v>874</v>
      </c>
      <c r="D3204">
        <v>0.67</v>
      </c>
      <c r="E3204" t="s">
        <v>7</v>
      </c>
      <c r="F3204" t="s">
        <v>772</v>
      </c>
      <c r="G3204" t="s">
        <v>3106</v>
      </c>
      <c r="H3204" t="s">
        <v>31</v>
      </c>
      <c r="I3204" s="28" t="s">
        <v>28</v>
      </c>
    </row>
    <row r="3205" spans="1:9" x14ac:dyDescent="0.3">
      <c r="A3205" s="26">
        <v>45338</v>
      </c>
      <c r="B3205" t="s">
        <v>2945</v>
      </c>
      <c r="C3205" t="s">
        <v>874</v>
      </c>
      <c r="D3205">
        <v>1.05</v>
      </c>
      <c r="E3205" t="s">
        <v>7</v>
      </c>
      <c r="F3205" t="s">
        <v>772</v>
      </c>
      <c r="G3205" t="s">
        <v>3107</v>
      </c>
      <c r="H3205" t="s">
        <v>31</v>
      </c>
      <c r="I3205" s="28" t="s">
        <v>28</v>
      </c>
    </row>
    <row r="3206" spans="1:9" x14ac:dyDescent="0.3">
      <c r="A3206" s="26">
        <v>45338</v>
      </c>
      <c r="B3206" t="s">
        <v>2945</v>
      </c>
      <c r="C3206" t="s">
        <v>874</v>
      </c>
      <c r="D3206">
        <v>1.1000000000000001</v>
      </c>
      <c r="E3206" t="s">
        <v>7</v>
      </c>
      <c r="F3206" t="s">
        <v>772</v>
      </c>
      <c r="G3206" t="s">
        <v>3108</v>
      </c>
      <c r="H3206" t="s">
        <v>31</v>
      </c>
      <c r="I3206" s="28" t="s">
        <v>28</v>
      </c>
    </row>
    <row r="3207" spans="1:9" x14ac:dyDescent="0.3">
      <c r="A3207" s="26">
        <v>45338</v>
      </c>
      <c r="B3207" t="s">
        <v>1074</v>
      </c>
      <c r="C3207" t="s">
        <v>753</v>
      </c>
      <c r="D3207">
        <v>0.2</v>
      </c>
      <c r="E3207" t="s">
        <v>964</v>
      </c>
      <c r="F3207" t="s">
        <v>754</v>
      </c>
      <c r="G3207" t="s">
        <v>3109</v>
      </c>
      <c r="H3207" t="s">
        <v>31</v>
      </c>
      <c r="I3207" s="28" t="s">
        <v>28</v>
      </c>
    </row>
    <row r="3208" spans="1:9" x14ac:dyDescent="0.3">
      <c r="A3208" s="26">
        <v>45338</v>
      </c>
      <c r="B3208" t="s">
        <v>1074</v>
      </c>
      <c r="C3208" t="s">
        <v>906</v>
      </c>
      <c r="D3208">
        <v>0.6</v>
      </c>
      <c r="E3208" t="s">
        <v>7</v>
      </c>
      <c r="F3208" t="s">
        <v>772</v>
      </c>
      <c r="G3208" t="s">
        <v>3110</v>
      </c>
      <c r="H3208" t="s">
        <v>31</v>
      </c>
      <c r="I3208" s="28" t="s">
        <v>28</v>
      </c>
    </row>
    <row r="3209" spans="1:9" x14ac:dyDescent="0.3">
      <c r="A3209" s="26">
        <v>45338</v>
      </c>
      <c r="B3209" t="s">
        <v>1074</v>
      </c>
      <c r="C3209" t="s">
        <v>909</v>
      </c>
      <c r="D3209">
        <v>0.8</v>
      </c>
      <c r="E3209" t="s">
        <v>964</v>
      </c>
      <c r="F3209" t="s">
        <v>754</v>
      </c>
      <c r="G3209" t="s">
        <v>3111</v>
      </c>
      <c r="H3209" t="s">
        <v>31</v>
      </c>
      <c r="I3209" s="28" t="s">
        <v>28</v>
      </c>
    </row>
    <row r="3210" spans="1:9" x14ac:dyDescent="0.3">
      <c r="A3210" s="26">
        <v>45338</v>
      </c>
      <c r="B3210" t="s">
        <v>1074</v>
      </c>
      <c r="C3210" t="s">
        <v>771</v>
      </c>
      <c r="D3210">
        <v>0.9</v>
      </c>
      <c r="E3210" t="s">
        <v>7</v>
      </c>
      <c r="F3210" t="s">
        <v>772</v>
      </c>
      <c r="G3210" t="s">
        <v>3112</v>
      </c>
      <c r="H3210" t="s">
        <v>31</v>
      </c>
      <c r="I3210" s="28" t="s">
        <v>28</v>
      </c>
    </row>
    <row r="3211" spans="1:9" x14ac:dyDescent="0.3">
      <c r="A3211" s="26">
        <v>45338</v>
      </c>
      <c r="B3211" t="s">
        <v>1074</v>
      </c>
      <c r="C3211" t="s">
        <v>835</v>
      </c>
      <c r="D3211">
        <v>0.73</v>
      </c>
      <c r="E3211" t="s">
        <v>1096</v>
      </c>
      <c r="F3211" t="s">
        <v>754</v>
      </c>
      <c r="H3211" t="s">
        <v>31</v>
      </c>
      <c r="I3211" s="28" t="s">
        <v>28</v>
      </c>
    </row>
    <row r="3212" spans="1:9" x14ac:dyDescent="0.3">
      <c r="A3212" s="26">
        <v>45338</v>
      </c>
      <c r="B3212" t="s">
        <v>1074</v>
      </c>
      <c r="C3212" t="s">
        <v>835</v>
      </c>
      <c r="D3212">
        <v>1.5</v>
      </c>
      <c r="E3212" t="s">
        <v>1096</v>
      </c>
      <c r="F3212" t="s">
        <v>754</v>
      </c>
      <c r="G3212" t="s">
        <v>3113</v>
      </c>
      <c r="H3212" t="s">
        <v>31</v>
      </c>
      <c r="I3212" s="28" t="s">
        <v>28</v>
      </c>
    </row>
    <row r="3213" spans="1:9" x14ac:dyDescent="0.3">
      <c r="A3213" s="26">
        <v>45338</v>
      </c>
      <c r="B3213" t="s">
        <v>1505</v>
      </c>
      <c r="C3213" t="s">
        <v>802</v>
      </c>
      <c r="D3213">
        <v>1</v>
      </c>
      <c r="E3213" t="s">
        <v>7</v>
      </c>
      <c r="F3213" t="s">
        <v>772</v>
      </c>
      <c r="G3213" t="s">
        <v>1506</v>
      </c>
      <c r="H3213" t="s">
        <v>31</v>
      </c>
      <c r="I3213" s="28" t="s">
        <v>28</v>
      </c>
    </row>
    <row r="3214" spans="1:9" x14ac:dyDescent="0.3">
      <c r="A3214" s="26">
        <v>45338</v>
      </c>
      <c r="B3214" t="s">
        <v>1081</v>
      </c>
      <c r="C3214" t="s">
        <v>771</v>
      </c>
      <c r="D3214">
        <v>4</v>
      </c>
      <c r="E3214" t="s">
        <v>7</v>
      </c>
      <c r="F3214" t="s">
        <v>772</v>
      </c>
      <c r="G3214" t="e">
        <f>- prepare EOM Poster - send out email and GC announcement re EOM - prepare Employee Referral Policy form - send out email announcement re revised Employee Referral Policy - respond to queries - coordinate Exit interview schedule with Charmie</f>
        <v>#NAME?</v>
      </c>
      <c r="H3214" t="s">
        <v>31</v>
      </c>
      <c r="I3214" s="28" t="s">
        <v>28</v>
      </c>
    </row>
    <row r="3215" spans="1:9" x14ac:dyDescent="0.3">
      <c r="A3215" s="26">
        <v>45338</v>
      </c>
      <c r="B3215" t="s">
        <v>1081</v>
      </c>
      <c r="C3215" t="s">
        <v>942</v>
      </c>
      <c r="D3215">
        <v>4</v>
      </c>
      <c r="E3215" t="s">
        <v>7</v>
      </c>
      <c r="F3215" t="s">
        <v>772</v>
      </c>
      <c r="H3215" t="s">
        <v>31</v>
      </c>
      <c r="I3215" s="28" t="s">
        <v>28</v>
      </c>
    </row>
    <row r="3216" spans="1:9" x14ac:dyDescent="0.3">
      <c r="A3216" s="26">
        <v>45341</v>
      </c>
      <c r="B3216" t="s">
        <v>752</v>
      </c>
      <c r="C3216" t="s">
        <v>753</v>
      </c>
      <c r="D3216">
        <v>7.0000000000000007E-2</v>
      </c>
      <c r="E3216" t="s">
        <v>757</v>
      </c>
      <c r="F3216" t="s">
        <v>754</v>
      </c>
      <c r="G3216" t="s">
        <v>760</v>
      </c>
      <c r="H3216" t="s">
        <v>32</v>
      </c>
      <c r="I3216" s="28" t="s">
        <v>24</v>
      </c>
    </row>
    <row r="3217" spans="1:9" x14ac:dyDescent="0.3">
      <c r="A3217" s="26">
        <v>45341</v>
      </c>
      <c r="B3217" t="s">
        <v>752</v>
      </c>
      <c r="C3217" t="s">
        <v>753</v>
      </c>
      <c r="D3217">
        <v>7.0000000000000007E-2</v>
      </c>
      <c r="E3217" t="s">
        <v>602</v>
      </c>
      <c r="F3217" t="s">
        <v>754</v>
      </c>
      <c r="G3217" t="s">
        <v>760</v>
      </c>
      <c r="H3217" t="s">
        <v>32</v>
      </c>
      <c r="I3217" s="28" t="s">
        <v>24</v>
      </c>
    </row>
    <row r="3218" spans="1:9" x14ac:dyDescent="0.3">
      <c r="A3218" s="26">
        <v>45341</v>
      </c>
      <c r="B3218" t="s">
        <v>752</v>
      </c>
      <c r="C3218" t="s">
        <v>753</v>
      </c>
      <c r="D3218">
        <v>0.1</v>
      </c>
      <c r="E3218" t="s">
        <v>1084</v>
      </c>
      <c r="F3218" t="s">
        <v>754</v>
      </c>
      <c r="G3218" t="s">
        <v>769</v>
      </c>
      <c r="H3218" t="s">
        <v>32</v>
      </c>
      <c r="I3218" s="28" t="s">
        <v>24</v>
      </c>
    </row>
    <row r="3219" spans="1:9" x14ac:dyDescent="0.3">
      <c r="A3219" s="26">
        <v>45341</v>
      </c>
      <c r="B3219" t="s">
        <v>752</v>
      </c>
      <c r="C3219" t="s">
        <v>753</v>
      </c>
      <c r="D3219">
        <v>0.1</v>
      </c>
      <c r="E3219" t="s">
        <v>757</v>
      </c>
      <c r="F3219" t="s">
        <v>754</v>
      </c>
      <c r="G3219" t="s">
        <v>3114</v>
      </c>
      <c r="H3219" t="s">
        <v>32</v>
      </c>
      <c r="I3219" s="28" t="s">
        <v>24</v>
      </c>
    </row>
    <row r="3220" spans="1:9" x14ac:dyDescent="0.3">
      <c r="A3220" s="26">
        <v>45341</v>
      </c>
      <c r="B3220" t="s">
        <v>752</v>
      </c>
      <c r="C3220" t="s">
        <v>753</v>
      </c>
      <c r="D3220">
        <v>0.12</v>
      </c>
      <c r="E3220" t="s">
        <v>602</v>
      </c>
      <c r="F3220" t="s">
        <v>754</v>
      </c>
      <c r="G3220" t="s">
        <v>766</v>
      </c>
      <c r="H3220" t="s">
        <v>32</v>
      </c>
      <c r="I3220" s="28" t="s">
        <v>24</v>
      </c>
    </row>
    <row r="3221" spans="1:9" x14ac:dyDescent="0.3">
      <c r="A3221" s="26">
        <v>45341</v>
      </c>
      <c r="B3221" t="s">
        <v>752</v>
      </c>
      <c r="C3221" t="s">
        <v>753</v>
      </c>
      <c r="D3221">
        <v>0.18</v>
      </c>
      <c r="E3221" t="s">
        <v>757</v>
      </c>
      <c r="F3221" t="s">
        <v>754</v>
      </c>
      <c r="G3221" t="s">
        <v>3115</v>
      </c>
      <c r="H3221" t="s">
        <v>32</v>
      </c>
      <c r="I3221" s="28" t="s">
        <v>24</v>
      </c>
    </row>
    <row r="3222" spans="1:9" x14ac:dyDescent="0.3">
      <c r="A3222" s="26">
        <v>45341</v>
      </c>
      <c r="B3222" t="s">
        <v>752</v>
      </c>
      <c r="C3222" t="s">
        <v>753</v>
      </c>
      <c r="D3222">
        <v>0.2</v>
      </c>
      <c r="E3222" t="s">
        <v>561</v>
      </c>
      <c r="F3222" t="s">
        <v>754</v>
      </c>
      <c r="G3222" t="s">
        <v>764</v>
      </c>
      <c r="H3222" t="s">
        <v>32</v>
      </c>
      <c r="I3222" s="28" t="s">
        <v>24</v>
      </c>
    </row>
    <row r="3223" spans="1:9" x14ac:dyDescent="0.3">
      <c r="A3223" s="26">
        <v>45341</v>
      </c>
      <c r="B3223" t="s">
        <v>752</v>
      </c>
      <c r="C3223" t="s">
        <v>753</v>
      </c>
      <c r="D3223">
        <v>0.25</v>
      </c>
      <c r="E3223" t="s">
        <v>630</v>
      </c>
      <c r="F3223" t="s">
        <v>754</v>
      </c>
      <c r="G3223" t="s">
        <v>765</v>
      </c>
      <c r="H3223" t="s">
        <v>32</v>
      </c>
      <c r="I3223" s="28" t="s">
        <v>24</v>
      </c>
    </row>
    <row r="3224" spans="1:9" x14ac:dyDescent="0.3">
      <c r="A3224" s="26">
        <v>45341</v>
      </c>
      <c r="B3224" t="s">
        <v>752</v>
      </c>
      <c r="C3224" t="s">
        <v>753</v>
      </c>
      <c r="D3224">
        <v>0.35</v>
      </c>
      <c r="E3224" t="s">
        <v>561</v>
      </c>
      <c r="F3224" t="s">
        <v>754</v>
      </c>
      <c r="G3224" t="s">
        <v>765</v>
      </c>
      <c r="H3224" t="s">
        <v>32</v>
      </c>
      <c r="I3224" s="28" t="s">
        <v>24</v>
      </c>
    </row>
    <row r="3225" spans="1:9" x14ac:dyDescent="0.3">
      <c r="A3225" s="26">
        <v>45341</v>
      </c>
      <c r="B3225" t="s">
        <v>752</v>
      </c>
      <c r="C3225" t="s">
        <v>753</v>
      </c>
      <c r="D3225">
        <v>0.48</v>
      </c>
      <c r="E3225" t="s">
        <v>1084</v>
      </c>
      <c r="F3225" t="s">
        <v>754</v>
      </c>
      <c r="G3225" t="s">
        <v>765</v>
      </c>
      <c r="H3225" t="s">
        <v>32</v>
      </c>
      <c r="I3225" s="28" t="s">
        <v>24</v>
      </c>
    </row>
    <row r="3226" spans="1:9" x14ac:dyDescent="0.3">
      <c r="A3226" s="26">
        <v>45341</v>
      </c>
      <c r="B3226" t="s">
        <v>752</v>
      </c>
      <c r="C3226" t="s">
        <v>753</v>
      </c>
      <c r="D3226">
        <v>0.6</v>
      </c>
      <c r="E3226" t="s">
        <v>602</v>
      </c>
      <c r="F3226" t="s">
        <v>754</v>
      </c>
      <c r="G3226" t="s">
        <v>3116</v>
      </c>
      <c r="H3226" t="s">
        <v>32</v>
      </c>
      <c r="I3226" s="28" t="s">
        <v>24</v>
      </c>
    </row>
    <row r="3227" spans="1:9" x14ac:dyDescent="0.3">
      <c r="A3227" s="26">
        <v>45341</v>
      </c>
      <c r="B3227" t="s">
        <v>752</v>
      </c>
      <c r="C3227" t="s">
        <v>753</v>
      </c>
      <c r="D3227">
        <v>0.82</v>
      </c>
      <c r="E3227" t="s">
        <v>430</v>
      </c>
      <c r="F3227" t="s">
        <v>754</v>
      </c>
      <c r="G3227" t="s">
        <v>2407</v>
      </c>
      <c r="H3227" t="s">
        <v>32</v>
      </c>
      <c r="I3227" s="28" t="s">
        <v>24</v>
      </c>
    </row>
    <row r="3228" spans="1:9" x14ac:dyDescent="0.3">
      <c r="A3228" s="26">
        <v>45341</v>
      </c>
      <c r="B3228" t="s">
        <v>752</v>
      </c>
      <c r="C3228" t="s">
        <v>753</v>
      </c>
      <c r="D3228">
        <v>0.83</v>
      </c>
      <c r="E3228" t="s">
        <v>553</v>
      </c>
      <c r="F3228" t="s">
        <v>754</v>
      </c>
      <c r="G3228" t="s">
        <v>765</v>
      </c>
      <c r="H3228" t="s">
        <v>32</v>
      </c>
      <c r="I3228" s="28" t="s">
        <v>24</v>
      </c>
    </row>
    <row r="3229" spans="1:9" x14ac:dyDescent="0.3">
      <c r="A3229" s="26">
        <v>45341</v>
      </c>
      <c r="B3229" t="s">
        <v>752</v>
      </c>
      <c r="C3229" t="s">
        <v>753</v>
      </c>
      <c r="D3229">
        <v>0.9</v>
      </c>
      <c r="E3229" t="s">
        <v>602</v>
      </c>
      <c r="F3229" t="s">
        <v>754</v>
      </c>
      <c r="G3229" t="s">
        <v>765</v>
      </c>
      <c r="H3229" t="s">
        <v>32</v>
      </c>
      <c r="I3229" s="28" t="s">
        <v>24</v>
      </c>
    </row>
    <row r="3230" spans="1:9" x14ac:dyDescent="0.3">
      <c r="A3230" s="26">
        <v>45341</v>
      </c>
      <c r="B3230" t="s">
        <v>752</v>
      </c>
      <c r="C3230" t="s">
        <v>771</v>
      </c>
      <c r="D3230">
        <v>0.25</v>
      </c>
      <c r="E3230" t="s">
        <v>7</v>
      </c>
      <c r="F3230" t="s">
        <v>772</v>
      </c>
      <c r="G3230" t="s">
        <v>774</v>
      </c>
      <c r="H3230" t="s">
        <v>32</v>
      </c>
      <c r="I3230" s="28" t="s">
        <v>24</v>
      </c>
    </row>
    <row r="3231" spans="1:9" x14ac:dyDescent="0.3">
      <c r="A3231" s="26">
        <v>45341</v>
      </c>
      <c r="B3231" t="s">
        <v>752</v>
      </c>
      <c r="C3231" t="s">
        <v>771</v>
      </c>
      <c r="D3231">
        <v>0.25</v>
      </c>
      <c r="E3231" t="s">
        <v>7</v>
      </c>
      <c r="F3231" t="s">
        <v>772</v>
      </c>
      <c r="G3231" t="s">
        <v>775</v>
      </c>
      <c r="H3231" t="s">
        <v>32</v>
      </c>
      <c r="I3231" s="28" t="s">
        <v>24</v>
      </c>
    </row>
    <row r="3232" spans="1:9" x14ac:dyDescent="0.3">
      <c r="A3232" s="26">
        <v>45341</v>
      </c>
      <c r="B3232" t="s">
        <v>752</v>
      </c>
      <c r="C3232" t="s">
        <v>835</v>
      </c>
      <c r="D3232">
        <v>1.67</v>
      </c>
      <c r="E3232" t="s">
        <v>659</v>
      </c>
      <c r="F3232" t="s">
        <v>754</v>
      </c>
      <c r="G3232" t="s">
        <v>3117</v>
      </c>
      <c r="H3232" t="s">
        <v>32</v>
      </c>
      <c r="I3232" s="28" t="s">
        <v>24</v>
      </c>
    </row>
    <row r="3233" spans="1:9" x14ac:dyDescent="0.3">
      <c r="A3233" s="26">
        <v>45341</v>
      </c>
      <c r="B3233" t="s">
        <v>752</v>
      </c>
      <c r="C3233" t="s">
        <v>776</v>
      </c>
      <c r="D3233">
        <v>0.1</v>
      </c>
      <c r="E3233" t="s">
        <v>458</v>
      </c>
      <c r="F3233" t="s">
        <v>754</v>
      </c>
      <c r="G3233" t="s">
        <v>755</v>
      </c>
      <c r="H3233" t="s">
        <v>32</v>
      </c>
      <c r="I3233" s="28" t="s">
        <v>24</v>
      </c>
    </row>
    <row r="3234" spans="1:9" x14ac:dyDescent="0.3">
      <c r="A3234" s="26">
        <v>45341</v>
      </c>
      <c r="B3234" t="s">
        <v>752</v>
      </c>
      <c r="C3234" t="s">
        <v>776</v>
      </c>
      <c r="D3234">
        <v>0.17</v>
      </c>
      <c r="E3234" t="s">
        <v>458</v>
      </c>
      <c r="F3234" t="s">
        <v>754</v>
      </c>
      <c r="G3234" t="s">
        <v>760</v>
      </c>
      <c r="H3234" t="s">
        <v>32</v>
      </c>
      <c r="I3234" s="28" t="s">
        <v>24</v>
      </c>
    </row>
    <row r="3235" spans="1:9" x14ac:dyDescent="0.3">
      <c r="A3235" s="26">
        <v>45341</v>
      </c>
      <c r="B3235" t="s">
        <v>752</v>
      </c>
      <c r="C3235" t="s">
        <v>776</v>
      </c>
      <c r="D3235">
        <v>0.5</v>
      </c>
      <c r="E3235" t="s">
        <v>659</v>
      </c>
      <c r="F3235" t="s">
        <v>754</v>
      </c>
      <c r="H3235" t="s">
        <v>32</v>
      </c>
      <c r="I3235" s="28" t="s">
        <v>24</v>
      </c>
    </row>
    <row r="3236" spans="1:9" x14ac:dyDescent="0.3">
      <c r="A3236" s="26">
        <v>45341</v>
      </c>
      <c r="B3236" t="s">
        <v>1093</v>
      </c>
      <c r="C3236" t="s">
        <v>1522</v>
      </c>
      <c r="D3236">
        <v>1</v>
      </c>
      <c r="E3236" t="s">
        <v>455</v>
      </c>
      <c r="F3236" t="s">
        <v>754</v>
      </c>
      <c r="G3236" t="s">
        <v>3118</v>
      </c>
      <c r="H3236" t="s">
        <v>32</v>
      </c>
      <c r="I3236" s="28" t="s">
        <v>24</v>
      </c>
    </row>
    <row r="3237" spans="1:9" x14ac:dyDescent="0.3">
      <c r="A3237" s="26">
        <v>45341</v>
      </c>
      <c r="B3237" t="s">
        <v>1093</v>
      </c>
      <c r="C3237" t="s">
        <v>1309</v>
      </c>
      <c r="D3237">
        <v>1</v>
      </c>
      <c r="E3237" t="s">
        <v>455</v>
      </c>
      <c r="F3237" t="s">
        <v>754</v>
      </c>
      <c r="G3237" t="s">
        <v>3119</v>
      </c>
      <c r="H3237" t="s">
        <v>32</v>
      </c>
      <c r="I3237" s="28" t="s">
        <v>24</v>
      </c>
    </row>
    <row r="3238" spans="1:9" x14ac:dyDescent="0.3">
      <c r="A3238" s="26">
        <v>45341</v>
      </c>
      <c r="B3238" t="s">
        <v>1093</v>
      </c>
      <c r="C3238" t="s">
        <v>1094</v>
      </c>
      <c r="D3238">
        <v>0.57999999999999996</v>
      </c>
      <c r="E3238" t="s">
        <v>455</v>
      </c>
      <c r="F3238" t="s">
        <v>754</v>
      </c>
      <c r="G3238" t="s">
        <v>3120</v>
      </c>
      <c r="H3238" t="s">
        <v>32</v>
      </c>
      <c r="I3238" s="28" t="s">
        <v>24</v>
      </c>
    </row>
    <row r="3239" spans="1:9" x14ac:dyDescent="0.3">
      <c r="A3239" s="26">
        <v>45341</v>
      </c>
      <c r="B3239" t="s">
        <v>21</v>
      </c>
      <c r="C3239" t="s">
        <v>753</v>
      </c>
      <c r="D3239">
        <v>0.43</v>
      </c>
      <c r="E3239" t="s">
        <v>589</v>
      </c>
      <c r="F3239" t="s">
        <v>754</v>
      </c>
      <c r="H3239" t="s">
        <v>32</v>
      </c>
      <c r="I3239" s="28" t="s">
        <v>24</v>
      </c>
    </row>
    <row r="3240" spans="1:9" x14ac:dyDescent="0.3">
      <c r="A3240" s="26">
        <v>45341</v>
      </c>
      <c r="B3240" t="s">
        <v>21</v>
      </c>
      <c r="C3240" t="s">
        <v>753</v>
      </c>
      <c r="D3240">
        <v>0.5</v>
      </c>
      <c r="E3240" t="s">
        <v>602</v>
      </c>
      <c r="F3240" t="s">
        <v>772</v>
      </c>
      <c r="G3240" t="s">
        <v>3121</v>
      </c>
      <c r="H3240" t="s">
        <v>32</v>
      </c>
      <c r="I3240" s="28" t="s">
        <v>24</v>
      </c>
    </row>
    <row r="3241" spans="1:9" x14ac:dyDescent="0.3">
      <c r="A3241" s="26">
        <v>45341</v>
      </c>
      <c r="B3241" t="s">
        <v>21</v>
      </c>
      <c r="C3241" t="s">
        <v>753</v>
      </c>
      <c r="D3241">
        <v>0.53</v>
      </c>
      <c r="E3241" t="s">
        <v>602</v>
      </c>
      <c r="F3241" t="s">
        <v>772</v>
      </c>
      <c r="G3241" t="s">
        <v>3122</v>
      </c>
      <c r="H3241" t="s">
        <v>32</v>
      </c>
      <c r="I3241" s="28" t="s">
        <v>24</v>
      </c>
    </row>
    <row r="3242" spans="1:9" x14ac:dyDescent="0.3">
      <c r="A3242" s="26">
        <v>45341</v>
      </c>
      <c r="B3242" t="s">
        <v>21</v>
      </c>
      <c r="C3242" t="s">
        <v>753</v>
      </c>
      <c r="D3242">
        <v>0.93</v>
      </c>
      <c r="E3242" t="s">
        <v>13</v>
      </c>
      <c r="F3242" t="s">
        <v>754</v>
      </c>
      <c r="H3242" t="s">
        <v>32</v>
      </c>
      <c r="I3242" s="28" t="s">
        <v>24</v>
      </c>
    </row>
    <row r="3243" spans="1:9" x14ac:dyDescent="0.3">
      <c r="A3243" s="26">
        <v>45341</v>
      </c>
      <c r="B3243" t="s">
        <v>21</v>
      </c>
      <c r="C3243" t="s">
        <v>771</v>
      </c>
      <c r="D3243">
        <v>0.17</v>
      </c>
      <c r="E3243" t="s">
        <v>7</v>
      </c>
      <c r="F3243" t="s">
        <v>772</v>
      </c>
      <c r="G3243" t="s">
        <v>3123</v>
      </c>
      <c r="H3243" t="s">
        <v>32</v>
      </c>
      <c r="I3243" s="28" t="s">
        <v>24</v>
      </c>
    </row>
    <row r="3244" spans="1:9" x14ac:dyDescent="0.3">
      <c r="A3244" s="26">
        <v>45341</v>
      </c>
      <c r="B3244" t="s">
        <v>21</v>
      </c>
      <c r="C3244" t="s">
        <v>771</v>
      </c>
      <c r="D3244">
        <v>0.23</v>
      </c>
      <c r="E3244" t="s">
        <v>7</v>
      </c>
      <c r="F3244" t="s">
        <v>772</v>
      </c>
      <c r="G3244" t="s">
        <v>3124</v>
      </c>
      <c r="H3244" t="s">
        <v>32</v>
      </c>
      <c r="I3244" s="28" t="s">
        <v>24</v>
      </c>
    </row>
    <row r="3245" spans="1:9" x14ac:dyDescent="0.3">
      <c r="A3245" s="26">
        <v>45341</v>
      </c>
      <c r="B3245" t="s">
        <v>21</v>
      </c>
      <c r="C3245" t="s">
        <v>771</v>
      </c>
      <c r="D3245">
        <v>0.25</v>
      </c>
      <c r="E3245" t="s">
        <v>7</v>
      </c>
      <c r="F3245" t="s">
        <v>772</v>
      </c>
      <c r="G3245" t="s">
        <v>3125</v>
      </c>
      <c r="H3245" t="s">
        <v>32</v>
      </c>
      <c r="I3245" s="28" t="s">
        <v>24</v>
      </c>
    </row>
    <row r="3246" spans="1:9" x14ac:dyDescent="0.3">
      <c r="A3246" s="26">
        <v>45341</v>
      </c>
      <c r="B3246" t="s">
        <v>21</v>
      </c>
      <c r="C3246" t="s">
        <v>771</v>
      </c>
      <c r="D3246">
        <v>0.55000000000000004</v>
      </c>
      <c r="E3246" t="s">
        <v>7</v>
      </c>
      <c r="F3246" t="s">
        <v>772</v>
      </c>
      <c r="G3246" t="s">
        <v>3126</v>
      </c>
      <c r="H3246" t="s">
        <v>32</v>
      </c>
      <c r="I3246" s="28" t="s">
        <v>24</v>
      </c>
    </row>
    <row r="3247" spans="1:9" x14ac:dyDescent="0.3">
      <c r="A3247" s="26">
        <v>45341</v>
      </c>
      <c r="B3247" t="s">
        <v>21</v>
      </c>
      <c r="C3247" t="s">
        <v>771</v>
      </c>
      <c r="D3247">
        <v>0.57999999999999996</v>
      </c>
      <c r="E3247" t="s">
        <v>7</v>
      </c>
      <c r="F3247" t="s">
        <v>772</v>
      </c>
      <c r="G3247" t="s">
        <v>1953</v>
      </c>
      <c r="H3247" t="s">
        <v>32</v>
      </c>
      <c r="I3247" s="28" t="s">
        <v>24</v>
      </c>
    </row>
    <row r="3248" spans="1:9" x14ac:dyDescent="0.3">
      <c r="A3248" s="26">
        <v>45341</v>
      </c>
      <c r="B3248" t="s">
        <v>21</v>
      </c>
      <c r="C3248" t="s">
        <v>771</v>
      </c>
      <c r="D3248">
        <v>0.63</v>
      </c>
      <c r="E3248" t="s">
        <v>7</v>
      </c>
      <c r="F3248" t="s">
        <v>772</v>
      </c>
      <c r="G3248" t="s">
        <v>3127</v>
      </c>
      <c r="H3248" t="s">
        <v>32</v>
      </c>
      <c r="I3248" s="28" t="s">
        <v>24</v>
      </c>
    </row>
    <row r="3249" spans="1:9" x14ac:dyDescent="0.3">
      <c r="A3249" s="26">
        <v>45341</v>
      </c>
      <c r="B3249" t="s">
        <v>21</v>
      </c>
      <c r="C3249" t="s">
        <v>771</v>
      </c>
      <c r="D3249">
        <v>1.45</v>
      </c>
      <c r="E3249" t="s">
        <v>7</v>
      </c>
      <c r="F3249" t="s">
        <v>772</v>
      </c>
      <c r="G3249" t="s">
        <v>3128</v>
      </c>
      <c r="H3249" t="s">
        <v>32</v>
      </c>
      <c r="I3249" s="28" t="s">
        <v>24</v>
      </c>
    </row>
    <row r="3250" spans="1:9" x14ac:dyDescent="0.3">
      <c r="A3250" s="26">
        <v>45341</v>
      </c>
      <c r="B3250" t="s">
        <v>21</v>
      </c>
      <c r="C3250" t="s">
        <v>834</v>
      </c>
      <c r="D3250">
        <v>0.83</v>
      </c>
      <c r="E3250" t="s">
        <v>7</v>
      </c>
      <c r="F3250" t="s">
        <v>772</v>
      </c>
      <c r="G3250" t="s">
        <v>3129</v>
      </c>
      <c r="H3250" t="s">
        <v>32</v>
      </c>
      <c r="I3250" s="28" t="s">
        <v>24</v>
      </c>
    </row>
    <row r="3251" spans="1:9" x14ac:dyDescent="0.3">
      <c r="A3251" s="26">
        <v>45341</v>
      </c>
      <c r="B3251" t="s">
        <v>21</v>
      </c>
      <c r="C3251" t="s">
        <v>874</v>
      </c>
      <c r="D3251">
        <v>0.42</v>
      </c>
      <c r="E3251" t="s">
        <v>7</v>
      </c>
      <c r="F3251" t="s">
        <v>772</v>
      </c>
      <c r="G3251" t="s">
        <v>3130</v>
      </c>
      <c r="H3251" t="s">
        <v>32</v>
      </c>
      <c r="I3251" s="28" t="s">
        <v>24</v>
      </c>
    </row>
    <row r="3252" spans="1:9" x14ac:dyDescent="0.3">
      <c r="A3252" s="26">
        <v>45341</v>
      </c>
      <c r="B3252" t="s">
        <v>21</v>
      </c>
      <c r="C3252" t="s">
        <v>874</v>
      </c>
      <c r="D3252">
        <v>0.48</v>
      </c>
      <c r="E3252" t="s">
        <v>7</v>
      </c>
      <c r="F3252" t="s">
        <v>772</v>
      </c>
      <c r="G3252" t="s">
        <v>3131</v>
      </c>
      <c r="H3252" t="s">
        <v>32</v>
      </c>
      <c r="I3252" s="28" t="s">
        <v>24</v>
      </c>
    </row>
    <row r="3253" spans="1:9" x14ac:dyDescent="0.3">
      <c r="A3253" s="26">
        <v>45341</v>
      </c>
      <c r="B3253" t="s">
        <v>785</v>
      </c>
      <c r="C3253" t="s">
        <v>786</v>
      </c>
      <c r="D3253">
        <v>12</v>
      </c>
      <c r="E3253" t="s">
        <v>7</v>
      </c>
      <c r="F3253" t="s">
        <v>772</v>
      </c>
      <c r="G3253" t="s">
        <v>3132</v>
      </c>
      <c r="H3253" t="s">
        <v>32</v>
      </c>
      <c r="I3253" s="28" t="s">
        <v>24</v>
      </c>
    </row>
    <row r="3254" spans="1:9" x14ac:dyDescent="0.3">
      <c r="A3254" s="26">
        <v>45341</v>
      </c>
      <c r="B3254" t="s">
        <v>788</v>
      </c>
      <c r="C3254" t="s">
        <v>786</v>
      </c>
      <c r="D3254">
        <v>7</v>
      </c>
      <c r="E3254" t="s">
        <v>7</v>
      </c>
      <c r="F3254" t="s">
        <v>772</v>
      </c>
      <c r="H3254" t="s">
        <v>32</v>
      </c>
      <c r="I3254" s="28" t="s">
        <v>24</v>
      </c>
    </row>
    <row r="3255" spans="1:9" x14ac:dyDescent="0.3">
      <c r="A3255" s="26">
        <v>45341</v>
      </c>
      <c r="B3255" t="s">
        <v>792</v>
      </c>
      <c r="C3255" t="s">
        <v>753</v>
      </c>
      <c r="D3255">
        <v>1.25</v>
      </c>
      <c r="E3255" t="s">
        <v>790</v>
      </c>
      <c r="F3255" t="s">
        <v>754</v>
      </c>
      <c r="G3255" t="s">
        <v>3133</v>
      </c>
      <c r="H3255" t="s">
        <v>32</v>
      </c>
      <c r="I3255" s="28" t="s">
        <v>24</v>
      </c>
    </row>
    <row r="3256" spans="1:9" x14ac:dyDescent="0.3">
      <c r="A3256" s="26">
        <v>45341</v>
      </c>
      <c r="B3256" t="s">
        <v>792</v>
      </c>
      <c r="C3256" t="s">
        <v>753</v>
      </c>
      <c r="D3256">
        <v>2.2000000000000002</v>
      </c>
      <c r="E3256" t="s">
        <v>790</v>
      </c>
      <c r="F3256" t="s">
        <v>754</v>
      </c>
      <c r="G3256" t="s">
        <v>793</v>
      </c>
      <c r="H3256" t="s">
        <v>32</v>
      </c>
      <c r="I3256" s="28" t="s">
        <v>24</v>
      </c>
    </row>
    <row r="3257" spans="1:9" x14ac:dyDescent="0.3">
      <c r="A3257" s="26">
        <v>45341</v>
      </c>
      <c r="B3257" t="s">
        <v>792</v>
      </c>
      <c r="C3257" t="s">
        <v>753</v>
      </c>
      <c r="D3257">
        <v>4.63</v>
      </c>
      <c r="E3257" t="s">
        <v>790</v>
      </c>
      <c r="F3257" t="s">
        <v>754</v>
      </c>
      <c r="G3257" t="s">
        <v>3134</v>
      </c>
      <c r="H3257" t="s">
        <v>32</v>
      </c>
      <c r="I3257" s="28" t="s">
        <v>24</v>
      </c>
    </row>
    <row r="3258" spans="1:9" x14ac:dyDescent="0.3">
      <c r="A3258" s="26">
        <v>45341</v>
      </c>
      <c r="B3258" t="s">
        <v>796</v>
      </c>
      <c r="C3258" t="s">
        <v>771</v>
      </c>
      <c r="D3258">
        <v>8</v>
      </c>
      <c r="E3258" t="s">
        <v>7</v>
      </c>
      <c r="F3258" t="s">
        <v>772</v>
      </c>
      <c r="H3258" t="s">
        <v>32</v>
      </c>
      <c r="I3258" s="28" t="s">
        <v>24</v>
      </c>
    </row>
    <row r="3259" spans="1:9" x14ac:dyDescent="0.3">
      <c r="A3259" s="26">
        <v>45341</v>
      </c>
      <c r="B3259" t="s">
        <v>801</v>
      </c>
      <c r="C3259" t="s">
        <v>802</v>
      </c>
      <c r="D3259">
        <v>12.05</v>
      </c>
      <c r="E3259" t="s">
        <v>7</v>
      </c>
      <c r="F3259" t="s">
        <v>772</v>
      </c>
      <c r="H3259" t="s">
        <v>32</v>
      </c>
      <c r="I3259" s="28" t="s">
        <v>24</v>
      </c>
    </row>
    <row r="3260" spans="1:9" x14ac:dyDescent="0.3">
      <c r="A3260" s="26">
        <v>45341</v>
      </c>
      <c r="B3260" t="s">
        <v>806</v>
      </c>
      <c r="C3260" t="s">
        <v>802</v>
      </c>
      <c r="D3260">
        <v>2</v>
      </c>
      <c r="E3260" t="s">
        <v>7</v>
      </c>
      <c r="F3260" t="s">
        <v>772</v>
      </c>
      <c r="G3260" t="s">
        <v>2262</v>
      </c>
      <c r="H3260" t="s">
        <v>32</v>
      </c>
      <c r="I3260" s="28" t="s">
        <v>24</v>
      </c>
    </row>
    <row r="3261" spans="1:9" x14ac:dyDescent="0.3">
      <c r="A3261" s="26">
        <v>45341</v>
      </c>
      <c r="B3261" t="s">
        <v>808</v>
      </c>
      <c r="C3261" t="s">
        <v>982</v>
      </c>
      <c r="D3261">
        <v>9.18</v>
      </c>
      <c r="E3261" t="s">
        <v>7</v>
      </c>
      <c r="F3261" t="s">
        <v>772</v>
      </c>
      <c r="G3261" t="s">
        <v>3135</v>
      </c>
      <c r="H3261" t="s">
        <v>32</v>
      </c>
      <c r="I3261" s="28" t="s">
        <v>24</v>
      </c>
    </row>
    <row r="3262" spans="1:9" x14ac:dyDescent="0.3">
      <c r="A3262" s="26">
        <v>45341</v>
      </c>
      <c r="B3262" t="s">
        <v>810</v>
      </c>
      <c r="C3262" t="s">
        <v>753</v>
      </c>
      <c r="D3262">
        <v>0.17</v>
      </c>
      <c r="E3262" t="s">
        <v>1069</v>
      </c>
      <c r="F3262" t="s">
        <v>754</v>
      </c>
      <c r="G3262" t="s">
        <v>1547</v>
      </c>
      <c r="H3262" t="s">
        <v>32</v>
      </c>
      <c r="I3262" s="28" t="s">
        <v>24</v>
      </c>
    </row>
    <row r="3263" spans="1:9" x14ac:dyDescent="0.3">
      <c r="A3263" s="26">
        <v>45341</v>
      </c>
      <c r="B3263" t="s">
        <v>810</v>
      </c>
      <c r="C3263" t="s">
        <v>753</v>
      </c>
      <c r="D3263">
        <v>0.25</v>
      </c>
      <c r="E3263" t="s">
        <v>815</v>
      </c>
      <c r="F3263" t="s">
        <v>772</v>
      </c>
      <c r="G3263" t="s">
        <v>1336</v>
      </c>
      <c r="H3263" t="s">
        <v>32</v>
      </c>
      <c r="I3263" s="28" t="s">
        <v>24</v>
      </c>
    </row>
    <row r="3264" spans="1:9" x14ac:dyDescent="0.3">
      <c r="A3264" s="26">
        <v>45341</v>
      </c>
      <c r="B3264" t="s">
        <v>810</v>
      </c>
      <c r="C3264" t="s">
        <v>753</v>
      </c>
      <c r="D3264">
        <v>0.33</v>
      </c>
      <c r="E3264" t="s">
        <v>813</v>
      </c>
      <c r="F3264" t="s">
        <v>754</v>
      </c>
      <c r="G3264" t="s">
        <v>1547</v>
      </c>
      <c r="H3264" t="s">
        <v>32</v>
      </c>
      <c r="I3264" s="28" t="s">
        <v>24</v>
      </c>
    </row>
    <row r="3265" spans="1:9" x14ac:dyDescent="0.3">
      <c r="A3265" s="26">
        <v>45341</v>
      </c>
      <c r="B3265" t="s">
        <v>810</v>
      </c>
      <c r="C3265" t="s">
        <v>753</v>
      </c>
      <c r="D3265">
        <v>0.33</v>
      </c>
      <c r="E3265" t="s">
        <v>516</v>
      </c>
      <c r="F3265" t="s">
        <v>772</v>
      </c>
      <c r="G3265" t="s">
        <v>3136</v>
      </c>
      <c r="H3265" t="s">
        <v>32</v>
      </c>
      <c r="I3265" s="28" t="s">
        <v>24</v>
      </c>
    </row>
    <row r="3266" spans="1:9" x14ac:dyDescent="0.3">
      <c r="A3266" s="26">
        <v>45341</v>
      </c>
      <c r="B3266" t="s">
        <v>810</v>
      </c>
      <c r="C3266" t="s">
        <v>753</v>
      </c>
      <c r="D3266">
        <v>0.57999999999999996</v>
      </c>
      <c r="E3266" t="s">
        <v>898</v>
      </c>
      <c r="F3266" t="s">
        <v>754</v>
      </c>
      <c r="G3266" t="s">
        <v>1763</v>
      </c>
      <c r="H3266" t="s">
        <v>32</v>
      </c>
      <c r="I3266" s="28" t="s">
        <v>24</v>
      </c>
    </row>
    <row r="3267" spans="1:9" x14ac:dyDescent="0.3">
      <c r="A3267" s="26">
        <v>45341</v>
      </c>
      <c r="B3267" t="s">
        <v>810</v>
      </c>
      <c r="C3267" t="s">
        <v>753</v>
      </c>
      <c r="D3267">
        <v>0.67</v>
      </c>
      <c r="E3267" t="s">
        <v>815</v>
      </c>
      <c r="F3267" t="s">
        <v>754</v>
      </c>
      <c r="G3267" t="s">
        <v>1547</v>
      </c>
      <c r="H3267" t="s">
        <v>32</v>
      </c>
      <c r="I3267" s="28" t="s">
        <v>24</v>
      </c>
    </row>
    <row r="3268" spans="1:9" x14ac:dyDescent="0.3">
      <c r="A3268" s="26">
        <v>45341</v>
      </c>
      <c r="B3268" t="s">
        <v>810</v>
      </c>
      <c r="C3268" t="s">
        <v>753</v>
      </c>
      <c r="D3268">
        <v>0.75</v>
      </c>
      <c r="E3268" t="s">
        <v>814</v>
      </c>
      <c r="F3268" t="s">
        <v>754</v>
      </c>
      <c r="G3268" t="s">
        <v>1547</v>
      </c>
      <c r="H3268" t="s">
        <v>32</v>
      </c>
      <c r="I3268" s="28" t="s">
        <v>24</v>
      </c>
    </row>
    <row r="3269" spans="1:9" x14ac:dyDescent="0.3">
      <c r="A3269" s="26">
        <v>45341</v>
      </c>
      <c r="B3269" t="s">
        <v>810</v>
      </c>
      <c r="C3269" t="s">
        <v>753</v>
      </c>
      <c r="D3269">
        <v>1.42</v>
      </c>
      <c r="E3269" t="s">
        <v>811</v>
      </c>
      <c r="F3269" t="s">
        <v>754</v>
      </c>
      <c r="G3269" t="s">
        <v>1547</v>
      </c>
      <c r="H3269" t="s">
        <v>32</v>
      </c>
      <c r="I3269" s="28" t="s">
        <v>24</v>
      </c>
    </row>
    <row r="3270" spans="1:9" x14ac:dyDescent="0.3">
      <c r="A3270" s="26">
        <v>45341</v>
      </c>
      <c r="B3270" t="s">
        <v>810</v>
      </c>
      <c r="C3270" t="s">
        <v>753</v>
      </c>
      <c r="D3270">
        <v>2.42</v>
      </c>
      <c r="E3270" t="s">
        <v>516</v>
      </c>
      <c r="F3270" t="s">
        <v>754</v>
      </c>
      <c r="G3270" t="s">
        <v>3137</v>
      </c>
      <c r="H3270" t="s">
        <v>32</v>
      </c>
      <c r="I3270" s="28" t="s">
        <v>24</v>
      </c>
    </row>
    <row r="3271" spans="1:9" x14ac:dyDescent="0.3">
      <c r="A3271" s="26">
        <v>45341</v>
      </c>
      <c r="B3271" t="s">
        <v>810</v>
      </c>
      <c r="C3271" t="s">
        <v>771</v>
      </c>
      <c r="D3271">
        <v>0.5</v>
      </c>
      <c r="E3271" t="s">
        <v>7</v>
      </c>
      <c r="F3271" t="s">
        <v>772</v>
      </c>
      <c r="G3271" t="s">
        <v>781</v>
      </c>
      <c r="H3271" t="s">
        <v>32</v>
      </c>
      <c r="I3271" s="28" t="s">
        <v>24</v>
      </c>
    </row>
    <row r="3272" spans="1:9" x14ac:dyDescent="0.3">
      <c r="A3272" s="26">
        <v>45341</v>
      </c>
      <c r="B3272" t="s">
        <v>810</v>
      </c>
      <c r="C3272" t="s">
        <v>874</v>
      </c>
      <c r="D3272">
        <v>0.57999999999999996</v>
      </c>
      <c r="E3272" t="s">
        <v>7</v>
      </c>
      <c r="F3272" t="s">
        <v>772</v>
      </c>
      <c r="G3272" t="s">
        <v>3138</v>
      </c>
      <c r="H3272" t="s">
        <v>32</v>
      </c>
      <c r="I3272" s="28" t="s">
        <v>24</v>
      </c>
    </row>
    <row r="3273" spans="1:9" x14ac:dyDescent="0.3">
      <c r="A3273" s="26">
        <v>45341</v>
      </c>
      <c r="B3273" t="s">
        <v>225</v>
      </c>
      <c r="C3273" t="s">
        <v>821</v>
      </c>
      <c r="D3273">
        <v>0.17</v>
      </c>
      <c r="E3273" t="s">
        <v>857</v>
      </c>
      <c r="F3273" t="s">
        <v>754</v>
      </c>
      <c r="H3273" t="s">
        <v>32</v>
      </c>
      <c r="I3273" s="28" t="s">
        <v>24</v>
      </c>
    </row>
    <row r="3274" spans="1:9" x14ac:dyDescent="0.3">
      <c r="A3274" s="26">
        <v>45341</v>
      </c>
      <c r="B3274" t="s">
        <v>225</v>
      </c>
      <c r="C3274" t="s">
        <v>821</v>
      </c>
      <c r="D3274">
        <v>0.33</v>
      </c>
      <c r="E3274" t="s">
        <v>857</v>
      </c>
      <c r="F3274" t="s">
        <v>772</v>
      </c>
      <c r="H3274" t="s">
        <v>32</v>
      </c>
      <c r="I3274" s="28" t="s">
        <v>24</v>
      </c>
    </row>
    <row r="3275" spans="1:9" x14ac:dyDescent="0.3">
      <c r="A3275" s="26">
        <v>45341</v>
      </c>
      <c r="B3275" t="s">
        <v>225</v>
      </c>
      <c r="C3275" t="s">
        <v>821</v>
      </c>
      <c r="D3275">
        <v>1</v>
      </c>
      <c r="E3275" t="s">
        <v>857</v>
      </c>
      <c r="F3275" t="s">
        <v>772</v>
      </c>
      <c r="G3275" t="s">
        <v>3139</v>
      </c>
      <c r="H3275" t="s">
        <v>32</v>
      </c>
      <c r="I3275" s="28" t="s">
        <v>24</v>
      </c>
    </row>
    <row r="3276" spans="1:9" x14ac:dyDescent="0.3">
      <c r="A3276" s="26">
        <v>45341</v>
      </c>
      <c r="B3276" t="s">
        <v>225</v>
      </c>
      <c r="C3276" t="s">
        <v>821</v>
      </c>
      <c r="D3276">
        <v>1.75</v>
      </c>
      <c r="E3276" t="s">
        <v>630</v>
      </c>
      <c r="F3276" t="s">
        <v>754</v>
      </c>
      <c r="G3276" t="s">
        <v>3140</v>
      </c>
      <c r="H3276" t="s">
        <v>32</v>
      </c>
      <c r="I3276" s="28" t="s">
        <v>24</v>
      </c>
    </row>
    <row r="3277" spans="1:9" x14ac:dyDescent="0.3">
      <c r="A3277" s="26">
        <v>45341</v>
      </c>
      <c r="B3277" t="s">
        <v>225</v>
      </c>
      <c r="C3277" t="s">
        <v>823</v>
      </c>
      <c r="D3277">
        <v>1.25</v>
      </c>
      <c r="E3277" t="s">
        <v>602</v>
      </c>
      <c r="F3277" t="s">
        <v>754</v>
      </c>
      <c r="G3277" t="s">
        <v>3141</v>
      </c>
      <c r="H3277" t="s">
        <v>32</v>
      </c>
      <c r="I3277" s="28" t="s">
        <v>24</v>
      </c>
    </row>
    <row r="3278" spans="1:9" x14ac:dyDescent="0.3">
      <c r="A3278" s="26">
        <v>45341</v>
      </c>
      <c r="B3278" t="s">
        <v>225</v>
      </c>
      <c r="C3278" t="s">
        <v>906</v>
      </c>
      <c r="D3278">
        <v>1.5</v>
      </c>
      <c r="E3278" t="s">
        <v>7</v>
      </c>
      <c r="F3278" t="s">
        <v>772</v>
      </c>
      <c r="G3278" t="s">
        <v>3142</v>
      </c>
      <c r="H3278" t="s">
        <v>32</v>
      </c>
      <c r="I3278" s="28" t="s">
        <v>24</v>
      </c>
    </row>
    <row r="3279" spans="1:9" x14ac:dyDescent="0.3">
      <c r="A3279" s="26">
        <v>45341</v>
      </c>
      <c r="B3279" t="s">
        <v>829</v>
      </c>
      <c r="C3279" t="s">
        <v>753</v>
      </c>
      <c r="D3279">
        <v>0.08</v>
      </c>
      <c r="E3279" t="s">
        <v>857</v>
      </c>
      <c r="F3279" t="s">
        <v>772</v>
      </c>
      <c r="G3279" t="s">
        <v>3143</v>
      </c>
      <c r="H3279" t="s">
        <v>32</v>
      </c>
      <c r="I3279" s="28" t="s">
        <v>24</v>
      </c>
    </row>
    <row r="3280" spans="1:9" x14ac:dyDescent="0.3">
      <c r="A3280" s="26">
        <v>45341</v>
      </c>
      <c r="B3280" t="s">
        <v>829</v>
      </c>
      <c r="C3280" t="s">
        <v>753</v>
      </c>
      <c r="D3280">
        <v>0.08</v>
      </c>
      <c r="E3280" t="s">
        <v>458</v>
      </c>
      <c r="F3280" t="s">
        <v>754</v>
      </c>
      <c r="G3280" t="s">
        <v>3144</v>
      </c>
      <c r="H3280" t="s">
        <v>32</v>
      </c>
      <c r="I3280" s="28" t="s">
        <v>24</v>
      </c>
    </row>
    <row r="3281" spans="1:9" x14ac:dyDescent="0.3">
      <c r="A3281" s="26">
        <v>45341</v>
      </c>
      <c r="B3281" t="s">
        <v>829</v>
      </c>
      <c r="C3281" t="s">
        <v>753</v>
      </c>
      <c r="D3281">
        <v>0.25</v>
      </c>
      <c r="E3281" t="s">
        <v>226</v>
      </c>
      <c r="F3281" t="s">
        <v>754</v>
      </c>
      <c r="G3281" t="s">
        <v>1127</v>
      </c>
      <c r="H3281" t="s">
        <v>32</v>
      </c>
      <c r="I3281" s="28" t="s">
        <v>24</v>
      </c>
    </row>
    <row r="3282" spans="1:9" x14ac:dyDescent="0.3">
      <c r="A3282" s="26">
        <v>45341</v>
      </c>
      <c r="B3282" t="s">
        <v>829</v>
      </c>
      <c r="C3282" t="s">
        <v>753</v>
      </c>
      <c r="D3282">
        <v>0.38</v>
      </c>
      <c r="E3282" t="s">
        <v>375</v>
      </c>
      <c r="F3282" t="s">
        <v>754</v>
      </c>
      <c r="G3282" t="s">
        <v>2441</v>
      </c>
      <c r="H3282" t="s">
        <v>32</v>
      </c>
      <c r="I3282" s="28" t="s">
        <v>24</v>
      </c>
    </row>
    <row r="3283" spans="1:9" x14ac:dyDescent="0.3">
      <c r="A3283" s="26">
        <v>45341</v>
      </c>
      <c r="B3283" t="s">
        <v>829</v>
      </c>
      <c r="C3283" t="s">
        <v>753</v>
      </c>
      <c r="D3283">
        <v>0.67</v>
      </c>
      <c r="E3283" t="s">
        <v>226</v>
      </c>
      <c r="F3283" t="s">
        <v>754</v>
      </c>
      <c r="G3283" t="s">
        <v>3145</v>
      </c>
      <c r="H3283" t="s">
        <v>32</v>
      </c>
      <c r="I3283" s="28" t="s">
        <v>24</v>
      </c>
    </row>
    <row r="3284" spans="1:9" x14ac:dyDescent="0.3">
      <c r="A3284" s="26">
        <v>45341</v>
      </c>
      <c r="B3284" t="s">
        <v>829</v>
      </c>
      <c r="C3284" t="s">
        <v>753</v>
      </c>
      <c r="D3284">
        <v>3.67</v>
      </c>
      <c r="E3284" t="s">
        <v>226</v>
      </c>
      <c r="F3284" t="s">
        <v>754</v>
      </c>
      <c r="G3284" t="s">
        <v>2991</v>
      </c>
      <c r="H3284" t="s">
        <v>32</v>
      </c>
      <c r="I3284" s="28" t="s">
        <v>24</v>
      </c>
    </row>
    <row r="3285" spans="1:9" x14ac:dyDescent="0.3">
      <c r="A3285" s="26">
        <v>45341</v>
      </c>
      <c r="B3285" t="s">
        <v>829</v>
      </c>
      <c r="C3285" t="s">
        <v>771</v>
      </c>
      <c r="D3285">
        <v>0.5</v>
      </c>
      <c r="E3285" t="s">
        <v>7</v>
      </c>
      <c r="F3285" t="s">
        <v>772</v>
      </c>
      <c r="G3285" t="s">
        <v>781</v>
      </c>
      <c r="H3285" t="s">
        <v>32</v>
      </c>
      <c r="I3285" s="28" t="s">
        <v>24</v>
      </c>
    </row>
    <row r="3286" spans="1:9" x14ac:dyDescent="0.3">
      <c r="A3286" s="26">
        <v>45341</v>
      </c>
      <c r="B3286" t="s">
        <v>829</v>
      </c>
      <c r="C3286" t="s">
        <v>771</v>
      </c>
      <c r="D3286">
        <v>0.57999999999999996</v>
      </c>
      <c r="E3286" t="s">
        <v>7</v>
      </c>
      <c r="F3286" t="s">
        <v>772</v>
      </c>
      <c r="G3286" t="s">
        <v>3146</v>
      </c>
      <c r="H3286" t="s">
        <v>32</v>
      </c>
      <c r="I3286" s="28" t="s">
        <v>24</v>
      </c>
    </row>
    <row r="3287" spans="1:9" x14ac:dyDescent="0.3">
      <c r="A3287" s="26">
        <v>45341</v>
      </c>
      <c r="B3287" t="s">
        <v>829</v>
      </c>
      <c r="C3287" t="s">
        <v>771</v>
      </c>
      <c r="D3287">
        <v>0.83</v>
      </c>
      <c r="E3287" t="s">
        <v>7</v>
      </c>
      <c r="F3287" t="s">
        <v>772</v>
      </c>
      <c r="G3287" t="s">
        <v>3147</v>
      </c>
      <c r="H3287" t="s">
        <v>32</v>
      </c>
      <c r="I3287" s="28" t="s">
        <v>24</v>
      </c>
    </row>
    <row r="3288" spans="1:9" x14ac:dyDescent="0.3">
      <c r="A3288" s="26">
        <v>45341</v>
      </c>
      <c r="B3288" t="s">
        <v>829</v>
      </c>
      <c r="C3288" t="s">
        <v>834</v>
      </c>
      <c r="D3288">
        <v>0.73</v>
      </c>
      <c r="E3288" t="s">
        <v>7</v>
      </c>
      <c r="F3288" t="s">
        <v>772</v>
      </c>
      <c r="G3288" t="s">
        <v>3148</v>
      </c>
      <c r="H3288" t="s">
        <v>32</v>
      </c>
      <c r="I3288" s="28" t="s">
        <v>24</v>
      </c>
    </row>
    <row r="3289" spans="1:9" x14ac:dyDescent="0.3">
      <c r="A3289" s="26">
        <v>45341</v>
      </c>
      <c r="B3289" t="s">
        <v>829</v>
      </c>
      <c r="C3289" t="s">
        <v>776</v>
      </c>
      <c r="D3289">
        <v>0.3</v>
      </c>
      <c r="E3289" t="s">
        <v>659</v>
      </c>
      <c r="F3289" t="s">
        <v>754</v>
      </c>
      <c r="G3289" t="s">
        <v>838</v>
      </c>
      <c r="H3289" t="s">
        <v>32</v>
      </c>
      <c r="I3289" s="28" t="s">
        <v>24</v>
      </c>
    </row>
    <row r="3290" spans="1:9" x14ac:dyDescent="0.3">
      <c r="A3290" s="26">
        <v>45341</v>
      </c>
      <c r="B3290" t="s">
        <v>840</v>
      </c>
      <c r="C3290" t="s">
        <v>753</v>
      </c>
      <c r="D3290">
        <v>0.45</v>
      </c>
      <c r="E3290" t="s">
        <v>790</v>
      </c>
      <c r="F3290" t="s">
        <v>754</v>
      </c>
      <c r="G3290" t="e">
        <f>- Received raw invoices.</f>
        <v>#NAME?</v>
      </c>
      <c r="H3290" t="s">
        <v>32</v>
      </c>
      <c r="I3290" s="28" t="s">
        <v>24</v>
      </c>
    </row>
    <row r="3291" spans="1:9" x14ac:dyDescent="0.3">
      <c r="A3291" s="26">
        <v>45341</v>
      </c>
      <c r="B3291" t="s">
        <v>840</v>
      </c>
      <c r="C3291" t="s">
        <v>771</v>
      </c>
      <c r="D3291">
        <v>2.1</v>
      </c>
      <c r="E3291" t="s">
        <v>7</v>
      </c>
      <c r="F3291" t="s">
        <v>772</v>
      </c>
      <c r="G3291" t="e">
        <f>- Finalization of the sticker printing.</f>
        <v>#NAME?</v>
      </c>
      <c r="H3291" t="s">
        <v>32</v>
      </c>
      <c r="I3291" s="28" t="s">
        <v>24</v>
      </c>
    </row>
    <row r="3292" spans="1:9" x14ac:dyDescent="0.3">
      <c r="A3292" s="26">
        <v>45341</v>
      </c>
      <c r="B3292" t="s">
        <v>840</v>
      </c>
      <c r="C3292" t="s">
        <v>771</v>
      </c>
      <c r="D3292">
        <v>7.52</v>
      </c>
      <c r="E3292" t="s">
        <v>7</v>
      </c>
      <c r="F3292" t="s">
        <v>772</v>
      </c>
      <c r="G3292" t="s">
        <v>3149</v>
      </c>
      <c r="H3292" t="s">
        <v>32</v>
      </c>
      <c r="I3292" s="28" t="s">
        <v>24</v>
      </c>
    </row>
    <row r="3293" spans="1:9" x14ac:dyDescent="0.3">
      <c r="A3293" s="26">
        <v>45341</v>
      </c>
      <c r="B3293" t="s">
        <v>843</v>
      </c>
      <c r="C3293" t="s">
        <v>1163</v>
      </c>
      <c r="D3293">
        <v>8</v>
      </c>
      <c r="E3293" t="s">
        <v>7</v>
      </c>
      <c r="F3293" t="s">
        <v>772</v>
      </c>
      <c r="H3293" t="s">
        <v>32</v>
      </c>
      <c r="I3293" s="28" t="s">
        <v>24</v>
      </c>
    </row>
    <row r="3294" spans="1:9" x14ac:dyDescent="0.3">
      <c r="A3294" s="26">
        <v>45341</v>
      </c>
      <c r="B3294" t="s">
        <v>856</v>
      </c>
      <c r="C3294" t="s">
        <v>753</v>
      </c>
      <c r="D3294">
        <v>0.22</v>
      </c>
      <c r="E3294" t="s">
        <v>226</v>
      </c>
      <c r="F3294" t="s">
        <v>754</v>
      </c>
      <c r="G3294" t="s">
        <v>1990</v>
      </c>
      <c r="H3294" t="s">
        <v>32</v>
      </c>
      <c r="I3294" s="28" t="s">
        <v>24</v>
      </c>
    </row>
    <row r="3295" spans="1:9" x14ac:dyDescent="0.3">
      <c r="A3295" s="26">
        <v>45341</v>
      </c>
      <c r="B3295" t="s">
        <v>856</v>
      </c>
      <c r="C3295" t="s">
        <v>753</v>
      </c>
      <c r="D3295">
        <v>0.62</v>
      </c>
      <c r="E3295" t="s">
        <v>857</v>
      </c>
      <c r="F3295" t="s">
        <v>754</v>
      </c>
      <c r="G3295" t="s">
        <v>1990</v>
      </c>
      <c r="H3295" t="s">
        <v>32</v>
      </c>
      <c r="I3295" s="28" t="s">
        <v>24</v>
      </c>
    </row>
    <row r="3296" spans="1:9" x14ac:dyDescent="0.3">
      <c r="A3296" s="26">
        <v>45341</v>
      </c>
      <c r="B3296" t="s">
        <v>856</v>
      </c>
      <c r="C3296" t="s">
        <v>753</v>
      </c>
      <c r="D3296">
        <v>0.73</v>
      </c>
      <c r="E3296" t="s">
        <v>857</v>
      </c>
      <c r="F3296" t="s">
        <v>754</v>
      </c>
      <c r="G3296" t="s">
        <v>3150</v>
      </c>
      <c r="H3296" t="s">
        <v>32</v>
      </c>
      <c r="I3296" s="28" t="s">
        <v>24</v>
      </c>
    </row>
    <row r="3297" spans="1:9" x14ac:dyDescent="0.3">
      <c r="A3297" s="26">
        <v>45341</v>
      </c>
      <c r="B3297" t="s">
        <v>856</v>
      </c>
      <c r="C3297" t="s">
        <v>753</v>
      </c>
      <c r="D3297">
        <v>0.75</v>
      </c>
      <c r="E3297" t="s">
        <v>173</v>
      </c>
      <c r="F3297" t="s">
        <v>754</v>
      </c>
      <c r="G3297" t="s">
        <v>858</v>
      </c>
      <c r="H3297" t="s">
        <v>32</v>
      </c>
      <c r="I3297" s="28" t="s">
        <v>24</v>
      </c>
    </row>
    <row r="3298" spans="1:9" x14ac:dyDescent="0.3">
      <c r="A3298" s="26">
        <v>45341</v>
      </c>
      <c r="B3298" t="s">
        <v>856</v>
      </c>
      <c r="C3298" t="s">
        <v>753</v>
      </c>
      <c r="D3298">
        <v>1.53</v>
      </c>
      <c r="E3298" t="s">
        <v>583</v>
      </c>
      <c r="F3298" t="s">
        <v>772</v>
      </c>
      <c r="G3298" t="s">
        <v>3151</v>
      </c>
      <c r="H3298" t="s">
        <v>32</v>
      </c>
      <c r="I3298" s="28" t="s">
        <v>24</v>
      </c>
    </row>
    <row r="3299" spans="1:9" x14ac:dyDescent="0.3">
      <c r="A3299" s="26">
        <v>45341</v>
      </c>
      <c r="B3299" t="s">
        <v>856</v>
      </c>
      <c r="C3299" t="s">
        <v>753</v>
      </c>
      <c r="D3299">
        <v>1.75</v>
      </c>
      <c r="E3299" t="s">
        <v>857</v>
      </c>
      <c r="F3299" t="s">
        <v>754</v>
      </c>
      <c r="G3299" t="s">
        <v>3152</v>
      </c>
      <c r="H3299" t="s">
        <v>32</v>
      </c>
      <c r="I3299" s="28" t="s">
        <v>24</v>
      </c>
    </row>
    <row r="3300" spans="1:9" x14ac:dyDescent="0.3">
      <c r="A3300" s="26">
        <v>45341</v>
      </c>
      <c r="B3300" t="s">
        <v>856</v>
      </c>
      <c r="C3300" t="s">
        <v>789</v>
      </c>
      <c r="D3300">
        <v>0.75</v>
      </c>
      <c r="E3300" t="s">
        <v>857</v>
      </c>
      <c r="F3300" t="s">
        <v>772</v>
      </c>
      <c r="G3300" t="s">
        <v>3153</v>
      </c>
      <c r="H3300" t="s">
        <v>32</v>
      </c>
      <c r="I3300" s="28" t="s">
        <v>24</v>
      </c>
    </row>
    <row r="3301" spans="1:9" x14ac:dyDescent="0.3">
      <c r="A3301" s="26">
        <v>45341</v>
      </c>
      <c r="B3301" t="s">
        <v>856</v>
      </c>
      <c r="C3301" t="s">
        <v>771</v>
      </c>
      <c r="D3301">
        <v>1.03</v>
      </c>
      <c r="E3301" t="s">
        <v>7</v>
      </c>
      <c r="F3301" t="s">
        <v>772</v>
      </c>
      <c r="G3301" t="s">
        <v>3154</v>
      </c>
      <c r="H3301" t="s">
        <v>32</v>
      </c>
      <c r="I3301" s="28" t="s">
        <v>24</v>
      </c>
    </row>
    <row r="3302" spans="1:9" x14ac:dyDescent="0.3">
      <c r="A3302" s="26">
        <v>45341</v>
      </c>
      <c r="B3302" t="s">
        <v>856</v>
      </c>
      <c r="C3302" t="s">
        <v>776</v>
      </c>
      <c r="D3302">
        <v>0.27</v>
      </c>
      <c r="E3302" t="s">
        <v>879</v>
      </c>
      <c r="F3302" t="s">
        <v>754</v>
      </c>
      <c r="G3302" t="s">
        <v>3155</v>
      </c>
      <c r="H3302" t="s">
        <v>32</v>
      </c>
      <c r="I3302" s="28" t="s">
        <v>24</v>
      </c>
    </row>
    <row r="3303" spans="1:9" x14ac:dyDescent="0.3">
      <c r="A3303" s="26">
        <v>45341</v>
      </c>
      <c r="B3303" t="s">
        <v>856</v>
      </c>
      <c r="C3303" t="s">
        <v>776</v>
      </c>
      <c r="D3303">
        <v>0.55000000000000004</v>
      </c>
      <c r="E3303" t="s">
        <v>173</v>
      </c>
      <c r="F3303" t="s">
        <v>754</v>
      </c>
      <c r="G3303" t="s">
        <v>866</v>
      </c>
      <c r="H3303" t="s">
        <v>32</v>
      </c>
      <c r="I3303" s="28" t="s">
        <v>24</v>
      </c>
    </row>
    <row r="3304" spans="1:9" x14ac:dyDescent="0.3">
      <c r="A3304" s="26">
        <v>45341</v>
      </c>
      <c r="B3304" t="s">
        <v>33</v>
      </c>
      <c r="C3304" t="s">
        <v>784</v>
      </c>
      <c r="D3304">
        <v>8</v>
      </c>
      <c r="E3304" t="s">
        <v>7</v>
      </c>
      <c r="F3304" t="s">
        <v>772</v>
      </c>
      <c r="G3304" t="s">
        <v>3156</v>
      </c>
      <c r="H3304" t="s">
        <v>32</v>
      </c>
      <c r="I3304" s="28" t="s">
        <v>24</v>
      </c>
    </row>
    <row r="3305" spans="1:9" x14ac:dyDescent="0.3">
      <c r="A3305" s="26">
        <v>45341</v>
      </c>
      <c r="B3305" t="s">
        <v>876</v>
      </c>
      <c r="C3305" t="s">
        <v>1163</v>
      </c>
      <c r="D3305">
        <v>8</v>
      </c>
      <c r="E3305" t="s">
        <v>7</v>
      </c>
      <c r="F3305" t="s">
        <v>772</v>
      </c>
      <c r="G3305" t="s">
        <v>3157</v>
      </c>
      <c r="H3305" t="s">
        <v>32</v>
      </c>
      <c r="I3305" s="28" t="s">
        <v>24</v>
      </c>
    </row>
    <row r="3306" spans="1:9" x14ac:dyDescent="0.3">
      <c r="A3306" s="26">
        <v>45341</v>
      </c>
      <c r="B3306" t="s">
        <v>877</v>
      </c>
      <c r="C3306" t="s">
        <v>874</v>
      </c>
      <c r="D3306">
        <v>0.33</v>
      </c>
      <c r="E3306" t="s">
        <v>7</v>
      </c>
      <c r="F3306" t="s">
        <v>772</v>
      </c>
      <c r="G3306" t="s">
        <v>3158</v>
      </c>
      <c r="H3306" t="s">
        <v>32</v>
      </c>
      <c r="I3306" s="28" t="s">
        <v>24</v>
      </c>
    </row>
    <row r="3307" spans="1:9" x14ac:dyDescent="0.3">
      <c r="A3307" s="26">
        <v>45341</v>
      </c>
      <c r="B3307" t="s">
        <v>877</v>
      </c>
      <c r="C3307" t="s">
        <v>878</v>
      </c>
      <c r="D3307">
        <v>0.33</v>
      </c>
      <c r="E3307" t="s">
        <v>882</v>
      </c>
      <c r="F3307" t="s">
        <v>754</v>
      </c>
      <c r="G3307" t="s">
        <v>3159</v>
      </c>
      <c r="H3307" t="s">
        <v>32</v>
      </c>
      <c r="I3307" s="28" t="s">
        <v>24</v>
      </c>
    </row>
    <row r="3308" spans="1:9" x14ac:dyDescent="0.3">
      <c r="A3308" s="26">
        <v>45341</v>
      </c>
      <c r="B3308" t="s">
        <v>877</v>
      </c>
      <c r="C3308" t="s">
        <v>878</v>
      </c>
      <c r="D3308">
        <v>7</v>
      </c>
      <c r="E3308" t="s">
        <v>879</v>
      </c>
      <c r="F3308" t="s">
        <v>754</v>
      </c>
      <c r="G3308" t="s">
        <v>3160</v>
      </c>
      <c r="H3308" t="s">
        <v>32</v>
      </c>
      <c r="I3308" s="28" t="s">
        <v>24</v>
      </c>
    </row>
    <row r="3309" spans="1:9" x14ac:dyDescent="0.3">
      <c r="A3309" s="26">
        <v>45341</v>
      </c>
      <c r="B3309" t="s">
        <v>884</v>
      </c>
      <c r="C3309" t="s">
        <v>753</v>
      </c>
      <c r="D3309">
        <v>0.27</v>
      </c>
      <c r="E3309" t="s">
        <v>562</v>
      </c>
      <c r="F3309" t="s">
        <v>754</v>
      </c>
      <c r="G3309" t="s">
        <v>3161</v>
      </c>
      <c r="H3309" t="s">
        <v>32</v>
      </c>
      <c r="I3309" s="28" t="s">
        <v>24</v>
      </c>
    </row>
    <row r="3310" spans="1:9" x14ac:dyDescent="0.3">
      <c r="A3310" s="26">
        <v>45341</v>
      </c>
      <c r="B3310" t="s">
        <v>884</v>
      </c>
      <c r="C3310" t="s">
        <v>753</v>
      </c>
      <c r="D3310">
        <v>0.32</v>
      </c>
      <c r="E3310" t="s">
        <v>885</v>
      </c>
      <c r="F3310" t="s">
        <v>754</v>
      </c>
      <c r="G3310" t="s">
        <v>3162</v>
      </c>
      <c r="H3310" t="s">
        <v>32</v>
      </c>
      <c r="I3310" s="28" t="s">
        <v>24</v>
      </c>
    </row>
    <row r="3311" spans="1:9" x14ac:dyDescent="0.3">
      <c r="A3311" s="26">
        <v>45341</v>
      </c>
      <c r="B3311" t="s">
        <v>884</v>
      </c>
      <c r="C3311" t="s">
        <v>753</v>
      </c>
      <c r="D3311">
        <v>0.35</v>
      </c>
      <c r="E3311" t="s">
        <v>288</v>
      </c>
      <c r="F3311" t="s">
        <v>754</v>
      </c>
      <c r="G3311" t="s">
        <v>3163</v>
      </c>
      <c r="H3311" t="s">
        <v>32</v>
      </c>
      <c r="I3311" s="28" t="s">
        <v>24</v>
      </c>
    </row>
    <row r="3312" spans="1:9" x14ac:dyDescent="0.3">
      <c r="A3312" s="26">
        <v>45341</v>
      </c>
      <c r="B3312" t="s">
        <v>884</v>
      </c>
      <c r="C3312" t="s">
        <v>753</v>
      </c>
      <c r="D3312">
        <v>0.55000000000000004</v>
      </c>
      <c r="E3312" t="s">
        <v>316</v>
      </c>
      <c r="F3312" t="s">
        <v>754</v>
      </c>
      <c r="G3312" t="s">
        <v>3164</v>
      </c>
      <c r="H3312" t="s">
        <v>32</v>
      </c>
      <c r="I3312" s="28" t="s">
        <v>24</v>
      </c>
    </row>
    <row r="3313" spans="1:9" x14ac:dyDescent="0.3">
      <c r="A3313" s="26">
        <v>45341</v>
      </c>
      <c r="B3313" t="s">
        <v>884</v>
      </c>
      <c r="C3313" t="s">
        <v>753</v>
      </c>
      <c r="D3313">
        <v>0.87</v>
      </c>
      <c r="E3313" t="s">
        <v>562</v>
      </c>
      <c r="F3313" t="s">
        <v>754</v>
      </c>
      <c r="G3313" t="s">
        <v>3165</v>
      </c>
      <c r="H3313" t="s">
        <v>32</v>
      </c>
      <c r="I3313" s="28" t="s">
        <v>24</v>
      </c>
    </row>
    <row r="3314" spans="1:9" x14ac:dyDescent="0.3">
      <c r="A3314" s="26">
        <v>45341</v>
      </c>
      <c r="B3314" t="s">
        <v>884</v>
      </c>
      <c r="C3314" t="s">
        <v>753</v>
      </c>
      <c r="D3314">
        <v>0.9</v>
      </c>
      <c r="E3314" t="s">
        <v>375</v>
      </c>
      <c r="F3314" t="s">
        <v>754</v>
      </c>
      <c r="G3314" t="s">
        <v>3166</v>
      </c>
      <c r="H3314" t="s">
        <v>32</v>
      </c>
      <c r="I3314" s="28" t="s">
        <v>24</v>
      </c>
    </row>
    <row r="3315" spans="1:9" x14ac:dyDescent="0.3">
      <c r="A3315" s="26">
        <v>45341</v>
      </c>
      <c r="B3315" t="s">
        <v>884</v>
      </c>
      <c r="C3315" t="s">
        <v>753</v>
      </c>
      <c r="D3315">
        <v>1.03</v>
      </c>
      <c r="E3315" t="s">
        <v>248</v>
      </c>
      <c r="F3315" t="s">
        <v>754</v>
      </c>
      <c r="G3315" t="s">
        <v>2640</v>
      </c>
      <c r="H3315" t="s">
        <v>32</v>
      </c>
      <c r="I3315" s="28" t="s">
        <v>24</v>
      </c>
    </row>
    <row r="3316" spans="1:9" x14ac:dyDescent="0.3">
      <c r="A3316" s="26">
        <v>45341</v>
      </c>
      <c r="B3316" t="s">
        <v>884</v>
      </c>
      <c r="C3316" t="s">
        <v>753</v>
      </c>
      <c r="D3316">
        <v>1.17</v>
      </c>
      <c r="E3316" t="s">
        <v>562</v>
      </c>
      <c r="F3316" t="s">
        <v>754</v>
      </c>
      <c r="G3316" t="s">
        <v>3167</v>
      </c>
      <c r="H3316" t="s">
        <v>32</v>
      </c>
      <c r="I3316" s="28" t="s">
        <v>24</v>
      </c>
    </row>
    <row r="3317" spans="1:9" x14ac:dyDescent="0.3">
      <c r="A3317" s="26">
        <v>45341</v>
      </c>
      <c r="B3317" t="s">
        <v>884</v>
      </c>
      <c r="C3317" t="s">
        <v>753</v>
      </c>
      <c r="D3317">
        <v>1.37</v>
      </c>
      <c r="E3317" t="s">
        <v>375</v>
      </c>
      <c r="F3317" t="s">
        <v>754</v>
      </c>
      <c r="G3317" t="s">
        <v>3168</v>
      </c>
      <c r="H3317" t="s">
        <v>32</v>
      </c>
      <c r="I3317" s="28" t="s">
        <v>24</v>
      </c>
    </row>
    <row r="3318" spans="1:9" x14ac:dyDescent="0.3">
      <c r="A3318" s="26">
        <v>45341</v>
      </c>
      <c r="B3318" t="s">
        <v>884</v>
      </c>
      <c r="C3318" t="s">
        <v>776</v>
      </c>
      <c r="D3318">
        <v>1.2</v>
      </c>
      <c r="E3318" t="s">
        <v>151</v>
      </c>
      <c r="F3318" t="s">
        <v>754</v>
      </c>
      <c r="H3318" t="s">
        <v>32</v>
      </c>
      <c r="I3318" s="28" t="s">
        <v>24</v>
      </c>
    </row>
    <row r="3319" spans="1:9" x14ac:dyDescent="0.3">
      <c r="A3319" s="26">
        <v>45341</v>
      </c>
      <c r="B3319" t="s">
        <v>891</v>
      </c>
      <c r="C3319" t="s">
        <v>3169</v>
      </c>
      <c r="D3319">
        <v>8</v>
      </c>
      <c r="E3319" t="s">
        <v>7</v>
      </c>
      <c r="F3319" t="s">
        <v>772</v>
      </c>
      <c r="G3319" t="s">
        <v>3170</v>
      </c>
      <c r="H3319" t="s">
        <v>32</v>
      </c>
      <c r="I3319" s="28" t="s">
        <v>24</v>
      </c>
    </row>
    <row r="3320" spans="1:9" x14ac:dyDescent="0.3">
      <c r="A3320" s="26">
        <v>45341</v>
      </c>
      <c r="B3320" t="s">
        <v>34</v>
      </c>
      <c r="C3320" t="s">
        <v>802</v>
      </c>
      <c r="D3320">
        <v>8</v>
      </c>
      <c r="E3320" t="s">
        <v>7</v>
      </c>
      <c r="F3320" t="s">
        <v>772</v>
      </c>
      <c r="H3320" t="s">
        <v>32</v>
      </c>
      <c r="I3320" s="28" t="s">
        <v>24</v>
      </c>
    </row>
    <row r="3321" spans="1:9" x14ac:dyDescent="0.3">
      <c r="A3321" s="26">
        <v>45341</v>
      </c>
      <c r="B3321" t="s">
        <v>893</v>
      </c>
      <c r="C3321" t="s">
        <v>802</v>
      </c>
      <c r="D3321">
        <v>8</v>
      </c>
      <c r="E3321" t="s">
        <v>7</v>
      </c>
      <c r="F3321" t="s">
        <v>772</v>
      </c>
      <c r="G3321" t="s">
        <v>2649</v>
      </c>
      <c r="H3321" t="s">
        <v>32</v>
      </c>
      <c r="I3321" s="28" t="s">
        <v>24</v>
      </c>
    </row>
    <row r="3322" spans="1:9" x14ac:dyDescent="0.3">
      <c r="A3322" s="26">
        <v>45341</v>
      </c>
      <c r="B3322" t="s">
        <v>895</v>
      </c>
      <c r="C3322" t="s">
        <v>753</v>
      </c>
      <c r="D3322">
        <v>0.38</v>
      </c>
      <c r="E3322" t="s">
        <v>879</v>
      </c>
      <c r="F3322" t="s">
        <v>754</v>
      </c>
      <c r="G3322" t="s">
        <v>3171</v>
      </c>
      <c r="H3322" t="s">
        <v>32</v>
      </c>
      <c r="I3322" s="28" t="s">
        <v>24</v>
      </c>
    </row>
    <row r="3323" spans="1:9" x14ac:dyDescent="0.3">
      <c r="A3323" s="26">
        <v>45341</v>
      </c>
      <c r="B3323" t="s">
        <v>895</v>
      </c>
      <c r="C3323" t="s">
        <v>753</v>
      </c>
      <c r="D3323">
        <v>0.4</v>
      </c>
      <c r="E3323" t="s">
        <v>516</v>
      </c>
      <c r="F3323" t="s">
        <v>754</v>
      </c>
      <c r="G3323" t="s">
        <v>3172</v>
      </c>
      <c r="H3323" t="s">
        <v>32</v>
      </c>
      <c r="I3323" s="28" t="s">
        <v>24</v>
      </c>
    </row>
    <row r="3324" spans="1:9" x14ac:dyDescent="0.3">
      <c r="A3324" s="26">
        <v>45341</v>
      </c>
      <c r="B3324" t="s">
        <v>895</v>
      </c>
      <c r="C3324" t="s">
        <v>753</v>
      </c>
      <c r="D3324">
        <v>0.43</v>
      </c>
      <c r="E3324" t="s">
        <v>516</v>
      </c>
      <c r="F3324" t="s">
        <v>754</v>
      </c>
      <c r="G3324" t="s">
        <v>3173</v>
      </c>
      <c r="H3324" t="s">
        <v>32</v>
      </c>
      <c r="I3324" s="28" t="s">
        <v>24</v>
      </c>
    </row>
    <row r="3325" spans="1:9" x14ac:dyDescent="0.3">
      <c r="A3325" s="26">
        <v>45341</v>
      </c>
      <c r="B3325" t="s">
        <v>895</v>
      </c>
      <c r="C3325" t="s">
        <v>753</v>
      </c>
      <c r="D3325">
        <v>0.5</v>
      </c>
      <c r="E3325" t="s">
        <v>910</v>
      </c>
      <c r="F3325" t="s">
        <v>754</v>
      </c>
      <c r="G3325" t="s">
        <v>3174</v>
      </c>
      <c r="H3325" t="s">
        <v>32</v>
      </c>
      <c r="I3325" s="28" t="s">
        <v>24</v>
      </c>
    </row>
    <row r="3326" spans="1:9" x14ac:dyDescent="0.3">
      <c r="A3326" s="26">
        <v>45341</v>
      </c>
      <c r="B3326" t="s">
        <v>895</v>
      </c>
      <c r="C3326" t="s">
        <v>906</v>
      </c>
      <c r="D3326">
        <v>0.3</v>
      </c>
      <c r="E3326" t="s">
        <v>7</v>
      </c>
      <c r="F3326" t="s">
        <v>772</v>
      </c>
      <c r="G3326" t="s">
        <v>3175</v>
      </c>
      <c r="H3326" t="s">
        <v>32</v>
      </c>
      <c r="I3326" s="28" t="s">
        <v>24</v>
      </c>
    </row>
    <row r="3327" spans="1:9" x14ac:dyDescent="0.3">
      <c r="A3327" s="26">
        <v>45341</v>
      </c>
      <c r="B3327" t="s">
        <v>895</v>
      </c>
      <c r="C3327" t="s">
        <v>789</v>
      </c>
      <c r="D3327">
        <v>2.83</v>
      </c>
      <c r="E3327" t="s">
        <v>910</v>
      </c>
      <c r="F3327" t="s">
        <v>754</v>
      </c>
      <c r="G3327" t="s">
        <v>3176</v>
      </c>
      <c r="H3327" t="s">
        <v>32</v>
      </c>
      <c r="I3327" s="28" t="s">
        <v>24</v>
      </c>
    </row>
    <row r="3328" spans="1:9" x14ac:dyDescent="0.3">
      <c r="A3328" s="26">
        <v>45341</v>
      </c>
      <c r="B3328" t="s">
        <v>895</v>
      </c>
      <c r="C3328" t="s">
        <v>771</v>
      </c>
      <c r="D3328">
        <v>0.13</v>
      </c>
      <c r="E3328" t="s">
        <v>7</v>
      </c>
      <c r="F3328" t="s">
        <v>772</v>
      </c>
      <c r="G3328" t="s">
        <v>3177</v>
      </c>
      <c r="H3328" t="s">
        <v>32</v>
      </c>
      <c r="I3328" s="28" t="s">
        <v>24</v>
      </c>
    </row>
    <row r="3329" spans="1:9" x14ac:dyDescent="0.3">
      <c r="A3329" s="26">
        <v>45341</v>
      </c>
      <c r="B3329" t="s">
        <v>895</v>
      </c>
      <c r="C3329" t="s">
        <v>771</v>
      </c>
      <c r="D3329">
        <v>0.35</v>
      </c>
      <c r="E3329" t="s">
        <v>7</v>
      </c>
      <c r="F3329" t="s">
        <v>772</v>
      </c>
      <c r="G3329" t="s">
        <v>3178</v>
      </c>
      <c r="H3329" t="s">
        <v>32</v>
      </c>
      <c r="I3329" s="28" t="s">
        <v>24</v>
      </c>
    </row>
    <row r="3330" spans="1:9" x14ac:dyDescent="0.3">
      <c r="A3330" s="26">
        <v>45341</v>
      </c>
      <c r="B3330" t="s">
        <v>895</v>
      </c>
      <c r="C3330" t="s">
        <v>771</v>
      </c>
      <c r="D3330">
        <v>0.5</v>
      </c>
      <c r="E3330" t="s">
        <v>7</v>
      </c>
      <c r="F3330" t="s">
        <v>772</v>
      </c>
      <c r="G3330" t="s">
        <v>3179</v>
      </c>
      <c r="H3330" t="s">
        <v>32</v>
      </c>
      <c r="I3330" s="28" t="s">
        <v>24</v>
      </c>
    </row>
    <row r="3331" spans="1:9" x14ac:dyDescent="0.3">
      <c r="A3331" s="26">
        <v>45341</v>
      </c>
      <c r="B3331" t="s">
        <v>895</v>
      </c>
      <c r="C3331" t="s">
        <v>771</v>
      </c>
      <c r="D3331">
        <v>3</v>
      </c>
      <c r="E3331" t="s">
        <v>7</v>
      </c>
      <c r="F3331" t="s">
        <v>772</v>
      </c>
      <c r="G3331" t="s">
        <v>3180</v>
      </c>
      <c r="H3331" t="s">
        <v>32</v>
      </c>
      <c r="I3331" s="28" t="s">
        <v>24</v>
      </c>
    </row>
    <row r="3332" spans="1:9" x14ac:dyDescent="0.3">
      <c r="A3332" s="26">
        <v>45341</v>
      </c>
      <c r="B3332" t="s">
        <v>895</v>
      </c>
      <c r="C3332" t="s">
        <v>874</v>
      </c>
      <c r="D3332">
        <v>0.43</v>
      </c>
      <c r="E3332" t="s">
        <v>7</v>
      </c>
      <c r="F3332" t="s">
        <v>772</v>
      </c>
      <c r="G3332" t="s">
        <v>3181</v>
      </c>
      <c r="H3332" t="s">
        <v>32</v>
      </c>
      <c r="I3332" s="28" t="s">
        <v>24</v>
      </c>
    </row>
    <row r="3333" spans="1:9" x14ac:dyDescent="0.3">
      <c r="A3333" s="26">
        <v>45341</v>
      </c>
      <c r="B3333" t="s">
        <v>895</v>
      </c>
      <c r="C3333" t="s">
        <v>776</v>
      </c>
      <c r="D3333">
        <v>0.15</v>
      </c>
      <c r="E3333" t="s">
        <v>815</v>
      </c>
      <c r="F3333" t="s">
        <v>754</v>
      </c>
      <c r="G3333" t="s">
        <v>3182</v>
      </c>
      <c r="H3333" t="s">
        <v>32</v>
      </c>
      <c r="I3333" s="28" t="s">
        <v>24</v>
      </c>
    </row>
    <row r="3334" spans="1:9" x14ac:dyDescent="0.3">
      <c r="A3334" s="26">
        <v>45341</v>
      </c>
      <c r="B3334" t="s">
        <v>895</v>
      </c>
      <c r="C3334" t="s">
        <v>776</v>
      </c>
      <c r="D3334">
        <v>0.5</v>
      </c>
      <c r="E3334" t="s">
        <v>813</v>
      </c>
      <c r="F3334" t="s">
        <v>754</v>
      </c>
      <c r="G3334" t="s">
        <v>3183</v>
      </c>
      <c r="H3334" t="s">
        <v>32</v>
      </c>
      <c r="I3334" s="28" t="s">
        <v>24</v>
      </c>
    </row>
    <row r="3335" spans="1:9" x14ac:dyDescent="0.3">
      <c r="A3335" s="26">
        <v>45341</v>
      </c>
      <c r="B3335" t="s">
        <v>1391</v>
      </c>
      <c r="C3335" t="s">
        <v>874</v>
      </c>
      <c r="D3335">
        <v>0.5</v>
      </c>
      <c r="E3335" t="s">
        <v>7</v>
      </c>
      <c r="F3335" t="s">
        <v>772</v>
      </c>
      <c r="G3335" t="s">
        <v>1393</v>
      </c>
      <c r="H3335" t="s">
        <v>32</v>
      </c>
      <c r="I3335" s="28" t="s">
        <v>24</v>
      </c>
    </row>
    <row r="3336" spans="1:9" x14ac:dyDescent="0.3">
      <c r="A3336" s="26">
        <v>45341</v>
      </c>
      <c r="B3336" t="s">
        <v>1391</v>
      </c>
      <c r="C3336" t="s">
        <v>1094</v>
      </c>
      <c r="D3336">
        <v>0.08</v>
      </c>
      <c r="E3336" t="s">
        <v>455</v>
      </c>
      <c r="F3336" t="s">
        <v>754</v>
      </c>
      <c r="G3336" t="s">
        <v>3184</v>
      </c>
      <c r="H3336" t="s">
        <v>32</v>
      </c>
      <c r="I3336" s="28" t="s">
        <v>24</v>
      </c>
    </row>
    <row r="3337" spans="1:9" x14ac:dyDescent="0.3">
      <c r="A3337" s="26">
        <v>45341</v>
      </c>
      <c r="B3337" t="s">
        <v>1391</v>
      </c>
      <c r="C3337" t="s">
        <v>1094</v>
      </c>
      <c r="D3337">
        <v>0.17</v>
      </c>
      <c r="E3337" t="s">
        <v>455</v>
      </c>
      <c r="F3337" t="s">
        <v>754</v>
      </c>
      <c r="G3337" t="s">
        <v>3185</v>
      </c>
      <c r="H3337" t="s">
        <v>32</v>
      </c>
      <c r="I3337" s="28" t="s">
        <v>24</v>
      </c>
    </row>
    <row r="3338" spans="1:9" x14ac:dyDescent="0.3">
      <c r="A3338" s="26">
        <v>45341</v>
      </c>
      <c r="B3338" t="s">
        <v>1391</v>
      </c>
      <c r="C3338" t="s">
        <v>1094</v>
      </c>
      <c r="D3338">
        <v>0.25</v>
      </c>
      <c r="E3338" t="s">
        <v>455</v>
      </c>
      <c r="F3338" t="s">
        <v>754</v>
      </c>
      <c r="G3338" t="s">
        <v>3186</v>
      </c>
      <c r="H3338" t="s">
        <v>32</v>
      </c>
      <c r="I3338" s="28" t="s">
        <v>24</v>
      </c>
    </row>
    <row r="3339" spans="1:9" x14ac:dyDescent="0.3">
      <c r="A3339" s="26">
        <v>45341</v>
      </c>
      <c r="B3339" t="s">
        <v>1391</v>
      </c>
      <c r="C3339" t="s">
        <v>1094</v>
      </c>
      <c r="D3339">
        <v>0.25</v>
      </c>
      <c r="E3339" t="s">
        <v>455</v>
      </c>
      <c r="F3339" t="s">
        <v>754</v>
      </c>
      <c r="G3339" t="s">
        <v>3187</v>
      </c>
      <c r="H3339" t="s">
        <v>32</v>
      </c>
      <c r="I3339" s="28" t="s">
        <v>24</v>
      </c>
    </row>
    <row r="3340" spans="1:9" x14ac:dyDescent="0.3">
      <c r="A3340" s="26">
        <v>45341</v>
      </c>
      <c r="B3340" t="s">
        <v>1391</v>
      </c>
      <c r="C3340" t="s">
        <v>1094</v>
      </c>
      <c r="D3340">
        <v>0.33</v>
      </c>
      <c r="E3340" t="s">
        <v>455</v>
      </c>
      <c r="F3340" t="s">
        <v>754</v>
      </c>
      <c r="G3340" t="s">
        <v>3188</v>
      </c>
      <c r="H3340" t="s">
        <v>32</v>
      </c>
      <c r="I3340" s="28" t="s">
        <v>24</v>
      </c>
    </row>
    <row r="3341" spans="1:9" x14ac:dyDescent="0.3">
      <c r="A3341" s="26">
        <v>45341</v>
      </c>
      <c r="B3341" t="s">
        <v>1391</v>
      </c>
      <c r="C3341" t="s">
        <v>1094</v>
      </c>
      <c r="D3341">
        <v>0.5</v>
      </c>
      <c r="E3341" t="s">
        <v>455</v>
      </c>
      <c r="F3341" t="s">
        <v>754</v>
      </c>
      <c r="G3341" t="s">
        <v>3189</v>
      </c>
      <c r="H3341" t="s">
        <v>32</v>
      </c>
      <c r="I3341" s="28" t="s">
        <v>24</v>
      </c>
    </row>
    <row r="3342" spans="1:9" x14ac:dyDescent="0.3">
      <c r="A3342" s="26">
        <v>45341</v>
      </c>
      <c r="B3342" t="s">
        <v>1391</v>
      </c>
      <c r="C3342" t="s">
        <v>1094</v>
      </c>
      <c r="D3342">
        <v>0.5</v>
      </c>
      <c r="E3342" t="s">
        <v>455</v>
      </c>
      <c r="F3342" t="s">
        <v>754</v>
      </c>
      <c r="G3342" t="s">
        <v>3190</v>
      </c>
      <c r="H3342" t="s">
        <v>32</v>
      </c>
      <c r="I3342" s="28" t="s">
        <v>24</v>
      </c>
    </row>
    <row r="3343" spans="1:9" x14ac:dyDescent="0.3">
      <c r="A3343" s="26">
        <v>45341</v>
      </c>
      <c r="B3343" t="s">
        <v>929</v>
      </c>
      <c r="C3343" t="s">
        <v>789</v>
      </c>
      <c r="D3343">
        <v>0.15</v>
      </c>
      <c r="E3343" t="s">
        <v>757</v>
      </c>
      <c r="F3343" t="s">
        <v>754</v>
      </c>
      <c r="G3343" t="s">
        <v>3191</v>
      </c>
      <c r="H3343" t="s">
        <v>32</v>
      </c>
      <c r="I3343" s="28" t="s">
        <v>24</v>
      </c>
    </row>
    <row r="3344" spans="1:9" x14ac:dyDescent="0.3">
      <c r="A3344" s="26">
        <v>45341</v>
      </c>
      <c r="B3344" t="s">
        <v>929</v>
      </c>
      <c r="C3344" t="s">
        <v>789</v>
      </c>
      <c r="D3344">
        <v>0.56999999999999995</v>
      </c>
      <c r="E3344" t="s">
        <v>7</v>
      </c>
      <c r="F3344" t="s">
        <v>772</v>
      </c>
      <c r="G3344" t="s">
        <v>3192</v>
      </c>
      <c r="H3344" t="s">
        <v>32</v>
      </c>
      <c r="I3344" s="28" t="s">
        <v>24</v>
      </c>
    </row>
    <row r="3345" spans="1:9" x14ac:dyDescent="0.3">
      <c r="A3345" s="26">
        <v>45341</v>
      </c>
      <c r="B3345" t="s">
        <v>929</v>
      </c>
      <c r="C3345" t="s">
        <v>771</v>
      </c>
      <c r="D3345">
        <v>0.25</v>
      </c>
      <c r="E3345" t="s">
        <v>7</v>
      </c>
      <c r="F3345" t="s">
        <v>772</v>
      </c>
      <c r="G3345" t="s">
        <v>2053</v>
      </c>
      <c r="H3345" t="s">
        <v>32</v>
      </c>
      <c r="I3345" s="28" t="s">
        <v>24</v>
      </c>
    </row>
    <row r="3346" spans="1:9" x14ac:dyDescent="0.3">
      <c r="A3346" s="26">
        <v>45341</v>
      </c>
      <c r="B3346" t="s">
        <v>929</v>
      </c>
      <c r="C3346" t="s">
        <v>771</v>
      </c>
      <c r="D3346">
        <v>0.25</v>
      </c>
      <c r="E3346" t="s">
        <v>7</v>
      </c>
      <c r="F3346" t="s">
        <v>772</v>
      </c>
      <c r="G3346" t="s">
        <v>2054</v>
      </c>
      <c r="H3346" t="s">
        <v>32</v>
      </c>
      <c r="I3346" s="28" t="s">
        <v>24</v>
      </c>
    </row>
    <row r="3347" spans="1:9" x14ac:dyDescent="0.3">
      <c r="A3347" s="26">
        <v>45341</v>
      </c>
      <c r="B3347" t="s">
        <v>929</v>
      </c>
      <c r="C3347" t="s">
        <v>916</v>
      </c>
      <c r="D3347">
        <v>0.18</v>
      </c>
      <c r="E3347" t="s">
        <v>210</v>
      </c>
      <c r="F3347" t="s">
        <v>754</v>
      </c>
      <c r="G3347" t="s">
        <v>2493</v>
      </c>
      <c r="H3347" t="s">
        <v>32</v>
      </c>
      <c r="I3347" s="28" t="s">
        <v>24</v>
      </c>
    </row>
    <row r="3348" spans="1:9" x14ac:dyDescent="0.3">
      <c r="A3348" s="26">
        <v>45341</v>
      </c>
      <c r="B3348" t="s">
        <v>929</v>
      </c>
      <c r="C3348" t="s">
        <v>916</v>
      </c>
      <c r="D3348">
        <v>0.48</v>
      </c>
      <c r="E3348" t="s">
        <v>964</v>
      </c>
      <c r="F3348" t="s">
        <v>754</v>
      </c>
      <c r="G3348" t="s">
        <v>3193</v>
      </c>
      <c r="H3348" t="s">
        <v>32</v>
      </c>
      <c r="I3348" s="28" t="s">
        <v>24</v>
      </c>
    </row>
    <row r="3349" spans="1:9" x14ac:dyDescent="0.3">
      <c r="A3349" s="26">
        <v>45341</v>
      </c>
      <c r="B3349" t="s">
        <v>929</v>
      </c>
      <c r="C3349" t="s">
        <v>916</v>
      </c>
      <c r="D3349">
        <v>0.63</v>
      </c>
      <c r="E3349" t="s">
        <v>757</v>
      </c>
      <c r="F3349" t="s">
        <v>754</v>
      </c>
      <c r="G3349" t="s">
        <v>3194</v>
      </c>
      <c r="H3349" t="s">
        <v>32</v>
      </c>
      <c r="I3349" s="28" t="s">
        <v>24</v>
      </c>
    </row>
    <row r="3350" spans="1:9" x14ac:dyDescent="0.3">
      <c r="A3350" s="26">
        <v>45341</v>
      </c>
      <c r="B3350" t="s">
        <v>929</v>
      </c>
      <c r="C3350" t="s">
        <v>916</v>
      </c>
      <c r="D3350">
        <v>0.82</v>
      </c>
      <c r="E3350" t="s">
        <v>623</v>
      </c>
      <c r="F3350" t="s">
        <v>754</v>
      </c>
      <c r="G3350" t="s">
        <v>3195</v>
      </c>
      <c r="H3350" t="s">
        <v>32</v>
      </c>
      <c r="I3350" s="28" t="s">
        <v>24</v>
      </c>
    </row>
    <row r="3351" spans="1:9" x14ac:dyDescent="0.3">
      <c r="A3351" s="26">
        <v>45341</v>
      </c>
      <c r="B3351" t="s">
        <v>929</v>
      </c>
      <c r="C3351" t="s">
        <v>916</v>
      </c>
      <c r="D3351">
        <v>0.97</v>
      </c>
      <c r="E3351" t="s">
        <v>757</v>
      </c>
      <c r="F3351" t="s">
        <v>754</v>
      </c>
      <c r="G3351" t="s">
        <v>3196</v>
      </c>
      <c r="H3351" t="s">
        <v>32</v>
      </c>
      <c r="I3351" s="28" t="s">
        <v>24</v>
      </c>
    </row>
    <row r="3352" spans="1:9" x14ac:dyDescent="0.3">
      <c r="A3352" s="26">
        <v>45341</v>
      </c>
      <c r="B3352" t="s">
        <v>929</v>
      </c>
      <c r="C3352" t="s">
        <v>954</v>
      </c>
      <c r="D3352">
        <v>1.65</v>
      </c>
      <c r="E3352" t="s">
        <v>7</v>
      </c>
      <c r="F3352" t="s">
        <v>772</v>
      </c>
      <c r="G3352" t="s">
        <v>3197</v>
      </c>
      <c r="H3352" t="s">
        <v>32</v>
      </c>
      <c r="I3352" s="28" t="s">
        <v>24</v>
      </c>
    </row>
    <row r="3353" spans="1:9" x14ac:dyDescent="0.3">
      <c r="A3353" s="26">
        <v>45341</v>
      </c>
      <c r="B3353" t="s">
        <v>929</v>
      </c>
      <c r="C3353" t="s">
        <v>954</v>
      </c>
      <c r="D3353">
        <v>2.0499999999999998</v>
      </c>
      <c r="E3353" t="s">
        <v>7</v>
      </c>
      <c r="F3353" t="s">
        <v>772</v>
      </c>
      <c r="G3353" t="s">
        <v>3198</v>
      </c>
      <c r="H3353" t="s">
        <v>32</v>
      </c>
      <c r="I3353" s="28" t="s">
        <v>24</v>
      </c>
    </row>
    <row r="3354" spans="1:9" x14ac:dyDescent="0.3">
      <c r="A3354" s="26">
        <v>45341</v>
      </c>
      <c r="B3354" t="s">
        <v>959</v>
      </c>
      <c r="C3354" t="s">
        <v>874</v>
      </c>
      <c r="D3354">
        <v>0.33</v>
      </c>
      <c r="E3354" t="s">
        <v>7</v>
      </c>
      <c r="F3354" t="s">
        <v>772</v>
      </c>
      <c r="G3354" t="s">
        <v>3199</v>
      </c>
      <c r="H3354" t="s">
        <v>32</v>
      </c>
      <c r="I3354" s="28" t="s">
        <v>24</v>
      </c>
    </row>
    <row r="3355" spans="1:9" x14ac:dyDescent="0.3">
      <c r="A3355" s="26">
        <v>45341</v>
      </c>
      <c r="B3355" t="s">
        <v>959</v>
      </c>
      <c r="C3355" t="s">
        <v>878</v>
      </c>
      <c r="D3355">
        <v>7.5</v>
      </c>
      <c r="E3355" t="s">
        <v>430</v>
      </c>
      <c r="F3355" t="s">
        <v>754</v>
      </c>
      <c r="G3355" t="s">
        <v>3200</v>
      </c>
      <c r="H3355" t="s">
        <v>32</v>
      </c>
      <c r="I3355" s="28" t="s">
        <v>24</v>
      </c>
    </row>
    <row r="3356" spans="1:9" x14ac:dyDescent="0.3">
      <c r="A3356" s="26">
        <v>45341</v>
      </c>
      <c r="B3356" t="s">
        <v>961</v>
      </c>
      <c r="C3356" t="s">
        <v>753</v>
      </c>
      <c r="D3356">
        <v>7.63</v>
      </c>
      <c r="E3356" t="s">
        <v>790</v>
      </c>
      <c r="F3356" t="s">
        <v>754</v>
      </c>
      <c r="H3356" t="s">
        <v>32</v>
      </c>
      <c r="I3356" s="28" t="s">
        <v>24</v>
      </c>
    </row>
    <row r="3357" spans="1:9" x14ac:dyDescent="0.3">
      <c r="A3357" s="26">
        <v>45341</v>
      </c>
      <c r="B3357" t="s">
        <v>961</v>
      </c>
      <c r="C3357" t="s">
        <v>776</v>
      </c>
      <c r="D3357">
        <v>0.48</v>
      </c>
      <c r="E3357" t="s">
        <v>585</v>
      </c>
      <c r="F3357" t="s">
        <v>754</v>
      </c>
      <c r="H3357" t="s">
        <v>32</v>
      </c>
      <c r="I3357" s="28" t="s">
        <v>24</v>
      </c>
    </row>
    <row r="3358" spans="1:9" x14ac:dyDescent="0.3">
      <c r="A3358" s="26">
        <v>45341</v>
      </c>
      <c r="B3358" t="s">
        <v>966</v>
      </c>
      <c r="C3358" t="s">
        <v>970</v>
      </c>
      <c r="D3358">
        <v>1.5</v>
      </c>
      <c r="E3358" t="s">
        <v>790</v>
      </c>
      <c r="F3358" t="s">
        <v>772</v>
      </c>
      <c r="G3358" t="s">
        <v>2698</v>
      </c>
      <c r="H3358" t="s">
        <v>32</v>
      </c>
      <c r="I3358" s="28" t="s">
        <v>24</v>
      </c>
    </row>
    <row r="3359" spans="1:9" x14ac:dyDescent="0.3">
      <c r="A3359" s="26">
        <v>45341</v>
      </c>
      <c r="B3359" t="s">
        <v>966</v>
      </c>
      <c r="C3359" t="s">
        <v>967</v>
      </c>
      <c r="D3359">
        <v>2</v>
      </c>
      <c r="E3359" t="s">
        <v>7</v>
      </c>
      <c r="F3359" t="s">
        <v>772</v>
      </c>
      <c r="H3359" t="s">
        <v>32</v>
      </c>
      <c r="I3359" s="28" t="s">
        <v>24</v>
      </c>
    </row>
    <row r="3360" spans="1:9" x14ac:dyDescent="0.3">
      <c r="A3360" s="26">
        <v>45341</v>
      </c>
      <c r="B3360" t="s">
        <v>966</v>
      </c>
      <c r="C3360" t="s">
        <v>967</v>
      </c>
      <c r="D3360">
        <v>4</v>
      </c>
      <c r="E3360" t="s">
        <v>790</v>
      </c>
      <c r="F3360" t="s">
        <v>754</v>
      </c>
      <c r="H3360" t="s">
        <v>32</v>
      </c>
      <c r="I3360" s="28" t="s">
        <v>24</v>
      </c>
    </row>
    <row r="3361" spans="1:9" x14ac:dyDescent="0.3">
      <c r="A3361" s="26">
        <v>45341</v>
      </c>
      <c r="B3361" t="s">
        <v>966</v>
      </c>
      <c r="C3361" t="s">
        <v>771</v>
      </c>
      <c r="D3361">
        <v>0.5</v>
      </c>
      <c r="E3361" t="s">
        <v>7</v>
      </c>
      <c r="F3361" t="s">
        <v>772</v>
      </c>
      <c r="G3361" t="s">
        <v>820</v>
      </c>
      <c r="H3361" t="s">
        <v>32</v>
      </c>
      <c r="I3361" s="28" t="s">
        <v>24</v>
      </c>
    </row>
    <row r="3362" spans="1:9" x14ac:dyDescent="0.3">
      <c r="A3362" s="26">
        <v>45341</v>
      </c>
      <c r="B3362" t="s">
        <v>969</v>
      </c>
      <c r="C3362" t="s">
        <v>753</v>
      </c>
      <c r="D3362">
        <v>1.55</v>
      </c>
      <c r="E3362" t="s">
        <v>790</v>
      </c>
      <c r="F3362" t="s">
        <v>754</v>
      </c>
      <c r="G3362" t="s">
        <v>3201</v>
      </c>
      <c r="H3362" t="s">
        <v>32</v>
      </c>
      <c r="I3362" s="28" t="s">
        <v>24</v>
      </c>
    </row>
    <row r="3363" spans="1:9" x14ac:dyDescent="0.3">
      <c r="A3363" s="26">
        <v>45341</v>
      </c>
      <c r="B3363" t="s">
        <v>969</v>
      </c>
      <c r="C3363" t="s">
        <v>789</v>
      </c>
      <c r="D3363">
        <v>0.18</v>
      </c>
      <c r="E3363" t="s">
        <v>7</v>
      </c>
      <c r="F3363" t="s">
        <v>772</v>
      </c>
      <c r="G3363" t="s">
        <v>1012</v>
      </c>
      <c r="H3363" t="s">
        <v>32</v>
      </c>
      <c r="I3363" s="28" t="s">
        <v>24</v>
      </c>
    </row>
    <row r="3364" spans="1:9" x14ac:dyDescent="0.3">
      <c r="A3364" s="26">
        <v>45341</v>
      </c>
      <c r="B3364" t="s">
        <v>969</v>
      </c>
      <c r="C3364" t="s">
        <v>789</v>
      </c>
      <c r="D3364">
        <v>1.4</v>
      </c>
      <c r="E3364" t="s">
        <v>790</v>
      </c>
      <c r="F3364" t="s">
        <v>772</v>
      </c>
      <c r="G3364" t="s">
        <v>3202</v>
      </c>
      <c r="H3364" t="s">
        <v>32</v>
      </c>
      <c r="I3364" s="28" t="s">
        <v>24</v>
      </c>
    </row>
    <row r="3365" spans="1:9" x14ac:dyDescent="0.3">
      <c r="A3365" s="26">
        <v>45341</v>
      </c>
      <c r="B3365" t="s">
        <v>969</v>
      </c>
      <c r="C3365" t="s">
        <v>789</v>
      </c>
      <c r="D3365">
        <v>1.53</v>
      </c>
      <c r="E3365" t="s">
        <v>790</v>
      </c>
      <c r="F3365" t="s">
        <v>772</v>
      </c>
      <c r="G3365" t="s">
        <v>3203</v>
      </c>
      <c r="H3365" t="s">
        <v>32</v>
      </c>
      <c r="I3365" s="28" t="s">
        <v>24</v>
      </c>
    </row>
    <row r="3366" spans="1:9" x14ac:dyDescent="0.3">
      <c r="A3366" s="26">
        <v>45341</v>
      </c>
      <c r="B3366" t="s">
        <v>969</v>
      </c>
      <c r="C3366" t="s">
        <v>789</v>
      </c>
      <c r="D3366">
        <v>1.75</v>
      </c>
      <c r="E3366" t="s">
        <v>790</v>
      </c>
      <c r="F3366" t="s">
        <v>754</v>
      </c>
      <c r="G3366" t="s">
        <v>3204</v>
      </c>
      <c r="H3366" t="s">
        <v>32</v>
      </c>
      <c r="I3366" s="28" t="s">
        <v>24</v>
      </c>
    </row>
    <row r="3367" spans="1:9" x14ac:dyDescent="0.3">
      <c r="A3367" s="26">
        <v>45341</v>
      </c>
      <c r="B3367" t="s">
        <v>969</v>
      </c>
      <c r="C3367" t="s">
        <v>771</v>
      </c>
      <c r="D3367">
        <v>2.48</v>
      </c>
      <c r="E3367" t="s">
        <v>7</v>
      </c>
      <c r="F3367" t="s">
        <v>772</v>
      </c>
      <c r="G3367" t="s">
        <v>3205</v>
      </c>
      <c r="H3367" t="s">
        <v>32</v>
      </c>
      <c r="I3367" s="28" t="s">
        <v>24</v>
      </c>
    </row>
    <row r="3368" spans="1:9" x14ac:dyDescent="0.3">
      <c r="A3368" s="26">
        <v>45341</v>
      </c>
      <c r="B3368" t="s">
        <v>977</v>
      </c>
      <c r="C3368" t="s">
        <v>753</v>
      </c>
      <c r="D3368">
        <v>0.6</v>
      </c>
      <c r="E3368" t="s">
        <v>978</v>
      </c>
      <c r="F3368" t="s">
        <v>754</v>
      </c>
      <c r="G3368" t="s">
        <v>3206</v>
      </c>
      <c r="H3368" t="s">
        <v>32</v>
      </c>
      <c r="I3368" s="28" t="s">
        <v>24</v>
      </c>
    </row>
    <row r="3369" spans="1:9" x14ac:dyDescent="0.3">
      <c r="A3369" s="26">
        <v>45341</v>
      </c>
      <c r="B3369" t="s">
        <v>977</v>
      </c>
      <c r="C3369" t="s">
        <v>753</v>
      </c>
      <c r="D3369">
        <v>5.18</v>
      </c>
      <c r="E3369" t="s">
        <v>978</v>
      </c>
      <c r="F3369" t="s">
        <v>754</v>
      </c>
      <c r="G3369" t="s">
        <v>3207</v>
      </c>
      <c r="H3369" t="s">
        <v>32</v>
      </c>
      <c r="I3369" s="28" t="s">
        <v>24</v>
      </c>
    </row>
    <row r="3370" spans="1:9" x14ac:dyDescent="0.3">
      <c r="A3370" s="26">
        <v>45341</v>
      </c>
      <c r="B3370" t="s">
        <v>977</v>
      </c>
      <c r="C3370" t="s">
        <v>771</v>
      </c>
      <c r="D3370">
        <v>0.5</v>
      </c>
      <c r="E3370" t="s">
        <v>7</v>
      </c>
      <c r="F3370" t="s">
        <v>772</v>
      </c>
      <c r="G3370" t="s">
        <v>820</v>
      </c>
      <c r="H3370" t="s">
        <v>32</v>
      </c>
      <c r="I3370" s="28" t="s">
        <v>24</v>
      </c>
    </row>
    <row r="3371" spans="1:9" x14ac:dyDescent="0.3">
      <c r="A3371" s="26">
        <v>45341</v>
      </c>
      <c r="B3371" t="s">
        <v>977</v>
      </c>
      <c r="C3371" t="s">
        <v>834</v>
      </c>
      <c r="D3371">
        <v>1.73</v>
      </c>
      <c r="E3371" t="s">
        <v>7</v>
      </c>
      <c r="F3371" t="s">
        <v>772</v>
      </c>
      <c r="G3371" t="s">
        <v>3208</v>
      </c>
      <c r="H3371" t="s">
        <v>32</v>
      </c>
      <c r="I3371" s="28" t="s">
        <v>24</v>
      </c>
    </row>
    <row r="3372" spans="1:9" x14ac:dyDescent="0.3">
      <c r="A3372" s="26">
        <v>45341</v>
      </c>
      <c r="B3372" t="s">
        <v>981</v>
      </c>
      <c r="C3372" t="s">
        <v>1163</v>
      </c>
      <c r="D3372">
        <v>8</v>
      </c>
      <c r="E3372" t="s">
        <v>7</v>
      </c>
      <c r="F3372" t="s">
        <v>772</v>
      </c>
      <c r="G3372" t="s">
        <v>2344</v>
      </c>
      <c r="H3372" t="s">
        <v>32</v>
      </c>
      <c r="I3372" s="28" t="s">
        <v>24</v>
      </c>
    </row>
    <row r="3373" spans="1:9" x14ac:dyDescent="0.3">
      <c r="A3373" s="26">
        <v>45341</v>
      </c>
      <c r="B3373" t="s">
        <v>984</v>
      </c>
      <c r="C3373" t="s">
        <v>753</v>
      </c>
      <c r="D3373">
        <v>0.97</v>
      </c>
      <c r="E3373" t="s">
        <v>602</v>
      </c>
      <c r="F3373" t="s">
        <v>772</v>
      </c>
      <c r="G3373" t="s">
        <v>3209</v>
      </c>
      <c r="H3373" t="s">
        <v>32</v>
      </c>
      <c r="I3373" s="28" t="s">
        <v>24</v>
      </c>
    </row>
    <row r="3374" spans="1:9" x14ac:dyDescent="0.3">
      <c r="A3374" s="26">
        <v>45341</v>
      </c>
      <c r="B3374" t="s">
        <v>984</v>
      </c>
      <c r="C3374" t="s">
        <v>753</v>
      </c>
      <c r="D3374">
        <v>2.15</v>
      </c>
      <c r="E3374" t="s">
        <v>985</v>
      </c>
      <c r="F3374" t="s">
        <v>754</v>
      </c>
      <c r="G3374" t="s">
        <v>3210</v>
      </c>
      <c r="H3374" t="s">
        <v>32</v>
      </c>
      <c r="I3374" s="28" t="s">
        <v>24</v>
      </c>
    </row>
    <row r="3375" spans="1:9" x14ac:dyDescent="0.3">
      <c r="A3375" s="26">
        <v>45341</v>
      </c>
      <c r="B3375" t="s">
        <v>984</v>
      </c>
      <c r="C3375" t="s">
        <v>753</v>
      </c>
      <c r="D3375">
        <v>3.57</v>
      </c>
      <c r="E3375" t="s">
        <v>13</v>
      </c>
      <c r="F3375" t="s">
        <v>754</v>
      </c>
      <c r="G3375" t="s">
        <v>3211</v>
      </c>
      <c r="H3375" t="s">
        <v>32</v>
      </c>
      <c r="I3375" s="28" t="s">
        <v>24</v>
      </c>
    </row>
    <row r="3376" spans="1:9" x14ac:dyDescent="0.3">
      <c r="A3376" s="26">
        <v>45341</v>
      </c>
      <c r="B3376" t="s">
        <v>984</v>
      </c>
      <c r="C3376" t="s">
        <v>771</v>
      </c>
      <c r="D3376">
        <v>1.05</v>
      </c>
      <c r="E3376" t="s">
        <v>7</v>
      </c>
      <c r="F3376" t="s">
        <v>772</v>
      </c>
      <c r="G3376" t="s">
        <v>3212</v>
      </c>
      <c r="H3376" t="s">
        <v>32</v>
      </c>
      <c r="I3376" s="28" t="s">
        <v>24</v>
      </c>
    </row>
    <row r="3377" spans="1:9" x14ac:dyDescent="0.3">
      <c r="A3377" s="26">
        <v>45341</v>
      </c>
      <c r="B3377" t="s">
        <v>984</v>
      </c>
      <c r="C3377" t="s">
        <v>874</v>
      </c>
      <c r="D3377">
        <v>0.3</v>
      </c>
      <c r="E3377" t="s">
        <v>7</v>
      </c>
      <c r="F3377" t="s">
        <v>772</v>
      </c>
      <c r="G3377" t="s">
        <v>3213</v>
      </c>
      <c r="H3377" t="s">
        <v>32</v>
      </c>
      <c r="I3377" s="28" t="s">
        <v>24</v>
      </c>
    </row>
    <row r="3378" spans="1:9" x14ac:dyDescent="0.3">
      <c r="A3378" s="26">
        <v>45341</v>
      </c>
      <c r="B3378" t="s">
        <v>991</v>
      </c>
      <c r="C3378" t="s">
        <v>992</v>
      </c>
      <c r="D3378">
        <v>1.07</v>
      </c>
      <c r="E3378" t="s">
        <v>7</v>
      </c>
      <c r="F3378" t="s">
        <v>772</v>
      </c>
      <c r="G3378" t="s">
        <v>3214</v>
      </c>
      <c r="H3378" t="s">
        <v>32</v>
      </c>
      <c r="I3378" s="28" t="s">
        <v>24</v>
      </c>
    </row>
    <row r="3379" spans="1:9" x14ac:dyDescent="0.3">
      <c r="A3379" s="26">
        <v>45341</v>
      </c>
      <c r="B3379" t="s">
        <v>991</v>
      </c>
      <c r="C3379" t="s">
        <v>992</v>
      </c>
      <c r="D3379">
        <v>1.18</v>
      </c>
      <c r="E3379" t="s">
        <v>7</v>
      </c>
      <c r="F3379" t="s">
        <v>772</v>
      </c>
      <c r="G3379" t="s">
        <v>3215</v>
      </c>
      <c r="H3379" t="s">
        <v>32</v>
      </c>
      <c r="I3379" s="28" t="s">
        <v>24</v>
      </c>
    </row>
    <row r="3380" spans="1:9" x14ac:dyDescent="0.3">
      <c r="A3380" s="26">
        <v>45341</v>
      </c>
      <c r="B3380" t="s">
        <v>991</v>
      </c>
      <c r="C3380" t="s">
        <v>992</v>
      </c>
      <c r="D3380">
        <v>1.5</v>
      </c>
      <c r="E3380" t="s">
        <v>7</v>
      </c>
      <c r="F3380" t="s">
        <v>772</v>
      </c>
      <c r="G3380" t="s">
        <v>3216</v>
      </c>
      <c r="H3380" t="s">
        <v>32</v>
      </c>
      <c r="I3380" s="28" t="s">
        <v>24</v>
      </c>
    </row>
    <row r="3381" spans="1:9" x14ac:dyDescent="0.3">
      <c r="A3381" s="26">
        <v>45341</v>
      </c>
      <c r="B3381" t="s">
        <v>991</v>
      </c>
      <c r="C3381" t="s">
        <v>753</v>
      </c>
      <c r="D3381">
        <v>3.02</v>
      </c>
      <c r="E3381" t="s">
        <v>7</v>
      </c>
      <c r="F3381" t="s">
        <v>772</v>
      </c>
      <c r="G3381" t="s">
        <v>3217</v>
      </c>
      <c r="H3381" t="s">
        <v>32</v>
      </c>
      <c r="I3381" s="28" t="s">
        <v>24</v>
      </c>
    </row>
    <row r="3382" spans="1:9" x14ac:dyDescent="0.3">
      <c r="A3382" s="26">
        <v>45341</v>
      </c>
      <c r="B3382" t="s">
        <v>991</v>
      </c>
      <c r="C3382" t="s">
        <v>1870</v>
      </c>
      <c r="D3382">
        <v>0.27</v>
      </c>
      <c r="E3382" t="s">
        <v>999</v>
      </c>
      <c r="F3382" t="s">
        <v>772</v>
      </c>
      <c r="G3382" t="s">
        <v>3218</v>
      </c>
      <c r="H3382" t="s">
        <v>32</v>
      </c>
      <c r="I3382" s="28" t="s">
        <v>24</v>
      </c>
    </row>
    <row r="3383" spans="1:9" x14ac:dyDescent="0.3">
      <c r="A3383" s="26">
        <v>45341</v>
      </c>
      <c r="B3383" t="s">
        <v>991</v>
      </c>
      <c r="C3383" t="s">
        <v>1870</v>
      </c>
      <c r="D3383">
        <v>0.48</v>
      </c>
      <c r="E3383" t="s">
        <v>7</v>
      </c>
      <c r="F3383" t="s">
        <v>772</v>
      </c>
      <c r="G3383" t="s">
        <v>3219</v>
      </c>
      <c r="H3383" t="s">
        <v>32</v>
      </c>
      <c r="I3383" s="28" t="s">
        <v>24</v>
      </c>
    </row>
    <row r="3384" spans="1:9" x14ac:dyDescent="0.3">
      <c r="A3384" s="26">
        <v>45341</v>
      </c>
      <c r="B3384" t="s">
        <v>991</v>
      </c>
      <c r="C3384" t="s">
        <v>776</v>
      </c>
      <c r="D3384">
        <v>0.28000000000000003</v>
      </c>
      <c r="E3384" t="s">
        <v>999</v>
      </c>
      <c r="F3384" t="s">
        <v>772</v>
      </c>
      <c r="G3384" t="s">
        <v>3220</v>
      </c>
      <c r="H3384" t="s">
        <v>32</v>
      </c>
      <c r="I3384" s="28" t="s">
        <v>24</v>
      </c>
    </row>
    <row r="3385" spans="1:9" x14ac:dyDescent="0.3">
      <c r="A3385" s="26">
        <v>45341</v>
      </c>
      <c r="B3385" t="s">
        <v>991</v>
      </c>
      <c r="C3385" t="s">
        <v>776</v>
      </c>
      <c r="D3385">
        <v>0.85</v>
      </c>
      <c r="E3385" t="s">
        <v>999</v>
      </c>
      <c r="F3385" t="s">
        <v>772</v>
      </c>
      <c r="G3385" t="s">
        <v>3221</v>
      </c>
      <c r="H3385" t="s">
        <v>32</v>
      </c>
      <c r="I3385" s="28" t="s">
        <v>24</v>
      </c>
    </row>
    <row r="3386" spans="1:9" x14ac:dyDescent="0.3">
      <c r="A3386" s="26">
        <v>45341</v>
      </c>
      <c r="B3386" t="s">
        <v>1002</v>
      </c>
      <c r="C3386" t="s">
        <v>1003</v>
      </c>
      <c r="D3386">
        <v>10</v>
      </c>
      <c r="E3386" t="s">
        <v>7</v>
      </c>
      <c r="F3386" t="s">
        <v>772</v>
      </c>
      <c r="G3386" t="s">
        <v>3222</v>
      </c>
      <c r="H3386" t="s">
        <v>32</v>
      </c>
      <c r="I3386" s="28" t="s">
        <v>24</v>
      </c>
    </row>
    <row r="3387" spans="1:9" x14ac:dyDescent="0.3">
      <c r="A3387" s="26">
        <v>45341</v>
      </c>
      <c r="B3387" t="s">
        <v>1005</v>
      </c>
      <c r="C3387" t="s">
        <v>753</v>
      </c>
      <c r="D3387">
        <v>0.25</v>
      </c>
      <c r="E3387" t="s">
        <v>161</v>
      </c>
      <c r="F3387" t="s">
        <v>754</v>
      </c>
      <c r="H3387" t="s">
        <v>32</v>
      </c>
      <c r="I3387" s="28" t="s">
        <v>24</v>
      </c>
    </row>
    <row r="3388" spans="1:9" x14ac:dyDescent="0.3">
      <c r="A3388" s="26">
        <v>45341</v>
      </c>
      <c r="B3388" t="s">
        <v>1005</v>
      </c>
      <c r="C3388" t="s">
        <v>753</v>
      </c>
      <c r="D3388">
        <v>0.5</v>
      </c>
      <c r="E3388" t="s">
        <v>1438</v>
      </c>
      <c r="F3388" t="s">
        <v>754</v>
      </c>
      <c r="H3388" t="s">
        <v>32</v>
      </c>
      <c r="I3388" s="28" t="s">
        <v>24</v>
      </c>
    </row>
    <row r="3389" spans="1:9" x14ac:dyDescent="0.3">
      <c r="A3389" s="26">
        <v>45341</v>
      </c>
      <c r="B3389" t="s">
        <v>1005</v>
      </c>
      <c r="C3389" t="s">
        <v>753</v>
      </c>
      <c r="D3389">
        <v>0.5</v>
      </c>
      <c r="E3389" t="s">
        <v>201</v>
      </c>
      <c r="F3389" t="s">
        <v>754</v>
      </c>
      <c r="H3389" t="s">
        <v>32</v>
      </c>
      <c r="I3389" s="28" t="s">
        <v>24</v>
      </c>
    </row>
    <row r="3390" spans="1:9" x14ac:dyDescent="0.3">
      <c r="A3390" s="26">
        <v>45341</v>
      </c>
      <c r="B3390" t="s">
        <v>1005</v>
      </c>
      <c r="C3390" t="s">
        <v>753</v>
      </c>
      <c r="D3390">
        <v>0.5</v>
      </c>
      <c r="E3390" t="s">
        <v>471</v>
      </c>
      <c r="F3390" t="s">
        <v>754</v>
      </c>
      <c r="H3390" t="s">
        <v>32</v>
      </c>
      <c r="I3390" s="28" t="s">
        <v>24</v>
      </c>
    </row>
    <row r="3391" spans="1:9" x14ac:dyDescent="0.3">
      <c r="A3391" s="26">
        <v>45341</v>
      </c>
      <c r="B3391" t="s">
        <v>1005</v>
      </c>
      <c r="C3391" t="s">
        <v>753</v>
      </c>
      <c r="D3391">
        <v>2.5</v>
      </c>
      <c r="E3391" t="s">
        <v>430</v>
      </c>
      <c r="F3391" t="s">
        <v>754</v>
      </c>
      <c r="H3391" t="s">
        <v>32</v>
      </c>
      <c r="I3391" s="28" t="s">
        <v>24</v>
      </c>
    </row>
    <row r="3392" spans="1:9" x14ac:dyDescent="0.3">
      <c r="A3392" s="26">
        <v>45341</v>
      </c>
      <c r="B3392" t="s">
        <v>1005</v>
      </c>
      <c r="C3392" t="s">
        <v>771</v>
      </c>
      <c r="D3392">
        <v>0.5</v>
      </c>
      <c r="E3392" t="s">
        <v>7</v>
      </c>
      <c r="F3392" t="s">
        <v>772</v>
      </c>
      <c r="H3392" t="s">
        <v>32</v>
      </c>
      <c r="I3392" s="28" t="s">
        <v>24</v>
      </c>
    </row>
    <row r="3393" spans="1:9" x14ac:dyDescent="0.3">
      <c r="A3393" s="26">
        <v>45341</v>
      </c>
      <c r="B3393" t="s">
        <v>1005</v>
      </c>
      <c r="C3393" t="s">
        <v>776</v>
      </c>
      <c r="D3393">
        <v>0.25</v>
      </c>
      <c r="E3393" t="s">
        <v>141</v>
      </c>
      <c r="F3393" t="s">
        <v>754</v>
      </c>
      <c r="H3393" t="s">
        <v>32</v>
      </c>
      <c r="I3393" s="28" t="s">
        <v>24</v>
      </c>
    </row>
    <row r="3394" spans="1:9" x14ac:dyDescent="0.3">
      <c r="A3394" s="26">
        <v>45341</v>
      </c>
      <c r="B3394" t="s">
        <v>1005</v>
      </c>
      <c r="C3394" t="s">
        <v>776</v>
      </c>
      <c r="D3394">
        <v>0.5</v>
      </c>
      <c r="E3394" t="s">
        <v>201</v>
      </c>
      <c r="F3394" t="s">
        <v>754</v>
      </c>
      <c r="G3394" t="s">
        <v>3223</v>
      </c>
      <c r="H3394" t="s">
        <v>32</v>
      </c>
      <c r="I3394" s="28" t="s">
        <v>24</v>
      </c>
    </row>
    <row r="3395" spans="1:9" x14ac:dyDescent="0.3">
      <c r="A3395" s="26">
        <v>45341</v>
      </c>
      <c r="B3395" t="s">
        <v>1006</v>
      </c>
      <c r="C3395" t="s">
        <v>909</v>
      </c>
      <c r="D3395">
        <v>0.03</v>
      </c>
      <c r="E3395" t="s">
        <v>151</v>
      </c>
      <c r="F3395" t="s">
        <v>754</v>
      </c>
      <c r="G3395" t="s">
        <v>1012</v>
      </c>
      <c r="H3395" t="s">
        <v>32</v>
      </c>
      <c r="I3395" s="28" t="s">
        <v>24</v>
      </c>
    </row>
    <row r="3396" spans="1:9" x14ac:dyDescent="0.3">
      <c r="A3396" s="26">
        <v>45341</v>
      </c>
      <c r="B3396" t="s">
        <v>1006</v>
      </c>
      <c r="C3396" t="s">
        <v>909</v>
      </c>
      <c r="D3396">
        <v>0.28000000000000003</v>
      </c>
      <c r="E3396" t="s">
        <v>757</v>
      </c>
      <c r="F3396" t="s">
        <v>754</v>
      </c>
      <c r="G3396" t="s">
        <v>1012</v>
      </c>
      <c r="H3396" t="s">
        <v>32</v>
      </c>
      <c r="I3396" s="28" t="s">
        <v>24</v>
      </c>
    </row>
    <row r="3397" spans="1:9" x14ac:dyDescent="0.3">
      <c r="A3397" s="26">
        <v>45341</v>
      </c>
      <c r="B3397" t="s">
        <v>1006</v>
      </c>
      <c r="C3397" t="s">
        <v>909</v>
      </c>
      <c r="D3397">
        <v>0.33</v>
      </c>
      <c r="E3397" t="s">
        <v>757</v>
      </c>
      <c r="F3397" t="s">
        <v>754</v>
      </c>
      <c r="G3397" t="s">
        <v>3224</v>
      </c>
      <c r="H3397" t="s">
        <v>32</v>
      </c>
      <c r="I3397" s="28" t="s">
        <v>24</v>
      </c>
    </row>
    <row r="3398" spans="1:9" x14ac:dyDescent="0.3">
      <c r="A3398" s="26">
        <v>45341</v>
      </c>
      <c r="B3398" t="s">
        <v>1006</v>
      </c>
      <c r="C3398" t="s">
        <v>909</v>
      </c>
      <c r="D3398">
        <v>0.38</v>
      </c>
      <c r="E3398" t="s">
        <v>2525</v>
      </c>
      <c r="F3398" t="s">
        <v>754</v>
      </c>
      <c r="G3398" t="s">
        <v>1012</v>
      </c>
      <c r="H3398" t="s">
        <v>32</v>
      </c>
      <c r="I3398" s="28" t="s">
        <v>24</v>
      </c>
    </row>
    <row r="3399" spans="1:9" x14ac:dyDescent="0.3">
      <c r="A3399" s="26">
        <v>45341</v>
      </c>
      <c r="B3399" t="s">
        <v>1006</v>
      </c>
      <c r="C3399" t="s">
        <v>909</v>
      </c>
      <c r="D3399">
        <v>0.82</v>
      </c>
      <c r="E3399" t="s">
        <v>757</v>
      </c>
      <c r="F3399" t="s">
        <v>772</v>
      </c>
      <c r="G3399" t="s">
        <v>3225</v>
      </c>
      <c r="H3399" t="s">
        <v>32</v>
      </c>
      <c r="I3399" s="28" t="s">
        <v>24</v>
      </c>
    </row>
    <row r="3400" spans="1:9" x14ac:dyDescent="0.3">
      <c r="A3400" s="26">
        <v>45341</v>
      </c>
      <c r="B3400" t="s">
        <v>1006</v>
      </c>
      <c r="C3400" t="s">
        <v>909</v>
      </c>
      <c r="D3400">
        <v>1.17</v>
      </c>
      <c r="E3400" t="s">
        <v>757</v>
      </c>
      <c r="F3400" t="s">
        <v>754</v>
      </c>
      <c r="G3400" t="s">
        <v>1358</v>
      </c>
      <c r="H3400" t="s">
        <v>32</v>
      </c>
      <c r="I3400" s="28" t="s">
        <v>24</v>
      </c>
    </row>
    <row r="3401" spans="1:9" x14ac:dyDescent="0.3">
      <c r="A3401" s="26">
        <v>45341</v>
      </c>
      <c r="B3401" t="s">
        <v>1006</v>
      </c>
      <c r="C3401" t="s">
        <v>909</v>
      </c>
      <c r="D3401">
        <v>2.6</v>
      </c>
      <c r="E3401" t="s">
        <v>583</v>
      </c>
      <c r="F3401" t="s">
        <v>754</v>
      </c>
      <c r="G3401" t="s">
        <v>3226</v>
      </c>
      <c r="H3401" t="s">
        <v>32</v>
      </c>
      <c r="I3401" s="28" t="s">
        <v>24</v>
      </c>
    </row>
    <row r="3402" spans="1:9" x14ac:dyDescent="0.3">
      <c r="A3402" s="26">
        <v>45341</v>
      </c>
      <c r="B3402" t="s">
        <v>1006</v>
      </c>
      <c r="C3402" t="s">
        <v>771</v>
      </c>
      <c r="D3402">
        <v>0.25</v>
      </c>
      <c r="E3402" t="s">
        <v>7</v>
      </c>
      <c r="F3402" t="s">
        <v>772</v>
      </c>
      <c r="G3402" t="s">
        <v>1010</v>
      </c>
      <c r="H3402" t="s">
        <v>32</v>
      </c>
      <c r="I3402" s="28" t="s">
        <v>24</v>
      </c>
    </row>
    <row r="3403" spans="1:9" x14ac:dyDescent="0.3">
      <c r="A3403" s="26">
        <v>45341</v>
      </c>
      <c r="B3403" t="s">
        <v>1006</v>
      </c>
      <c r="C3403" t="s">
        <v>874</v>
      </c>
      <c r="D3403">
        <v>0.3</v>
      </c>
      <c r="E3403" t="s">
        <v>7</v>
      </c>
      <c r="F3403" t="s">
        <v>772</v>
      </c>
      <c r="G3403" t="s">
        <v>2356</v>
      </c>
      <c r="H3403" t="s">
        <v>32</v>
      </c>
      <c r="I3403" s="28" t="s">
        <v>24</v>
      </c>
    </row>
    <row r="3404" spans="1:9" x14ac:dyDescent="0.3">
      <c r="A3404" s="26">
        <v>45341</v>
      </c>
      <c r="B3404" t="s">
        <v>1011</v>
      </c>
      <c r="C3404" t="s">
        <v>753</v>
      </c>
      <c r="D3404">
        <v>0.27</v>
      </c>
      <c r="E3404" t="s">
        <v>1013</v>
      </c>
      <c r="F3404" t="s">
        <v>754</v>
      </c>
      <c r="G3404" t="s">
        <v>3227</v>
      </c>
      <c r="H3404" t="s">
        <v>32</v>
      </c>
      <c r="I3404" s="28" t="s">
        <v>24</v>
      </c>
    </row>
    <row r="3405" spans="1:9" x14ac:dyDescent="0.3">
      <c r="A3405" s="26">
        <v>45341</v>
      </c>
      <c r="B3405" t="s">
        <v>1011</v>
      </c>
      <c r="C3405" t="s">
        <v>753</v>
      </c>
      <c r="D3405">
        <v>0.63</v>
      </c>
      <c r="E3405" t="s">
        <v>589</v>
      </c>
      <c r="F3405" t="s">
        <v>754</v>
      </c>
      <c r="G3405" t="s">
        <v>3228</v>
      </c>
      <c r="H3405" t="s">
        <v>32</v>
      </c>
      <c r="I3405" s="28" t="s">
        <v>24</v>
      </c>
    </row>
    <row r="3406" spans="1:9" x14ac:dyDescent="0.3">
      <c r="A3406" s="26">
        <v>45341</v>
      </c>
      <c r="B3406" t="s">
        <v>1011</v>
      </c>
      <c r="C3406" t="s">
        <v>753</v>
      </c>
      <c r="D3406">
        <v>0.65</v>
      </c>
      <c r="E3406" t="s">
        <v>589</v>
      </c>
      <c r="F3406" t="s">
        <v>754</v>
      </c>
      <c r="G3406" t="s">
        <v>3229</v>
      </c>
      <c r="H3406" t="s">
        <v>32</v>
      </c>
      <c r="I3406" s="28" t="s">
        <v>24</v>
      </c>
    </row>
    <row r="3407" spans="1:9" x14ac:dyDescent="0.3">
      <c r="A3407" s="26">
        <v>45341</v>
      </c>
      <c r="B3407" t="s">
        <v>1011</v>
      </c>
      <c r="C3407" t="s">
        <v>753</v>
      </c>
      <c r="D3407">
        <v>0.67</v>
      </c>
      <c r="E3407" t="s">
        <v>589</v>
      </c>
      <c r="F3407" t="s">
        <v>754</v>
      </c>
      <c r="G3407" t="s">
        <v>1012</v>
      </c>
      <c r="H3407" t="s">
        <v>32</v>
      </c>
      <c r="I3407" s="28" t="s">
        <v>24</v>
      </c>
    </row>
    <row r="3408" spans="1:9" x14ac:dyDescent="0.3">
      <c r="A3408" s="26">
        <v>45341</v>
      </c>
      <c r="B3408" t="s">
        <v>1011</v>
      </c>
      <c r="C3408" t="s">
        <v>753</v>
      </c>
      <c r="D3408">
        <v>1.05</v>
      </c>
      <c r="E3408" t="s">
        <v>1013</v>
      </c>
      <c r="F3408" t="s">
        <v>754</v>
      </c>
      <c r="H3408" t="s">
        <v>32</v>
      </c>
      <c r="I3408" s="28" t="s">
        <v>24</v>
      </c>
    </row>
    <row r="3409" spans="1:9" x14ac:dyDescent="0.3">
      <c r="A3409" s="26">
        <v>45341</v>
      </c>
      <c r="B3409" t="s">
        <v>1011</v>
      </c>
      <c r="C3409" t="s">
        <v>753</v>
      </c>
      <c r="D3409">
        <v>1.18</v>
      </c>
      <c r="E3409" t="s">
        <v>1013</v>
      </c>
      <c r="F3409" t="s">
        <v>754</v>
      </c>
      <c r="G3409" t="s">
        <v>3230</v>
      </c>
      <c r="H3409" t="s">
        <v>32</v>
      </c>
      <c r="I3409" s="28" t="s">
        <v>24</v>
      </c>
    </row>
    <row r="3410" spans="1:9" x14ac:dyDescent="0.3">
      <c r="A3410" s="26">
        <v>45341</v>
      </c>
      <c r="B3410" t="s">
        <v>1011</v>
      </c>
      <c r="C3410" t="s">
        <v>753</v>
      </c>
      <c r="D3410">
        <v>2.02</v>
      </c>
      <c r="E3410" t="s">
        <v>1013</v>
      </c>
      <c r="F3410" t="s">
        <v>754</v>
      </c>
      <c r="G3410" t="s">
        <v>1014</v>
      </c>
      <c r="H3410" t="s">
        <v>32</v>
      </c>
      <c r="I3410" s="28" t="s">
        <v>24</v>
      </c>
    </row>
    <row r="3411" spans="1:9" x14ac:dyDescent="0.3">
      <c r="A3411" s="26">
        <v>45341</v>
      </c>
      <c r="B3411" t="s">
        <v>1011</v>
      </c>
      <c r="C3411" t="s">
        <v>771</v>
      </c>
      <c r="D3411">
        <v>0.13</v>
      </c>
      <c r="E3411" t="s">
        <v>7</v>
      </c>
      <c r="F3411" t="s">
        <v>772</v>
      </c>
      <c r="G3411" t="s">
        <v>3231</v>
      </c>
      <c r="H3411" t="s">
        <v>32</v>
      </c>
      <c r="I3411" s="28" t="s">
        <v>24</v>
      </c>
    </row>
    <row r="3412" spans="1:9" x14ac:dyDescent="0.3">
      <c r="A3412" s="26">
        <v>45341</v>
      </c>
      <c r="B3412" t="s">
        <v>1011</v>
      </c>
      <c r="C3412" t="s">
        <v>771</v>
      </c>
      <c r="D3412">
        <v>0.27</v>
      </c>
      <c r="E3412" t="s">
        <v>7</v>
      </c>
      <c r="F3412" t="s">
        <v>772</v>
      </c>
      <c r="G3412" t="s">
        <v>3232</v>
      </c>
      <c r="H3412" t="s">
        <v>32</v>
      </c>
      <c r="I3412" s="28" t="s">
        <v>24</v>
      </c>
    </row>
    <row r="3413" spans="1:9" x14ac:dyDescent="0.3">
      <c r="A3413" s="26">
        <v>45341</v>
      </c>
      <c r="B3413" t="s">
        <v>1011</v>
      </c>
      <c r="C3413" t="s">
        <v>771</v>
      </c>
      <c r="D3413">
        <v>0.4</v>
      </c>
      <c r="E3413" t="s">
        <v>7</v>
      </c>
      <c r="F3413" t="s">
        <v>772</v>
      </c>
      <c r="G3413" t="s">
        <v>1012</v>
      </c>
      <c r="H3413" t="s">
        <v>32</v>
      </c>
      <c r="I3413" s="28" t="s">
        <v>24</v>
      </c>
    </row>
    <row r="3414" spans="1:9" x14ac:dyDescent="0.3">
      <c r="A3414" s="26">
        <v>45341</v>
      </c>
      <c r="B3414" t="s">
        <v>1020</v>
      </c>
      <c r="C3414" t="s">
        <v>753</v>
      </c>
      <c r="D3414">
        <v>0.45</v>
      </c>
      <c r="E3414" t="s">
        <v>964</v>
      </c>
      <c r="F3414" t="s">
        <v>754</v>
      </c>
      <c r="H3414" t="s">
        <v>32</v>
      </c>
      <c r="I3414" s="28" t="s">
        <v>24</v>
      </c>
    </row>
    <row r="3415" spans="1:9" x14ac:dyDescent="0.3">
      <c r="A3415" s="26">
        <v>45341</v>
      </c>
      <c r="B3415" t="s">
        <v>1020</v>
      </c>
      <c r="C3415" t="s">
        <v>753</v>
      </c>
      <c r="D3415">
        <v>6.32</v>
      </c>
      <c r="E3415" t="s">
        <v>11</v>
      </c>
      <c r="F3415" t="s">
        <v>754</v>
      </c>
      <c r="H3415" t="s">
        <v>32</v>
      </c>
      <c r="I3415" s="28" t="s">
        <v>24</v>
      </c>
    </row>
    <row r="3416" spans="1:9" x14ac:dyDescent="0.3">
      <c r="A3416" s="26">
        <v>45341</v>
      </c>
      <c r="B3416" t="s">
        <v>1020</v>
      </c>
      <c r="C3416" t="s">
        <v>771</v>
      </c>
      <c r="D3416">
        <v>0.18</v>
      </c>
      <c r="E3416" t="s">
        <v>7</v>
      </c>
      <c r="F3416" t="s">
        <v>772</v>
      </c>
      <c r="G3416" t="s">
        <v>1024</v>
      </c>
      <c r="H3416" t="s">
        <v>32</v>
      </c>
      <c r="I3416" s="28" t="s">
        <v>24</v>
      </c>
    </row>
    <row r="3417" spans="1:9" x14ac:dyDescent="0.3">
      <c r="A3417" s="26">
        <v>45341</v>
      </c>
      <c r="B3417" t="s">
        <v>1020</v>
      </c>
      <c r="C3417" t="s">
        <v>3233</v>
      </c>
      <c r="D3417">
        <v>0.43</v>
      </c>
      <c r="E3417" t="s">
        <v>583</v>
      </c>
      <c r="F3417" t="s">
        <v>772</v>
      </c>
      <c r="G3417" t="s">
        <v>3234</v>
      </c>
      <c r="H3417" t="s">
        <v>32</v>
      </c>
      <c r="I3417" s="28" t="s">
        <v>24</v>
      </c>
    </row>
    <row r="3418" spans="1:9" x14ac:dyDescent="0.3">
      <c r="A3418" s="26">
        <v>45341</v>
      </c>
      <c r="B3418" t="s">
        <v>1020</v>
      </c>
      <c r="C3418" t="s">
        <v>3233</v>
      </c>
      <c r="D3418">
        <v>1.43</v>
      </c>
      <c r="E3418" t="s">
        <v>583</v>
      </c>
      <c r="F3418" t="s">
        <v>772</v>
      </c>
      <c r="G3418" t="s">
        <v>3235</v>
      </c>
      <c r="H3418" t="s">
        <v>32</v>
      </c>
      <c r="I3418" s="28" t="s">
        <v>24</v>
      </c>
    </row>
    <row r="3419" spans="1:9" x14ac:dyDescent="0.3">
      <c r="A3419" s="26">
        <v>45341</v>
      </c>
      <c r="B3419" t="s">
        <v>1026</v>
      </c>
      <c r="C3419" t="s">
        <v>771</v>
      </c>
      <c r="D3419">
        <v>0.63</v>
      </c>
      <c r="E3419" t="s">
        <v>7</v>
      </c>
      <c r="F3419" t="s">
        <v>772</v>
      </c>
      <c r="G3419" t="s">
        <v>3236</v>
      </c>
      <c r="H3419" t="s">
        <v>32</v>
      </c>
      <c r="I3419" s="28" t="s">
        <v>24</v>
      </c>
    </row>
    <row r="3420" spans="1:9" x14ac:dyDescent="0.3">
      <c r="A3420" s="26">
        <v>45341</v>
      </c>
      <c r="B3420" t="s">
        <v>1026</v>
      </c>
      <c r="C3420" t="s">
        <v>771</v>
      </c>
      <c r="D3420">
        <v>0.65</v>
      </c>
      <c r="E3420" t="s">
        <v>7</v>
      </c>
      <c r="F3420" t="s">
        <v>772</v>
      </c>
      <c r="H3420" t="s">
        <v>32</v>
      </c>
      <c r="I3420" s="28" t="s">
        <v>24</v>
      </c>
    </row>
    <row r="3421" spans="1:9" x14ac:dyDescent="0.3">
      <c r="A3421" s="26">
        <v>45341</v>
      </c>
      <c r="B3421" t="s">
        <v>1026</v>
      </c>
      <c r="C3421" t="s">
        <v>771</v>
      </c>
      <c r="D3421">
        <v>2</v>
      </c>
      <c r="E3421" t="s">
        <v>7</v>
      </c>
      <c r="F3421" t="s">
        <v>772</v>
      </c>
      <c r="G3421" t="s">
        <v>3237</v>
      </c>
      <c r="H3421" t="s">
        <v>32</v>
      </c>
      <c r="I3421" s="28" t="s">
        <v>24</v>
      </c>
    </row>
    <row r="3422" spans="1:9" x14ac:dyDescent="0.3">
      <c r="A3422" s="26">
        <v>45341</v>
      </c>
      <c r="B3422" t="s">
        <v>1026</v>
      </c>
      <c r="C3422" t="s">
        <v>771</v>
      </c>
      <c r="D3422">
        <v>2.73</v>
      </c>
      <c r="E3422" t="s">
        <v>7</v>
      </c>
      <c r="F3422" t="s">
        <v>772</v>
      </c>
      <c r="G3422" t="s">
        <v>3238</v>
      </c>
      <c r="H3422" t="s">
        <v>32</v>
      </c>
      <c r="I3422" s="28" t="s">
        <v>24</v>
      </c>
    </row>
    <row r="3423" spans="1:9" x14ac:dyDescent="0.3">
      <c r="A3423" s="26">
        <v>45341</v>
      </c>
      <c r="B3423" t="s">
        <v>1026</v>
      </c>
      <c r="C3423" t="s">
        <v>834</v>
      </c>
      <c r="D3423">
        <v>1</v>
      </c>
      <c r="E3423" t="s">
        <v>7</v>
      </c>
      <c r="F3423" t="s">
        <v>772</v>
      </c>
      <c r="G3423" t="s">
        <v>3239</v>
      </c>
      <c r="H3423" t="s">
        <v>32</v>
      </c>
      <c r="I3423" s="28" t="s">
        <v>24</v>
      </c>
    </row>
    <row r="3424" spans="1:9" x14ac:dyDescent="0.3">
      <c r="A3424" s="26">
        <v>45341</v>
      </c>
      <c r="B3424" t="s">
        <v>1026</v>
      </c>
      <c r="C3424" t="s">
        <v>874</v>
      </c>
      <c r="D3424">
        <v>0.17</v>
      </c>
      <c r="E3424" t="s">
        <v>7</v>
      </c>
      <c r="F3424" t="s">
        <v>772</v>
      </c>
      <c r="G3424" t="s">
        <v>3240</v>
      </c>
      <c r="H3424" t="s">
        <v>32</v>
      </c>
      <c r="I3424" s="28" t="s">
        <v>24</v>
      </c>
    </row>
    <row r="3425" spans="1:9" x14ac:dyDescent="0.3">
      <c r="A3425" s="26">
        <v>45341</v>
      </c>
      <c r="B3425" t="s">
        <v>1026</v>
      </c>
      <c r="C3425" t="s">
        <v>874</v>
      </c>
      <c r="D3425">
        <v>1.25</v>
      </c>
      <c r="E3425" t="s">
        <v>7</v>
      </c>
      <c r="F3425" t="s">
        <v>772</v>
      </c>
      <c r="G3425" t="s">
        <v>3241</v>
      </c>
      <c r="H3425" t="s">
        <v>32</v>
      </c>
      <c r="I3425" s="28" t="s">
        <v>24</v>
      </c>
    </row>
    <row r="3426" spans="1:9" x14ac:dyDescent="0.3">
      <c r="A3426" s="26">
        <v>45341</v>
      </c>
      <c r="B3426" t="s">
        <v>1032</v>
      </c>
      <c r="C3426" t="s">
        <v>753</v>
      </c>
      <c r="D3426">
        <v>7.33</v>
      </c>
      <c r="E3426" t="s">
        <v>790</v>
      </c>
      <c r="F3426" t="s">
        <v>754</v>
      </c>
      <c r="H3426" t="s">
        <v>32</v>
      </c>
      <c r="I3426" s="28" t="s">
        <v>24</v>
      </c>
    </row>
    <row r="3427" spans="1:9" x14ac:dyDescent="0.3">
      <c r="A3427" s="26">
        <v>45341</v>
      </c>
      <c r="B3427" t="s">
        <v>1032</v>
      </c>
      <c r="C3427" t="s">
        <v>834</v>
      </c>
      <c r="D3427">
        <v>0.67</v>
      </c>
      <c r="E3427" t="s">
        <v>7</v>
      </c>
      <c r="F3427" t="s">
        <v>772</v>
      </c>
      <c r="G3427" t="s">
        <v>3242</v>
      </c>
      <c r="H3427" t="s">
        <v>32</v>
      </c>
      <c r="I3427" s="28" t="s">
        <v>24</v>
      </c>
    </row>
    <row r="3428" spans="1:9" x14ac:dyDescent="0.3">
      <c r="A3428" s="26">
        <v>45341</v>
      </c>
      <c r="B3428" t="s">
        <v>1034</v>
      </c>
      <c r="C3428" t="s">
        <v>753</v>
      </c>
      <c r="D3428">
        <v>0.13</v>
      </c>
      <c r="E3428" t="s">
        <v>564</v>
      </c>
      <c r="F3428" t="s">
        <v>754</v>
      </c>
      <c r="G3428" t="s">
        <v>3243</v>
      </c>
      <c r="H3428" t="s">
        <v>32</v>
      </c>
      <c r="I3428" s="28" t="s">
        <v>24</v>
      </c>
    </row>
    <row r="3429" spans="1:9" x14ac:dyDescent="0.3">
      <c r="A3429" s="26">
        <v>45341</v>
      </c>
      <c r="B3429" t="s">
        <v>1034</v>
      </c>
      <c r="C3429" t="s">
        <v>753</v>
      </c>
      <c r="D3429">
        <v>0.72</v>
      </c>
      <c r="E3429" t="s">
        <v>690</v>
      </c>
      <c r="F3429" t="s">
        <v>754</v>
      </c>
      <c r="G3429" t="s">
        <v>3244</v>
      </c>
      <c r="H3429" t="s">
        <v>32</v>
      </c>
      <c r="I3429" s="28" t="s">
        <v>24</v>
      </c>
    </row>
    <row r="3430" spans="1:9" x14ac:dyDescent="0.3">
      <c r="A3430" s="26">
        <v>45341</v>
      </c>
      <c r="B3430" t="s">
        <v>1034</v>
      </c>
      <c r="C3430" t="s">
        <v>753</v>
      </c>
      <c r="D3430">
        <v>0.9</v>
      </c>
      <c r="E3430" t="s">
        <v>564</v>
      </c>
      <c r="F3430" t="s">
        <v>754</v>
      </c>
      <c r="G3430" t="s">
        <v>3245</v>
      </c>
      <c r="H3430" t="s">
        <v>32</v>
      </c>
      <c r="I3430" s="28" t="s">
        <v>24</v>
      </c>
    </row>
    <row r="3431" spans="1:9" x14ac:dyDescent="0.3">
      <c r="A3431" s="26">
        <v>45341</v>
      </c>
      <c r="B3431" t="s">
        <v>1034</v>
      </c>
      <c r="C3431" t="s">
        <v>753</v>
      </c>
      <c r="D3431">
        <v>1.1000000000000001</v>
      </c>
      <c r="E3431" t="s">
        <v>170</v>
      </c>
      <c r="F3431" t="s">
        <v>754</v>
      </c>
      <c r="G3431" t="s">
        <v>3246</v>
      </c>
      <c r="H3431" t="s">
        <v>32</v>
      </c>
      <c r="I3431" s="28" t="s">
        <v>24</v>
      </c>
    </row>
    <row r="3432" spans="1:9" x14ac:dyDescent="0.3">
      <c r="A3432" s="26">
        <v>45341</v>
      </c>
      <c r="B3432" t="s">
        <v>1034</v>
      </c>
      <c r="C3432" t="s">
        <v>771</v>
      </c>
      <c r="D3432">
        <v>0.28000000000000003</v>
      </c>
      <c r="E3432" t="s">
        <v>7</v>
      </c>
      <c r="F3432" t="s">
        <v>772</v>
      </c>
      <c r="G3432" t="s">
        <v>3247</v>
      </c>
      <c r="H3432" t="s">
        <v>32</v>
      </c>
      <c r="I3432" s="28" t="s">
        <v>24</v>
      </c>
    </row>
    <row r="3433" spans="1:9" x14ac:dyDescent="0.3">
      <c r="A3433" s="26">
        <v>45341</v>
      </c>
      <c r="B3433" t="s">
        <v>1034</v>
      </c>
      <c r="C3433" t="s">
        <v>771</v>
      </c>
      <c r="D3433">
        <v>0.45</v>
      </c>
      <c r="E3433" t="s">
        <v>7</v>
      </c>
      <c r="F3433" t="s">
        <v>772</v>
      </c>
      <c r="G3433" t="s">
        <v>3248</v>
      </c>
      <c r="H3433" t="s">
        <v>32</v>
      </c>
      <c r="I3433" s="28" t="s">
        <v>24</v>
      </c>
    </row>
    <row r="3434" spans="1:9" x14ac:dyDescent="0.3">
      <c r="A3434" s="26">
        <v>45341</v>
      </c>
      <c r="B3434" t="s">
        <v>1034</v>
      </c>
      <c r="C3434" t="s">
        <v>771</v>
      </c>
      <c r="D3434">
        <v>0.5</v>
      </c>
      <c r="E3434" t="s">
        <v>7</v>
      </c>
      <c r="F3434" t="s">
        <v>772</v>
      </c>
      <c r="G3434" t="s">
        <v>820</v>
      </c>
      <c r="H3434" t="s">
        <v>32</v>
      </c>
      <c r="I3434" s="28" t="s">
        <v>24</v>
      </c>
    </row>
    <row r="3435" spans="1:9" x14ac:dyDescent="0.3">
      <c r="A3435" s="26">
        <v>45341</v>
      </c>
      <c r="B3435" t="s">
        <v>1034</v>
      </c>
      <c r="C3435" t="s">
        <v>916</v>
      </c>
      <c r="D3435">
        <v>0.52</v>
      </c>
      <c r="E3435" t="s">
        <v>234</v>
      </c>
      <c r="F3435" t="s">
        <v>754</v>
      </c>
      <c r="G3435" t="s">
        <v>3249</v>
      </c>
      <c r="H3435" t="s">
        <v>32</v>
      </c>
      <c r="I3435" s="28" t="s">
        <v>24</v>
      </c>
    </row>
    <row r="3436" spans="1:9" x14ac:dyDescent="0.3">
      <c r="A3436" s="26">
        <v>45341</v>
      </c>
      <c r="B3436" t="s">
        <v>1034</v>
      </c>
      <c r="C3436" t="s">
        <v>834</v>
      </c>
      <c r="D3436">
        <v>0.82</v>
      </c>
      <c r="E3436" t="s">
        <v>7</v>
      </c>
      <c r="F3436" t="s">
        <v>772</v>
      </c>
      <c r="G3436" t="s">
        <v>3250</v>
      </c>
      <c r="H3436" t="s">
        <v>32</v>
      </c>
      <c r="I3436" s="28" t="s">
        <v>24</v>
      </c>
    </row>
    <row r="3437" spans="1:9" x14ac:dyDescent="0.3">
      <c r="A3437" s="26">
        <v>45341</v>
      </c>
      <c r="B3437" t="s">
        <v>1034</v>
      </c>
      <c r="C3437" t="s">
        <v>874</v>
      </c>
      <c r="D3437">
        <v>7.0000000000000007E-2</v>
      </c>
      <c r="E3437" t="s">
        <v>7</v>
      </c>
      <c r="F3437" t="s">
        <v>772</v>
      </c>
      <c r="G3437" t="s">
        <v>3251</v>
      </c>
      <c r="H3437" t="s">
        <v>32</v>
      </c>
      <c r="I3437" s="28" t="s">
        <v>24</v>
      </c>
    </row>
    <row r="3438" spans="1:9" x14ac:dyDescent="0.3">
      <c r="A3438" s="26">
        <v>45341</v>
      </c>
      <c r="B3438" t="s">
        <v>1034</v>
      </c>
      <c r="C3438" t="s">
        <v>874</v>
      </c>
      <c r="D3438">
        <v>0.17</v>
      </c>
      <c r="E3438" t="s">
        <v>7</v>
      </c>
      <c r="F3438" t="s">
        <v>772</v>
      </c>
      <c r="G3438" t="s">
        <v>3252</v>
      </c>
      <c r="H3438" t="s">
        <v>32</v>
      </c>
      <c r="I3438" s="28" t="s">
        <v>24</v>
      </c>
    </row>
    <row r="3439" spans="1:9" x14ac:dyDescent="0.3">
      <c r="A3439" s="26">
        <v>45341</v>
      </c>
      <c r="B3439" t="s">
        <v>1034</v>
      </c>
      <c r="C3439" t="s">
        <v>776</v>
      </c>
      <c r="D3439">
        <v>7.0000000000000007E-2</v>
      </c>
      <c r="E3439" t="s">
        <v>288</v>
      </c>
      <c r="F3439" t="s">
        <v>754</v>
      </c>
      <c r="G3439" t="s">
        <v>3253</v>
      </c>
      <c r="H3439" t="s">
        <v>32</v>
      </c>
      <c r="I3439" s="28" t="s">
        <v>24</v>
      </c>
    </row>
    <row r="3440" spans="1:9" x14ac:dyDescent="0.3">
      <c r="A3440" s="26">
        <v>45341</v>
      </c>
      <c r="B3440" t="s">
        <v>1034</v>
      </c>
      <c r="C3440" t="s">
        <v>776</v>
      </c>
      <c r="D3440">
        <v>0.37</v>
      </c>
      <c r="E3440" t="s">
        <v>790</v>
      </c>
      <c r="F3440" t="s">
        <v>754</v>
      </c>
      <c r="G3440" t="s">
        <v>3087</v>
      </c>
      <c r="H3440" t="s">
        <v>32</v>
      </c>
      <c r="I3440" s="28" t="s">
        <v>24</v>
      </c>
    </row>
    <row r="3441" spans="1:9" x14ac:dyDescent="0.3">
      <c r="A3441" s="26">
        <v>45341</v>
      </c>
      <c r="B3441" t="s">
        <v>1034</v>
      </c>
      <c r="C3441" t="s">
        <v>776</v>
      </c>
      <c r="D3441">
        <v>0.42</v>
      </c>
      <c r="E3441" t="s">
        <v>151</v>
      </c>
      <c r="F3441" t="s">
        <v>754</v>
      </c>
      <c r="G3441" t="s">
        <v>3254</v>
      </c>
      <c r="H3441" t="s">
        <v>32</v>
      </c>
      <c r="I3441" s="28" t="s">
        <v>24</v>
      </c>
    </row>
    <row r="3442" spans="1:9" x14ac:dyDescent="0.3">
      <c r="A3442" s="26">
        <v>45341</v>
      </c>
      <c r="B3442" t="s">
        <v>1034</v>
      </c>
      <c r="C3442" t="s">
        <v>776</v>
      </c>
      <c r="D3442">
        <v>0.45</v>
      </c>
      <c r="E3442" t="s">
        <v>790</v>
      </c>
      <c r="F3442" t="s">
        <v>754</v>
      </c>
      <c r="G3442" t="s">
        <v>3255</v>
      </c>
      <c r="H3442" t="s">
        <v>32</v>
      </c>
      <c r="I3442" s="28" t="s">
        <v>24</v>
      </c>
    </row>
    <row r="3443" spans="1:9" x14ac:dyDescent="0.3">
      <c r="A3443" s="26">
        <v>45341</v>
      </c>
      <c r="B3443" t="s">
        <v>1034</v>
      </c>
      <c r="C3443" t="s">
        <v>776</v>
      </c>
      <c r="D3443">
        <v>0.47</v>
      </c>
      <c r="E3443" t="s">
        <v>657</v>
      </c>
      <c r="F3443" t="s">
        <v>754</v>
      </c>
      <c r="G3443" t="s">
        <v>1042</v>
      </c>
      <c r="H3443" t="s">
        <v>32</v>
      </c>
      <c r="I3443" s="28" t="s">
        <v>24</v>
      </c>
    </row>
    <row r="3444" spans="1:9" x14ac:dyDescent="0.3">
      <c r="A3444" s="26">
        <v>45341</v>
      </c>
      <c r="B3444" t="s">
        <v>1034</v>
      </c>
      <c r="C3444" t="s">
        <v>776</v>
      </c>
      <c r="D3444">
        <v>0.67</v>
      </c>
      <c r="E3444" t="s">
        <v>879</v>
      </c>
      <c r="F3444" t="s">
        <v>754</v>
      </c>
      <c r="G3444" t="s">
        <v>3256</v>
      </c>
      <c r="H3444" t="s">
        <v>32</v>
      </c>
      <c r="I3444" s="28" t="s">
        <v>24</v>
      </c>
    </row>
    <row r="3445" spans="1:9" x14ac:dyDescent="0.3">
      <c r="A3445" s="26">
        <v>45341</v>
      </c>
      <c r="B3445" t="s">
        <v>1049</v>
      </c>
      <c r="C3445" t="s">
        <v>753</v>
      </c>
      <c r="D3445">
        <v>0.08</v>
      </c>
      <c r="E3445" t="s">
        <v>944</v>
      </c>
      <c r="F3445" t="s">
        <v>754</v>
      </c>
      <c r="G3445" t="s">
        <v>3257</v>
      </c>
      <c r="H3445" t="s">
        <v>32</v>
      </c>
      <c r="I3445" s="28" t="s">
        <v>24</v>
      </c>
    </row>
    <row r="3446" spans="1:9" x14ac:dyDescent="0.3">
      <c r="A3446" s="26">
        <v>45341</v>
      </c>
      <c r="B3446" t="s">
        <v>1049</v>
      </c>
      <c r="C3446" t="s">
        <v>753</v>
      </c>
      <c r="D3446">
        <v>0.82</v>
      </c>
      <c r="E3446" t="s">
        <v>316</v>
      </c>
      <c r="F3446" t="s">
        <v>754</v>
      </c>
      <c r="G3446" t="s">
        <v>3258</v>
      </c>
      <c r="H3446" t="s">
        <v>32</v>
      </c>
      <c r="I3446" s="28" t="s">
        <v>24</v>
      </c>
    </row>
    <row r="3447" spans="1:9" x14ac:dyDescent="0.3">
      <c r="A3447" s="26">
        <v>45341</v>
      </c>
      <c r="B3447" t="s">
        <v>1049</v>
      </c>
      <c r="C3447" t="s">
        <v>753</v>
      </c>
      <c r="D3447">
        <v>0.85</v>
      </c>
      <c r="E3447" t="s">
        <v>10</v>
      </c>
      <c r="F3447" t="s">
        <v>754</v>
      </c>
      <c r="G3447" t="s">
        <v>3259</v>
      </c>
      <c r="H3447" t="s">
        <v>32</v>
      </c>
      <c r="I3447" s="28" t="s">
        <v>24</v>
      </c>
    </row>
    <row r="3448" spans="1:9" x14ac:dyDescent="0.3">
      <c r="A3448" s="26">
        <v>45341</v>
      </c>
      <c r="B3448" t="s">
        <v>1049</v>
      </c>
      <c r="C3448" t="s">
        <v>753</v>
      </c>
      <c r="D3448">
        <v>1.53</v>
      </c>
      <c r="E3448" t="s">
        <v>964</v>
      </c>
      <c r="F3448" t="s">
        <v>754</v>
      </c>
      <c r="G3448" t="s">
        <v>1707</v>
      </c>
      <c r="H3448" t="s">
        <v>32</v>
      </c>
      <c r="I3448" s="28" t="s">
        <v>24</v>
      </c>
    </row>
    <row r="3449" spans="1:9" x14ac:dyDescent="0.3">
      <c r="A3449" s="26">
        <v>45341</v>
      </c>
      <c r="B3449" t="s">
        <v>1049</v>
      </c>
      <c r="C3449" t="s">
        <v>753</v>
      </c>
      <c r="D3449">
        <v>1.7</v>
      </c>
      <c r="E3449" t="s">
        <v>964</v>
      </c>
      <c r="F3449" t="s">
        <v>754</v>
      </c>
      <c r="G3449" t="s">
        <v>3260</v>
      </c>
      <c r="H3449" t="s">
        <v>32</v>
      </c>
      <c r="I3449" s="28" t="s">
        <v>24</v>
      </c>
    </row>
    <row r="3450" spans="1:9" x14ac:dyDescent="0.3">
      <c r="A3450" s="26">
        <v>45341</v>
      </c>
      <c r="B3450" t="s">
        <v>1049</v>
      </c>
      <c r="C3450" t="s">
        <v>753</v>
      </c>
      <c r="D3450">
        <v>2.1</v>
      </c>
      <c r="E3450" t="s">
        <v>964</v>
      </c>
      <c r="F3450" t="s">
        <v>754</v>
      </c>
      <c r="G3450" t="s">
        <v>3261</v>
      </c>
      <c r="H3450" t="s">
        <v>32</v>
      </c>
      <c r="I3450" s="28" t="s">
        <v>24</v>
      </c>
    </row>
    <row r="3451" spans="1:9" x14ac:dyDescent="0.3">
      <c r="A3451" s="26">
        <v>45341</v>
      </c>
      <c r="B3451" t="s">
        <v>1049</v>
      </c>
      <c r="C3451" t="s">
        <v>771</v>
      </c>
      <c r="D3451">
        <v>0.5</v>
      </c>
      <c r="E3451" t="s">
        <v>7</v>
      </c>
      <c r="F3451" t="s">
        <v>772</v>
      </c>
      <c r="G3451" t="s">
        <v>1058</v>
      </c>
      <c r="H3451" t="s">
        <v>32</v>
      </c>
      <c r="I3451" s="28" t="s">
        <v>24</v>
      </c>
    </row>
    <row r="3452" spans="1:9" x14ac:dyDescent="0.3">
      <c r="A3452" s="26">
        <v>45341</v>
      </c>
      <c r="B3452" t="s">
        <v>1049</v>
      </c>
      <c r="C3452" t="s">
        <v>834</v>
      </c>
      <c r="D3452">
        <v>0.77</v>
      </c>
      <c r="E3452" t="s">
        <v>7</v>
      </c>
      <c r="F3452" t="s">
        <v>772</v>
      </c>
      <c r="G3452" t="s">
        <v>3262</v>
      </c>
      <c r="H3452" t="s">
        <v>32</v>
      </c>
      <c r="I3452" s="28" t="s">
        <v>24</v>
      </c>
    </row>
    <row r="3453" spans="1:9" x14ac:dyDescent="0.3">
      <c r="A3453" s="26">
        <v>45341</v>
      </c>
      <c r="B3453" t="s">
        <v>1060</v>
      </c>
      <c r="C3453" t="s">
        <v>909</v>
      </c>
      <c r="D3453">
        <v>0.33</v>
      </c>
      <c r="E3453" t="s">
        <v>563</v>
      </c>
      <c r="F3453" t="s">
        <v>754</v>
      </c>
      <c r="G3453" t="s">
        <v>3263</v>
      </c>
      <c r="H3453" t="s">
        <v>32</v>
      </c>
      <c r="I3453" s="28" t="s">
        <v>24</v>
      </c>
    </row>
    <row r="3454" spans="1:9" x14ac:dyDescent="0.3">
      <c r="A3454" s="26">
        <v>45341</v>
      </c>
      <c r="B3454" t="s">
        <v>1060</v>
      </c>
      <c r="C3454" t="s">
        <v>909</v>
      </c>
      <c r="D3454">
        <v>0.5</v>
      </c>
      <c r="E3454" t="s">
        <v>717</v>
      </c>
      <c r="F3454" t="s">
        <v>754</v>
      </c>
      <c r="G3454" t="s">
        <v>3264</v>
      </c>
      <c r="H3454" t="s">
        <v>32</v>
      </c>
      <c r="I3454" s="28" t="s">
        <v>24</v>
      </c>
    </row>
    <row r="3455" spans="1:9" x14ac:dyDescent="0.3">
      <c r="A3455" s="26">
        <v>45341</v>
      </c>
      <c r="B3455" t="s">
        <v>1060</v>
      </c>
      <c r="C3455" t="s">
        <v>771</v>
      </c>
      <c r="D3455">
        <v>0.5</v>
      </c>
      <c r="E3455" t="s">
        <v>7</v>
      </c>
      <c r="F3455" t="s">
        <v>772</v>
      </c>
      <c r="G3455" t="s">
        <v>3265</v>
      </c>
      <c r="H3455" t="s">
        <v>32</v>
      </c>
      <c r="I3455" s="28" t="s">
        <v>24</v>
      </c>
    </row>
    <row r="3456" spans="1:9" x14ac:dyDescent="0.3">
      <c r="A3456" s="26">
        <v>45341</v>
      </c>
      <c r="B3456" t="s">
        <v>1060</v>
      </c>
      <c r="C3456" t="s">
        <v>1441</v>
      </c>
      <c r="D3456">
        <v>0.17</v>
      </c>
      <c r="E3456" t="s">
        <v>507</v>
      </c>
      <c r="F3456" t="s">
        <v>754</v>
      </c>
      <c r="G3456" t="s">
        <v>1927</v>
      </c>
      <c r="H3456" t="s">
        <v>32</v>
      </c>
      <c r="I3456" s="28" t="s">
        <v>24</v>
      </c>
    </row>
    <row r="3457" spans="1:9" x14ac:dyDescent="0.3">
      <c r="A3457" s="26">
        <v>45341</v>
      </c>
      <c r="B3457" t="s">
        <v>1060</v>
      </c>
      <c r="C3457" t="s">
        <v>1441</v>
      </c>
      <c r="D3457">
        <v>0.17</v>
      </c>
      <c r="E3457" t="s">
        <v>10</v>
      </c>
      <c r="F3457" t="s">
        <v>754</v>
      </c>
      <c r="G3457" t="s">
        <v>1927</v>
      </c>
      <c r="H3457" t="s">
        <v>32</v>
      </c>
      <c r="I3457" s="28" t="s">
        <v>24</v>
      </c>
    </row>
    <row r="3458" spans="1:9" x14ac:dyDescent="0.3">
      <c r="A3458" s="26">
        <v>45341</v>
      </c>
      <c r="B3458" t="s">
        <v>1060</v>
      </c>
      <c r="C3458" t="s">
        <v>1441</v>
      </c>
      <c r="D3458">
        <v>0.17</v>
      </c>
      <c r="E3458" t="s">
        <v>553</v>
      </c>
      <c r="F3458" t="s">
        <v>754</v>
      </c>
      <c r="G3458" t="s">
        <v>1927</v>
      </c>
      <c r="H3458" t="s">
        <v>32</v>
      </c>
      <c r="I3458" s="28" t="s">
        <v>24</v>
      </c>
    </row>
    <row r="3459" spans="1:9" x14ac:dyDescent="0.3">
      <c r="A3459" s="26">
        <v>45341</v>
      </c>
      <c r="B3459" t="s">
        <v>1060</v>
      </c>
      <c r="C3459" t="s">
        <v>1441</v>
      </c>
      <c r="D3459">
        <v>0.17</v>
      </c>
      <c r="E3459" t="s">
        <v>628</v>
      </c>
      <c r="F3459" t="s">
        <v>754</v>
      </c>
      <c r="G3459" t="s">
        <v>1927</v>
      </c>
      <c r="H3459" t="s">
        <v>32</v>
      </c>
      <c r="I3459" s="28" t="s">
        <v>24</v>
      </c>
    </row>
    <row r="3460" spans="1:9" x14ac:dyDescent="0.3">
      <c r="A3460" s="26">
        <v>45341</v>
      </c>
      <c r="B3460" t="s">
        <v>1060</v>
      </c>
      <c r="C3460" t="s">
        <v>916</v>
      </c>
      <c r="D3460">
        <v>0.33</v>
      </c>
      <c r="E3460" t="s">
        <v>715</v>
      </c>
      <c r="F3460" t="s">
        <v>754</v>
      </c>
      <c r="G3460" t="s">
        <v>1071</v>
      </c>
      <c r="H3460" t="s">
        <v>32</v>
      </c>
      <c r="I3460" s="28" t="s">
        <v>24</v>
      </c>
    </row>
    <row r="3461" spans="1:9" x14ac:dyDescent="0.3">
      <c r="A3461" s="26">
        <v>45341</v>
      </c>
      <c r="B3461" t="s">
        <v>1060</v>
      </c>
      <c r="C3461" t="s">
        <v>916</v>
      </c>
      <c r="D3461">
        <v>0.33</v>
      </c>
      <c r="E3461" t="s">
        <v>713</v>
      </c>
      <c r="F3461" t="s">
        <v>754</v>
      </c>
      <c r="G3461" t="s">
        <v>1071</v>
      </c>
      <c r="H3461" t="s">
        <v>32</v>
      </c>
      <c r="I3461" s="28" t="s">
        <v>24</v>
      </c>
    </row>
    <row r="3462" spans="1:9" x14ac:dyDescent="0.3">
      <c r="A3462" s="26">
        <v>45341</v>
      </c>
      <c r="B3462" t="s">
        <v>1060</v>
      </c>
      <c r="C3462" t="s">
        <v>916</v>
      </c>
      <c r="D3462">
        <v>0.33</v>
      </c>
      <c r="E3462" t="s">
        <v>857</v>
      </c>
      <c r="F3462" t="s">
        <v>754</v>
      </c>
      <c r="G3462" t="s">
        <v>3266</v>
      </c>
      <c r="H3462" t="s">
        <v>32</v>
      </c>
      <c r="I3462" s="28" t="s">
        <v>24</v>
      </c>
    </row>
    <row r="3463" spans="1:9" x14ac:dyDescent="0.3">
      <c r="A3463" s="26">
        <v>45341</v>
      </c>
      <c r="B3463" t="s">
        <v>1060</v>
      </c>
      <c r="C3463" t="s">
        <v>916</v>
      </c>
      <c r="D3463">
        <v>0.33</v>
      </c>
      <c r="E3463" t="s">
        <v>316</v>
      </c>
      <c r="F3463" t="s">
        <v>754</v>
      </c>
      <c r="G3463" t="s">
        <v>3266</v>
      </c>
      <c r="H3463" t="s">
        <v>32</v>
      </c>
      <c r="I3463" s="28" t="s">
        <v>24</v>
      </c>
    </row>
    <row r="3464" spans="1:9" x14ac:dyDescent="0.3">
      <c r="A3464" s="26">
        <v>45341</v>
      </c>
      <c r="B3464" t="s">
        <v>1060</v>
      </c>
      <c r="C3464" t="s">
        <v>916</v>
      </c>
      <c r="D3464">
        <v>0.33</v>
      </c>
      <c r="E3464" t="s">
        <v>717</v>
      </c>
      <c r="F3464" t="s">
        <v>754</v>
      </c>
      <c r="G3464" t="s">
        <v>1071</v>
      </c>
      <c r="H3464" t="s">
        <v>32</v>
      </c>
      <c r="I3464" s="28" t="s">
        <v>24</v>
      </c>
    </row>
    <row r="3465" spans="1:9" x14ac:dyDescent="0.3">
      <c r="A3465" s="26">
        <v>45341</v>
      </c>
      <c r="B3465" t="s">
        <v>1060</v>
      </c>
      <c r="C3465" t="s">
        <v>916</v>
      </c>
      <c r="D3465">
        <v>0.33</v>
      </c>
      <c r="E3465" t="s">
        <v>623</v>
      </c>
      <c r="F3465" t="s">
        <v>754</v>
      </c>
      <c r="G3465" t="s">
        <v>1071</v>
      </c>
      <c r="H3465" t="s">
        <v>32</v>
      </c>
      <c r="I3465" s="28" t="s">
        <v>24</v>
      </c>
    </row>
    <row r="3466" spans="1:9" x14ac:dyDescent="0.3">
      <c r="A3466" s="26">
        <v>45341</v>
      </c>
      <c r="B3466" t="s">
        <v>1060</v>
      </c>
      <c r="C3466" t="s">
        <v>916</v>
      </c>
      <c r="D3466">
        <v>0.33</v>
      </c>
      <c r="E3466" t="s">
        <v>630</v>
      </c>
      <c r="F3466" t="s">
        <v>754</v>
      </c>
      <c r="G3466" t="s">
        <v>1071</v>
      </c>
      <c r="H3466" t="s">
        <v>32</v>
      </c>
      <c r="I3466" s="28" t="s">
        <v>24</v>
      </c>
    </row>
    <row r="3467" spans="1:9" x14ac:dyDescent="0.3">
      <c r="A3467" s="26">
        <v>45341</v>
      </c>
      <c r="B3467" t="s">
        <v>1060</v>
      </c>
      <c r="C3467" t="s">
        <v>834</v>
      </c>
      <c r="D3467">
        <v>1</v>
      </c>
      <c r="E3467" t="s">
        <v>7</v>
      </c>
      <c r="F3467" t="s">
        <v>772</v>
      </c>
      <c r="G3467" t="s">
        <v>3250</v>
      </c>
      <c r="H3467" t="s">
        <v>32</v>
      </c>
      <c r="I3467" s="28" t="s">
        <v>24</v>
      </c>
    </row>
    <row r="3468" spans="1:9" x14ac:dyDescent="0.3">
      <c r="A3468" s="26">
        <v>45341</v>
      </c>
      <c r="B3468" t="s">
        <v>1060</v>
      </c>
      <c r="C3468" t="s">
        <v>874</v>
      </c>
      <c r="D3468">
        <v>0.5</v>
      </c>
      <c r="E3468" t="s">
        <v>7</v>
      </c>
      <c r="F3468" t="s">
        <v>772</v>
      </c>
      <c r="G3468" t="s">
        <v>3267</v>
      </c>
      <c r="H3468" t="s">
        <v>32</v>
      </c>
      <c r="I3468" s="28" t="s">
        <v>24</v>
      </c>
    </row>
    <row r="3469" spans="1:9" x14ac:dyDescent="0.3">
      <c r="A3469" s="26">
        <v>45341</v>
      </c>
      <c r="B3469" t="s">
        <v>1060</v>
      </c>
      <c r="C3469" t="s">
        <v>874</v>
      </c>
      <c r="D3469">
        <v>0.5</v>
      </c>
      <c r="E3469" t="s">
        <v>7</v>
      </c>
      <c r="F3469" t="s">
        <v>772</v>
      </c>
      <c r="G3469" t="s">
        <v>2571</v>
      </c>
      <c r="H3469" t="s">
        <v>32</v>
      </c>
      <c r="I3469" s="28" t="s">
        <v>24</v>
      </c>
    </row>
    <row r="3470" spans="1:9" x14ac:dyDescent="0.3">
      <c r="A3470" s="26">
        <v>45341</v>
      </c>
      <c r="B3470" t="s">
        <v>1060</v>
      </c>
      <c r="C3470" t="s">
        <v>874</v>
      </c>
      <c r="D3470">
        <v>0.5</v>
      </c>
      <c r="E3470" t="s">
        <v>7</v>
      </c>
      <c r="F3470" t="s">
        <v>772</v>
      </c>
      <c r="G3470" t="s">
        <v>1492</v>
      </c>
      <c r="H3470" t="s">
        <v>32</v>
      </c>
      <c r="I3470" s="28" t="s">
        <v>24</v>
      </c>
    </row>
    <row r="3471" spans="1:9" x14ac:dyDescent="0.3">
      <c r="A3471" s="26">
        <v>45341</v>
      </c>
      <c r="B3471" t="s">
        <v>1060</v>
      </c>
      <c r="C3471" t="s">
        <v>784</v>
      </c>
      <c r="D3471">
        <v>1</v>
      </c>
      <c r="E3471" t="s">
        <v>7</v>
      </c>
      <c r="F3471" t="s">
        <v>772</v>
      </c>
      <c r="H3471" t="s">
        <v>32</v>
      </c>
      <c r="I3471" s="28" t="s">
        <v>24</v>
      </c>
    </row>
    <row r="3472" spans="1:9" x14ac:dyDescent="0.3">
      <c r="A3472" s="26">
        <v>45341</v>
      </c>
      <c r="B3472" t="s">
        <v>2945</v>
      </c>
      <c r="C3472" t="s">
        <v>771</v>
      </c>
      <c r="D3472">
        <v>0.33</v>
      </c>
      <c r="E3472" t="s">
        <v>7</v>
      </c>
      <c r="F3472" t="s">
        <v>772</v>
      </c>
      <c r="G3472" t="s">
        <v>3268</v>
      </c>
      <c r="H3472" t="s">
        <v>32</v>
      </c>
      <c r="I3472" s="28" t="s">
        <v>24</v>
      </c>
    </row>
    <row r="3473" spans="1:9" x14ac:dyDescent="0.3">
      <c r="A3473" s="26">
        <v>45341</v>
      </c>
      <c r="B3473" t="s">
        <v>2945</v>
      </c>
      <c r="C3473" t="s">
        <v>771</v>
      </c>
      <c r="D3473">
        <v>7.92</v>
      </c>
      <c r="E3473" t="s">
        <v>7</v>
      </c>
      <c r="F3473" t="s">
        <v>772</v>
      </c>
      <c r="G3473" t="s">
        <v>3269</v>
      </c>
      <c r="H3473" t="s">
        <v>32</v>
      </c>
      <c r="I3473" s="28" t="s">
        <v>24</v>
      </c>
    </row>
    <row r="3474" spans="1:9" x14ac:dyDescent="0.3">
      <c r="A3474" s="26">
        <v>45341</v>
      </c>
      <c r="B3474" t="s">
        <v>1074</v>
      </c>
      <c r="C3474" t="s">
        <v>753</v>
      </c>
      <c r="D3474">
        <v>0.7</v>
      </c>
      <c r="E3474" t="s">
        <v>964</v>
      </c>
      <c r="F3474" t="s">
        <v>754</v>
      </c>
      <c r="G3474" t="s">
        <v>3270</v>
      </c>
      <c r="H3474" t="s">
        <v>32</v>
      </c>
      <c r="I3474" s="28" t="s">
        <v>24</v>
      </c>
    </row>
    <row r="3475" spans="1:9" x14ac:dyDescent="0.3">
      <c r="A3475" s="26">
        <v>45341</v>
      </c>
      <c r="B3475" t="s">
        <v>1074</v>
      </c>
      <c r="C3475" t="s">
        <v>753</v>
      </c>
      <c r="D3475">
        <v>0.9</v>
      </c>
      <c r="E3475" t="s">
        <v>964</v>
      </c>
      <c r="F3475" t="s">
        <v>754</v>
      </c>
      <c r="G3475" t="s">
        <v>3271</v>
      </c>
      <c r="H3475" t="s">
        <v>32</v>
      </c>
      <c r="I3475" s="28" t="s">
        <v>24</v>
      </c>
    </row>
    <row r="3476" spans="1:9" x14ac:dyDescent="0.3">
      <c r="A3476" s="26">
        <v>45341</v>
      </c>
      <c r="B3476" t="s">
        <v>1074</v>
      </c>
      <c r="C3476" t="s">
        <v>753</v>
      </c>
      <c r="D3476">
        <v>2</v>
      </c>
      <c r="E3476" t="s">
        <v>964</v>
      </c>
      <c r="F3476" t="s">
        <v>754</v>
      </c>
      <c r="G3476" t="s">
        <v>3272</v>
      </c>
      <c r="H3476" t="s">
        <v>32</v>
      </c>
      <c r="I3476" s="28" t="s">
        <v>24</v>
      </c>
    </row>
    <row r="3477" spans="1:9" x14ac:dyDescent="0.3">
      <c r="A3477" s="26">
        <v>45341</v>
      </c>
      <c r="B3477" t="s">
        <v>1074</v>
      </c>
      <c r="C3477" t="s">
        <v>909</v>
      </c>
      <c r="D3477">
        <v>0.2</v>
      </c>
      <c r="E3477" t="s">
        <v>885</v>
      </c>
      <c r="F3477" t="s">
        <v>754</v>
      </c>
      <c r="G3477" t="s">
        <v>3273</v>
      </c>
      <c r="H3477" t="s">
        <v>32</v>
      </c>
      <c r="I3477" s="28" t="s">
        <v>24</v>
      </c>
    </row>
    <row r="3478" spans="1:9" x14ac:dyDescent="0.3">
      <c r="A3478" s="26">
        <v>45341</v>
      </c>
      <c r="B3478" t="s">
        <v>1074</v>
      </c>
      <c r="C3478" t="s">
        <v>909</v>
      </c>
      <c r="D3478">
        <v>0.8</v>
      </c>
      <c r="E3478" t="s">
        <v>964</v>
      </c>
      <c r="F3478" t="s">
        <v>754</v>
      </c>
      <c r="G3478" t="s">
        <v>3274</v>
      </c>
      <c r="H3478" t="s">
        <v>32</v>
      </c>
      <c r="I3478" s="28" t="s">
        <v>24</v>
      </c>
    </row>
    <row r="3479" spans="1:9" x14ac:dyDescent="0.3">
      <c r="A3479" s="26">
        <v>45341</v>
      </c>
      <c r="B3479" t="s">
        <v>1074</v>
      </c>
      <c r="C3479" t="s">
        <v>789</v>
      </c>
      <c r="D3479">
        <v>0.8</v>
      </c>
      <c r="E3479" t="s">
        <v>964</v>
      </c>
      <c r="F3479" t="s">
        <v>754</v>
      </c>
      <c r="G3479" t="s">
        <v>3275</v>
      </c>
      <c r="H3479" t="s">
        <v>32</v>
      </c>
      <c r="I3479" s="28" t="s">
        <v>24</v>
      </c>
    </row>
    <row r="3480" spans="1:9" x14ac:dyDescent="0.3">
      <c r="A3480" s="26">
        <v>45341</v>
      </c>
      <c r="B3480" t="s">
        <v>1074</v>
      </c>
      <c r="C3480" t="s">
        <v>771</v>
      </c>
      <c r="D3480">
        <v>0.8</v>
      </c>
      <c r="E3480" t="s">
        <v>7</v>
      </c>
      <c r="F3480" t="s">
        <v>772</v>
      </c>
      <c r="G3480" t="s">
        <v>3276</v>
      </c>
      <c r="H3480" t="s">
        <v>32</v>
      </c>
      <c r="I3480" s="28" t="s">
        <v>24</v>
      </c>
    </row>
    <row r="3481" spans="1:9" x14ac:dyDescent="0.3">
      <c r="A3481" s="26">
        <v>45341</v>
      </c>
      <c r="B3481" t="s">
        <v>1074</v>
      </c>
      <c r="C3481" t="s">
        <v>916</v>
      </c>
      <c r="D3481">
        <v>0.2</v>
      </c>
      <c r="E3481" t="s">
        <v>964</v>
      </c>
      <c r="F3481" t="s">
        <v>754</v>
      </c>
      <c r="G3481" t="s">
        <v>3277</v>
      </c>
      <c r="H3481" t="s">
        <v>32</v>
      </c>
      <c r="I3481" s="28" t="s">
        <v>24</v>
      </c>
    </row>
    <row r="3482" spans="1:9" x14ac:dyDescent="0.3">
      <c r="A3482" s="26">
        <v>45341</v>
      </c>
      <c r="B3482" t="s">
        <v>1074</v>
      </c>
      <c r="C3482" t="s">
        <v>835</v>
      </c>
      <c r="D3482">
        <v>1.6</v>
      </c>
      <c r="E3482" t="s">
        <v>561</v>
      </c>
      <c r="F3482" t="s">
        <v>754</v>
      </c>
      <c r="G3482" t="s">
        <v>3278</v>
      </c>
      <c r="H3482" t="s">
        <v>32</v>
      </c>
      <c r="I3482" s="28" t="s">
        <v>24</v>
      </c>
    </row>
    <row r="3483" spans="1:9" x14ac:dyDescent="0.3">
      <c r="A3483" s="26">
        <v>45341</v>
      </c>
      <c r="B3483" t="s">
        <v>1074</v>
      </c>
      <c r="C3483" t="s">
        <v>874</v>
      </c>
      <c r="D3483">
        <v>0.4</v>
      </c>
      <c r="E3483" t="s">
        <v>7</v>
      </c>
      <c r="F3483" t="s">
        <v>772</v>
      </c>
      <c r="G3483" t="s">
        <v>3279</v>
      </c>
      <c r="H3483" t="s">
        <v>32</v>
      </c>
      <c r="I3483" s="28" t="s">
        <v>24</v>
      </c>
    </row>
    <row r="3484" spans="1:9" x14ac:dyDescent="0.3">
      <c r="A3484" s="26">
        <v>45341</v>
      </c>
      <c r="B3484" t="s">
        <v>1081</v>
      </c>
      <c r="C3484" t="s">
        <v>771</v>
      </c>
      <c r="D3484">
        <v>2</v>
      </c>
      <c r="E3484" t="s">
        <v>7</v>
      </c>
      <c r="F3484" t="s">
        <v>772</v>
      </c>
      <c r="G3484" t="e">
        <f>- General Admin</f>
        <v>#NAME?</v>
      </c>
      <c r="H3484" t="s">
        <v>32</v>
      </c>
      <c r="I3484" s="28" t="s">
        <v>24</v>
      </c>
    </row>
    <row r="3485" spans="1:9" x14ac:dyDescent="0.3">
      <c r="A3485" s="26">
        <v>45341</v>
      </c>
      <c r="B3485" t="s">
        <v>1081</v>
      </c>
      <c r="C3485" t="s">
        <v>942</v>
      </c>
      <c r="D3485">
        <v>5</v>
      </c>
      <c r="E3485" t="s">
        <v>7</v>
      </c>
      <c r="F3485" t="s">
        <v>772</v>
      </c>
      <c r="G3485" t="e">
        <f>- Resume Screening - Interviewing of Applicants</f>
        <v>#NAME?</v>
      </c>
      <c r="H3485" t="s">
        <v>32</v>
      </c>
      <c r="I3485" s="28" t="s">
        <v>24</v>
      </c>
    </row>
    <row r="3486" spans="1:9" x14ac:dyDescent="0.3">
      <c r="A3486" s="26">
        <v>45341</v>
      </c>
      <c r="B3486" t="s">
        <v>1081</v>
      </c>
      <c r="C3486" t="s">
        <v>874</v>
      </c>
      <c r="D3486">
        <v>1</v>
      </c>
      <c r="E3486" t="s">
        <v>7</v>
      </c>
      <c r="F3486" t="s">
        <v>772</v>
      </c>
      <c r="G3486" t="s">
        <v>3280</v>
      </c>
      <c r="H3486" t="s">
        <v>32</v>
      </c>
      <c r="I3486" s="28" t="s">
        <v>24</v>
      </c>
    </row>
    <row r="3487" spans="1:9" x14ac:dyDescent="0.3">
      <c r="A3487" s="26">
        <v>45342</v>
      </c>
      <c r="B3487" t="s">
        <v>752</v>
      </c>
      <c r="C3487" t="s">
        <v>753</v>
      </c>
      <c r="D3487">
        <v>0.05</v>
      </c>
      <c r="E3487" t="s">
        <v>602</v>
      </c>
      <c r="F3487" t="s">
        <v>754</v>
      </c>
      <c r="G3487" t="s">
        <v>760</v>
      </c>
      <c r="H3487" t="s">
        <v>32</v>
      </c>
      <c r="I3487" s="28" t="s">
        <v>25</v>
      </c>
    </row>
    <row r="3488" spans="1:9" x14ac:dyDescent="0.3">
      <c r="A3488" s="26">
        <v>45342</v>
      </c>
      <c r="B3488" t="s">
        <v>752</v>
      </c>
      <c r="C3488" t="s">
        <v>753</v>
      </c>
      <c r="D3488">
        <v>0.08</v>
      </c>
      <c r="E3488" t="s">
        <v>430</v>
      </c>
      <c r="F3488" t="s">
        <v>754</v>
      </c>
      <c r="G3488" t="s">
        <v>760</v>
      </c>
      <c r="H3488" t="s">
        <v>32</v>
      </c>
      <c r="I3488" s="28" t="s">
        <v>25</v>
      </c>
    </row>
    <row r="3489" spans="1:9" x14ac:dyDescent="0.3">
      <c r="A3489" s="26">
        <v>45342</v>
      </c>
      <c r="B3489" t="s">
        <v>752</v>
      </c>
      <c r="C3489" t="s">
        <v>753</v>
      </c>
      <c r="D3489">
        <v>0.08</v>
      </c>
      <c r="E3489" t="s">
        <v>553</v>
      </c>
      <c r="F3489" t="s">
        <v>754</v>
      </c>
      <c r="G3489" t="s">
        <v>760</v>
      </c>
      <c r="H3489" t="s">
        <v>32</v>
      </c>
      <c r="I3489" s="28" t="s">
        <v>25</v>
      </c>
    </row>
    <row r="3490" spans="1:9" x14ac:dyDescent="0.3">
      <c r="A3490" s="26">
        <v>45342</v>
      </c>
      <c r="B3490" t="s">
        <v>752</v>
      </c>
      <c r="C3490" t="s">
        <v>753</v>
      </c>
      <c r="D3490">
        <v>0.08</v>
      </c>
      <c r="E3490" t="s">
        <v>659</v>
      </c>
      <c r="F3490" t="s">
        <v>754</v>
      </c>
      <c r="G3490" t="s">
        <v>760</v>
      </c>
      <c r="H3490" t="s">
        <v>32</v>
      </c>
      <c r="I3490" s="28" t="s">
        <v>25</v>
      </c>
    </row>
    <row r="3491" spans="1:9" x14ac:dyDescent="0.3">
      <c r="A3491" s="26">
        <v>45342</v>
      </c>
      <c r="B3491" t="s">
        <v>752</v>
      </c>
      <c r="C3491" t="s">
        <v>753</v>
      </c>
      <c r="D3491">
        <v>0.12</v>
      </c>
      <c r="E3491" t="s">
        <v>373</v>
      </c>
      <c r="F3491" t="s">
        <v>754</v>
      </c>
      <c r="G3491" t="s">
        <v>755</v>
      </c>
      <c r="H3491" t="s">
        <v>32</v>
      </c>
      <c r="I3491" s="28" t="s">
        <v>25</v>
      </c>
    </row>
    <row r="3492" spans="1:9" x14ac:dyDescent="0.3">
      <c r="A3492" s="26">
        <v>45342</v>
      </c>
      <c r="B3492" t="s">
        <v>752</v>
      </c>
      <c r="C3492" t="s">
        <v>753</v>
      </c>
      <c r="D3492">
        <v>0.17</v>
      </c>
      <c r="E3492" t="s">
        <v>630</v>
      </c>
      <c r="F3492" t="s">
        <v>754</v>
      </c>
      <c r="G3492" t="s">
        <v>769</v>
      </c>
      <c r="H3492" t="s">
        <v>32</v>
      </c>
      <c r="I3492" s="28" t="s">
        <v>25</v>
      </c>
    </row>
    <row r="3493" spans="1:9" x14ac:dyDescent="0.3">
      <c r="A3493" s="26">
        <v>45342</v>
      </c>
      <c r="B3493" t="s">
        <v>752</v>
      </c>
      <c r="C3493" t="s">
        <v>753</v>
      </c>
      <c r="D3493">
        <v>0.2</v>
      </c>
      <c r="E3493" t="s">
        <v>553</v>
      </c>
      <c r="F3493" t="s">
        <v>754</v>
      </c>
      <c r="G3493" t="s">
        <v>755</v>
      </c>
      <c r="H3493" t="s">
        <v>32</v>
      </c>
      <c r="I3493" s="28" t="s">
        <v>25</v>
      </c>
    </row>
    <row r="3494" spans="1:9" x14ac:dyDescent="0.3">
      <c r="A3494" s="26">
        <v>45342</v>
      </c>
      <c r="B3494" t="s">
        <v>752</v>
      </c>
      <c r="C3494" t="s">
        <v>753</v>
      </c>
      <c r="D3494">
        <v>0.22</v>
      </c>
      <c r="E3494" t="s">
        <v>602</v>
      </c>
      <c r="F3494" t="s">
        <v>754</v>
      </c>
      <c r="G3494" t="s">
        <v>758</v>
      </c>
      <c r="H3494" t="s">
        <v>32</v>
      </c>
      <c r="I3494" s="28" t="s">
        <v>25</v>
      </c>
    </row>
    <row r="3495" spans="1:9" x14ac:dyDescent="0.3">
      <c r="A3495" s="26">
        <v>45342</v>
      </c>
      <c r="B3495" t="s">
        <v>752</v>
      </c>
      <c r="C3495" t="s">
        <v>753</v>
      </c>
      <c r="D3495">
        <v>0.4</v>
      </c>
      <c r="E3495" t="s">
        <v>757</v>
      </c>
      <c r="F3495" t="s">
        <v>754</v>
      </c>
      <c r="G3495" t="s">
        <v>3281</v>
      </c>
      <c r="H3495" t="s">
        <v>32</v>
      </c>
      <c r="I3495" s="28" t="s">
        <v>25</v>
      </c>
    </row>
    <row r="3496" spans="1:9" x14ac:dyDescent="0.3">
      <c r="A3496" s="26">
        <v>45342</v>
      </c>
      <c r="B3496" t="s">
        <v>752</v>
      </c>
      <c r="C3496" t="s">
        <v>753</v>
      </c>
      <c r="D3496">
        <v>0.42</v>
      </c>
      <c r="E3496" t="s">
        <v>664</v>
      </c>
      <c r="F3496" t="s">
        <v>754</v>
      </c>
      <c r="G3496" t="s">
        <v>1088</v>
      </c>
      <c r="H3496" t="s">
        <v>32</v>
      </c>
      <c r="I3496" s="28" t="s">
        <v>25</v>
      </c>
    </row>
    <row r="3497" spans="1:9" x14ac:dyDescent="0.3">
      <c r="A3497" s="26">
        <v>45342</v>
      </c>
      <c r="B3497" t="s">
        <v>752</v>
      </c>
      <c r="C3497" t="s">
        <v>753</v>
      </c>
      <c r="D3497">
        <v>0.55000000000000004</v>
      </c>
      <c r="E3497" t="s">
        <v>430</v>
      </c>
      <c r="F3497" t="s">
        <v>754</v>
      </c>
      <c r="G3497" t="s">
        <v>2407</v>
      </c>
      <c r="H3497" t="s">
        <v>32</v>
      </c>
      <c r="I3497" s="28" t="s">
        <v>25</v>
      </c>
    </row>
    <row r="3498" spans="1:9" x14ac:dyDescent="0.3">
      <c r="A3498" s="26">
        <v>45342</v>
      </c>
      <c r="B3498" t="s">
        <v>752</v>
      </c>
      <c r="C3498" t="s">
        <v>753</v>
      </c>
      <c r="D3498">
        <v>0.56999999999999995</v>
      </c>
      <c r="E3498" t="s">
        <v>757</v>
      </c>
      <c r="F3498" t="s">
        <v>754</v>
      </c>
      <c r="G3498" t="s">
        <v>3282</v>
      </c>
      <c r="H3498" t="s">
        <v>32</v>
      </c>
      <c r="I3498" s="28" t="s">
        <v>25</v>
      </c>
    </row>
    <row r="3499" spans="1:9" x14ac:dyDescent="0.3">
      <c r="A3499" s="26">
        <v>45342</v>
      </c>
      <c r="B3499" t="s">
        <v>752</v>
      </c>
      <c r="C3499" t="s">
        <v>753</v>
      </c>
      <c r="D3499">
        <v>0.6</v>
      </c>
      <c r="E3499" t="s">
        <v>561</v>
      </c>
      <c r="F3499" t="s">
        <v>754</v>
      </c>
      <c r="G3499" t="s">
        <v>766</v>
      </c>
      <c r="H3499" t="s">
        <v>32</v>
      </c>
      <c r="I3499" s="28" t="s">
        <v>25</v>
      </c>
    </row>
    <row r="3500" spans="1:9" x14ac:dyDescent="0.3">
      <c r="A3500" s="26">
        <v>45342</v>
      </c>
      <c r="B3500" t="s">
        <v>752</v>
      </c>
      <c r="C3500" t="s">
        <v>753</v>
      </c>
      <c r="D3500">
        <v>0.65</v>
      </c>
      <c r="E3500" t="s">
        <v>1084</v>
      </c>
      <c r="F3500" t="s">
        <v>754</v>
      </c>
      <c r="G3500" t="s">
        <v>769</v>
      </c>
      <c r="H3500" t="s">
        <v>32</v>
      </c>
      <c r="I3500" s="28" t="s">
        <v>25</v>
      </c>
    </row>
    <row r="3501" spans="1:9" x14ac:dyDescent="0.3">
      <c r="A3501" s="26">
        <v>45342</v>
      </c>
      <c r="B3501" t="s">
        <v>752</v>
      </c>
      <c r="C3501" t="s">
        <v>753</v>
      </c>
      <c r="D3501">
        <v>1.45</v>
      </c>
      <c r="E3501" t="s">
        <v>430</v>
      </c>
      <c r="F3501" t="s">
        <v>754</v>
      </c>
      <c r="G3501" t="s">
        <v>3283</v>
      </c>
      <c r="H3501" t="s">
        <v>32</v>
      </c>
      <c r="I3501" s="28" t="s">
        <v>25</v>
      </c>
    </row>
    <row r="3502" spans="1:9" x14ac:dyDescent="0.3">
      <c r="A3502" s="26">
        <v>45342</v>
      </c>
      <c r="B3502" t="s">
        <v>752</v>
      </c>
      <c r="C3502" t="s">
        <v>789</v>
      </c>
      <c r="D3502">
        <v>0.32</v>
      </c>
      <c r="E3502" t="s">
        <v>458</v>
      </c>
      <c r="F3502" t="s">
        <v>754</v>
      </c>
      <c r="G3502" t="s">
        <v>3284</v>
      </c>
      <c r="H3502" t="s">
        <v>32</v>
      </c>
      <c r="I3502" s="28" t="s">
        <v>25</v>
      </c>
    </row>
    <row r="3503" spans="1:9" x14ac:dyDescent="0.3">
      <c r="A3503" s="26">
        <v>45342</v>
      </c>
      <c r="B3503" t="s">
        <v>752</v>
      </c>
      <c r="C3503" t="s">
        <v>771</v>
      </c>
      <c r="D3503">
        <v>0.25</v>
      </c>
      <c r="E3503" t="s">
        <v>7</v>
      </c>
      <c r="F3503" t="s">
        <v>772</v>
      </c>
      <c r="G3503" t="s">
        <v>774</v>
      </c>
      <c r="H3503" t="s">
        <v>32</v>
      </c>
      <c r="I3503" s="28" t="s">
        <v>25</v>
      </c>
    </row>
    <row r="3504" spans="1:9" x14ac:dyDescent="0.3">
      <c r="A3504" s="26">
        <v>45342</v>
      </c>
      <c r="B3504" t="s">
        <v>752</v>
      </c>
      <c r="C3504" t="s">
        <v>771</v>
      </c>
      <c r="D3504">
        <v>0.25</v>
      </c>
      <c r="E3504" t="s">
        <v>7</v>
      </c>
      <c r="F3504" t="s">
        <v>772</v>
      </c>
      <c r="G3504" t="s">
        <v>775</v>
      </c>
      <c r="H3504" t="s">
        <v>32</v>
      </c>
      <c r="I3504" s="28" t="s">
        <v>25</v>
      </c>
    </row>
    <row r="3505" spans="1:9" x14ac:dyDescent="0.3">
      <c r="A3505" s="26">
        <v>45342</v>
      </c>
      <c r="B3505" t="s">
        <v>752</v>
      </c>
      <c r="C3505" t="s">
        <v>771</v>
      </c>
      <c r="D3505">
        <v>0.92</v>
      </c>
      <c r="E3505" t="s">
        <v>7</v>
      </c>
      <c r="F3505" t="s">
        <v>772</v>
      </c>
      <c r="G3505" t="s">
        <v>1742</v>
      </c>
      <c r="H3505" t="s">
        <v>32</v>
      </c>
      <c r="I3505" s="28" t="s">
        <v>25</v>
      </c>
    </row>
    <row r="3506" spans="1:9" x14ac:dyDescent="0.3">
      <c r="A3506" s="26">
        <v>45342</v>
      </c>
      <c r="B3506" t="s">
        <v>752</v>
      </c>
      <c r="C3506" t="s">
        <v>835</v>
      </c>
      <c r="D3506">
        <v>0.52</v>
      </c>
      <c r="E3506" t="s">
        <v>659</v>
      </c>
      <c r="F3506" t="s">
        <v>754</v>
      </c>
      <c r="G3506" t="s">
        <v>3117</v>
      </c>
      <c r="H3506" t="s">
        <v>32</v>
      </c>
      <c r="I3506" s="28" t="s">
        <v>25</v>
      </c>
    </row>
    <row r="3507" spans="1:9" x14ac:dyDescent="0.3">
      <c r="A3507" s="26">
        <v>45342</v>
      </c>
      <c r="B3507" t="s">
        <v>752</v>
      </c>
      <c r="C3507" t="s">
        <v>776</v>
      </c>
      <c r="D3507">
        <v>0.12</v>
      </c>
      <c r="E3507" t="s">
        <v>659</v>
      </c>
      <c r="F3507" t="s">
        <v>754</v>
      </c>
      <c r="G3507" t="s">
        <v>768</v>
      </c>
      <c r="H3507" t="s">
        <v>32</v>
      </c>
      <c r="I3507" s="28" t="s">
        <v>25</v>
      </c>
    </row>
    <row r="3508" spans="1:9" x14ac:dyDescent="0.3">
      <c r="A3508" s="26">
        <v>45342</v>
      </c>
      <c r="B3508" t="s">
        <v>1093</v>
      </c>
      <c r="C3508" t="s">
        <v>1522</v>
      </c>
      <c r="D3508">
        <v>0.83</v>
      </c>
      <c r="E3508" t="s">
        <v>455</v>
      </c>
      <c r="F3508" t="s">
        <v>754</v>
      </c>
      <c r="G3508" t="s">
        <v>3285</v>
      </c>
      <c r="H3508" t="s">
        <v>32</v>
      </c>
      <c r="I3508" s="28" t="s">
        <v>25</v>
      </c>
    </row>
    <row r="3509" spans="1:9" x14ac:dyDescent="0.3">
      <c r="A3509" s="26">
        <v>45342</v>
      </c>
      <c r="B3509" t="s">
        <v>1093</v>
      </c>
      <c r="C3509" t="s">
        <v>1524</v>
      </c>
      <c r="D3509">
        <v>1</v>
      </c>
      <c r="E3509" t="s">
        <v>455</v>
      </c>
      <c r="F3509" t="s">
        <v>754</v>
      </c>
      <c r="G3509" t="s">
        <v>3286</v>
      </c>
      <c r="H3509" t="s">
        <v>32</v>
      </c>
      <c r="I3509" s="28" t="s">
        <v>25</v>
      </c>
    </row>
    <row r="3510" spans="1:9" x14ac:dyDescent="0.3">
      <c r="A3510" s="26">
        <v>45342</v>
      </c>
      <c r="B3510" t="s">
        <v>1093</v>
      </c>
      <c r="C3510" t="s">
        <v>1094</v>
      </c>
      <c r="D3510">
        <v>1.75</v>
      </c>
      <c r="E3510" t="s">
        <v>455</v>
      </c>
      <c r="F3510" t="s">
        <v>754</v>
      </c>
      <c r="G3510" t="s">
        <v>3287</v>
      </c>
      <c r="H3510" t="s">
        <v>32</v>
      </c>
      <c r="I3510" s="28" t="s">
        <v>25</v>
      </c>
    </row>
    <row r="3511" spans="1:9" x14ac:dyDescent="0.3">
      <c r="A3511" s="26">
        <v>45342</v>
      </c>
      <c r="B3511" t="s">
        <v>21</v>
      </c>
      <c r="C3511" t="s">
        <v>753</v>
      </c>
      <c r="D3511">
        <v>0.12</v>
      </c>
      <c r="E3511" t="s">
        <v>1096</v>
      </c>
      <c r="F3511" t="s">
        <v>754</v>
      </c>
      <c r="G3511" t="s">
        <v>3288</v>
      </c>
      <c r="H3511" t="s">
        <v>32</v>
      </c>
      <c r="I3511" s="28" t="s">
        <v>25</v>
      </c>
    </row>
    <row r="3512" spans="1:9" x14ac:dyDescent="0.3">
      <c r="A3512" s="26">
        <v>45342</v>
      </c>
      <c r="B3512" t="s">
        <v>21</v>
      </c>
      <c r="C3512" t="s">
        <v>753</v>
      </c>
      <c r="D3512">
        <v>0.15</v>
      </c>
      <c r="E3512" t="s">
        <v>1096</v>
      </c>
      <c r="F3512" t="s">
        <v>754</v>
      </c>
      <c r="G3512" t="s">
        <v>3289</v>
      </c>
      <c r="H3512" t="s">
        <v>32</v>
      </c>
      <c r="I3512" s="28" t="s">
        <v>25</v>
      </c>
    </row>
    <row r="3513" spans="1:9" x14ac:dyDescent="0.3">
      <c r="A3513" s="26">
        <v>45342</v>
      </c>
      <c r="B3513" t="s">
        <v>21</v>
      </c>
      <c r="C3513" t="s">
        <v>753</v>
      </c>
      <c r="D3513">
        <v>0.35</v>
      </c>
      <c r="E3513" t="s">
        <v>1096</v>
      </c>
      <c r="F3513" t="s">
        <v>754</v>
      </c>
      <c r="G3513" t="s">
        <v>3290</v>
      </c>
      <c r="H3513" t="s">
        <v>32</v>
      </c>
      <c r="I3513" s="28" t="s">
        <v>25</v>
      </c>
    </row>
    <row r="3514" spans="1:9" x14ac:dyDescent="0.3">
      <c r="A3514" s="26">
        <v>45342</v>
      </c>
      <c r="B3514" t="s">
        <v>21</v>
      </c>
      <c r="C3514" t="s">
        <v>753</v>
      </c>
      <c r="D3514">
        <v>1</v>
      </c>
      <c r="E3514" t="s">
        <v>13</v>
      </c>
      <c r="F3514" t="s">
        <v>754</v>
      </c>
      <c r="H3514" t="s">
        <v>32</v>
      </c>
      <c r="I3514" s="28" t="s">
        <v>25</v>
      </c>
    </row>
    <row r="3515" spans="1:9" x14ac:dyDescent="0.3">
      <c r="A3515" s="26">
        <v>45342</v>
      </c>
      <c r="B3515" t="s">
        <v>21</v>
      </c>
      <c r="C3515" t="s">
        <v>753</v>
      </c>
      <c r="D3515">
        <v>1.25</v>
      </c>
      <c r="E3515" t="s">
        <v>589</v>
      </c>
      <c r="F3515" t="s">
        <v>754</v>
      </c>
      <c r="H3515" t="s">
        <v>32</v>
      </c>
      <c r="I3515" s="28" t="s">
        <v>25</v>
      </c>
    </row>
    <row r="3516" spans="1:9" x14ac:dyDescent="0.3">
      <c r="A3516" s="26">
        <v>45342</v>
      </c>
      <c r="B3516" t="s">
        <v>21</v>
      </c>
      <c r="C3516" t="s">
        <v>771</v>
      </c>
      <c r="D3516">
        <v>0.2</v>
      </c>
      <c r="E3516" t="s">
        <v>7</v>
      </c>
      <c r="F3516" t="s">
        <v>772</v>
      </c>
      <c r="G3516" t="s">
        <v>3291</v>
      </c>
      <c r="H3516" t="s">
        <v>32</v>
      </c>
      <c r="I3516" s="28" t="s">
        <v>25</v>
      </c>
    </row>
    <row r="3517" spans="1:9" x14ac:dyDescent="0.3">
      <c r="A3517" s="26">
        <v>45342</v>
      </c>
      <c r="B3517" t="s">
        <v>21</v>
      </c>
      <c r="C3517" t="s">
        <v>771</v>
      </c>
      <c r="D3517">
        <v>0.25</v>
      </c>
      <c r="E3517" t="s">
        <v>7</v>
      </c>
      <c r="F3517" t="s">
        <v>772</v>
      </c>
      <c r="G3517" t="s">
        <v>3292</v>
      </c>
      <c r="H3517" t="s">
        <v>32</v>
      </c>
      <c r="I3517" s="28" t="s">
        <v>25</v>
      </c>
    </row>
    <row r="3518" spans="1:9" x14ac:dyDescent="0.3">
      <c r="A3518" s="26">
        <v>45342</v>
      </c>
      <c r="B3518" t="s">
        <v>21</v>
      </c>
      <c r="C3518" t="s">
        <v>771</v>
      </c>
      <c r="D3518">
        <v>0.35</v>
      </c>
      <c r="E3518" t="s">
        <v>999</v>
      </c>
      <c r="F3518" t="s">
        <v>754</v>
      </c>
      <c r="G3518" t="s">
        <v>3293</v>
      </c>
      <c r="H3518" t="s">
        <v>32</v>
      </c>
      <c r="I3518" s="28" t="s">
        <v>25</v>
      </c>
    </row>
    <row r="3519" spans="1:9" x14ac:dyDescent="0.3">
      <c r="A3519" s="26">
        <v>45342</v>
      </c>
      <c r="B3519" t="s">
        <v>21</v>
      </c>
      <c r="C3519" t="s">
        <v>771</v>
      </c>
      <c r="D3519">
        <v>0.53</v>
      </c>
      <c r="E3519" t="s">
        <v>7</v>
      </c>
      <c r="F3519" t="s">
        <v>772</v>
      </c>
      <c r="G3519" t="s">
        <v>3294</v>
      </c>
      <c r="H3519" t="s">
        <v>32</v>
      </c>
      <c r="I3519" s="28" t="s">
        <v>25</v>
      </c>
    </row>
    <row r="3520" spans="1:9" x14ac:dyDescent="0.3">
      <c r="A3520" s="26">
        <v>45342</v>
      </c>
      <c r="B3520" t="s">
        <v>21</v>
      </c>
      <c r="C3520" t="s">
        <v>771</v>
      </c>
      <c r="D3520">
        <v>0.55000000000000004</v>
      </c>
      <c r="E3520" t="s">
        <v>7</v>
      </c>
      <c r="F3520" t="s">
        <v>772</v>
      </c>
      <c r="G3520" t="s">
        <v>781</v>
      </c>
      <c r="H3520" t="s">
        <v>32</v>
      </c>
      <c r="I3520" s="28" t="s">
        <v>25</v>
      </c>
    </row>
    <row r="3521" spans="1:9" x14ac:dyDescent="0.3">
      <c r="A3521" s="26">
        <v>45342</v>
      </c>
      <c r="B3521" t="s">
        <v>21</v>
      </c>
      <c r="C3521" t="s">
        <v>771</v>
      </c>
      <c r="D3521">
        <v>0.68</v>
      </c>
      <c r="E3521" t="s">
        <v>7</v>
      </c>
      <c r="F3521" t="s">
        <v>772</v>
      </c>
      <c r="G3521" t="s">
        <v>3295</v>
      </c>
      <c r="H3521" t="s">
        <v>32</v>
      </c>
      <c r="I3521" s="28" t="s">
        <v>25</v>
      </c>
    </row>
    <row r="3522" spans="1:9" x14ac:dyDescent="0.3">
      <c r="A3522" s="26">
        <v>45342</v>
      </c>
      <c r="B3522" t="s">
        <v>21</v>
      </c>
      <c r="C3522" t="s">
        <v>771</v>
      </c>
      <c r="D3522">
        <v>1</v>
      </c>
      <c r="E3522" t="s">
        <v>7</v>
      </c>
      <c r="F3522" t="s">
        <v>772</v>
      </c>
      <c r="G3522" t="s">
        <v>3296</v>
      </c>
      <c r="H3522" t="s">
        <v>32</v>
      </c>
      <c r="I3522" s="28" t="s">
        <v>25</v>
      </c>
    </row>
    <row r="3523" spans="1:9" x14ac:dyDescent="0.3">
      <c r="A3523" s="26">
        <v>45342</v>
      </c>
      <c r="B3523" t="s">
        <v>21</v>
      </c>
      <c r="C3523" t="s">
        <v>874</v>
      </c>
      <c r="D3523">
        <v>0.13</v>
      </c>
      <c r="E3523" t="s">
        <v>7</v>
      </c>
      <c r="F3523" t="s">
        <v>772</v>
      </c>
      <c r="G3523" t="s">
        <v>3297</v>
      </c>
      <c r="H3523" t="s">
        <v>32</v>
      </c>
      <c r="I3523" s="28" t="s">
        <v>25</v>
      </c>
    </row>
    <row r="3524" spans="1:9" x14ac:dyDescent="0.3">
      <c r="A3524" s="26">
        <v>45342</v>
      </c>
      <c r="B3524" t="s">
        <v>21</v>
      </c>
      <c r="C3524" t="s">
        <v>874</v>
      </c>
      <c r="D3524">
        <v>0.23</v>
      </c>
      <c r="E3524" t="s">
        <v>7</v>
      </c>
      <c r="F3524" t="s">
        <v>772</v>
      </c>
      <c r="G3524" t="s">
        <v>3298</v>
      </c>
      <c r="H3524" t="s">
        <v>32</v>
      </c>
      <c r="I3524" s="28" t="s">
        <v>25</v>
      </c>
    </row>
    <row r="3525" spans="1:9" x14ac:dyDescent="0.3">
      <c r="A3525" s="26">
        <v>45342</v>
      </c>
      <c r="B3525" t="s">
        <v>21</v>
      </c>
      <c r="C3525" t="s">
        <v>874</v>
      </c>
      <c r="D3525">
        <v>0.35</v>
      </c>
      <c r="E3525" t="s">
        <v>7</v>
      </c>
      <c r="F3525" t="s">
        <v>772</v>
      </c>
      <c r="G3525" t="s">
        <v>3299</v>
      </c>
      <c r="H3525" t="s">
        <v>32</v>
      </c>
      <c r="I3525" s="28" t="s">
        <v>25</v>
      </c>
    </row>
    <row r="3526" spans="1:9" x14ac:dyDescent="0.3">
      <c r="A3526" s="26">
        <v>45342</v>
      </c>
      <c r="B3526" t="s">
        <v>21</v>
      </c>
      <c r="C3526" t="s">
        <v>874</v>
      </c>
      <c r="D3526">
        <v>0.5</v>
      </c>
      <c r="E3526" t="s">
        <v>7</v>
      </c>
      <c r="F3526" t="s">
        <v>772</v>
      </c>
      <c r="G3526" t="s">
        <v>1536</v>
      </c>
      <c r="H3526" t="s">
        <v>32</v>
      </c>
      <c r="I3526" s="28" t="s">
        <v>25</v>
      </c>
    </row>
    <row r="3527" spans="1:9" x14ac:dyDescent="0.3">
      <c r="A3527" s="26">
        <v>45342</v>
      </c>
      <c r="B3527" t="s">
        <v>21</v>
      </c>
      <c r="C3527" t="s">
        <v>776</v>
      </c>
      <c r="D3527">
        <v>0.57999999999999996</v>
      </c>
      <c r="E3527" t="s">
        <v>13</v>
      </c>
      <c r="F3527" t="s">
        <v>754</v>
      </c>
      <c r="H3527" t="s">
        <v>32</v>
      </c>
      <c r="I3527" s="28" t="s">
        <v>25</v>
      </c>
    </row>
    <row r="3528" spans="1:9" x14ac:dyDescent="0.3">
      <c r="A3528" s="26">
        <v>45342</v>
      </c>
      <c r="B3528" t="s">
        <v>785</v>
      </c>
      <c r="C3528" t="s">
        <v>1163</v>
      </c>
      <c r="D3528">
        <v>4</v>
      </c>
      <c r="E3528" t="s">
        <v>7</v>
      </c>
      <c r="F3528" t="s">
        <v>772</v>
      </c>
      <c r="G3528" t="s">
        <v>3300</v>
      </c>
      <c r="H3528" t="s">
        <v>32</v>
      </c>
      <c r="I3528" s="28" t="s">
        <v>25</v>
      </c>
    </row>
    <row r="3529" spans="1:9" x14ac:dyDescent="0.3">
      <c r="A3529" s="26">
        <v>45342</v>
      </c>
      <c r="B3529" t="s">
        <v>785</v>
      </c>
      <c r="C3529" t="s">
        <v>786</v>
      </c>
      <c r="D3529">
        <v>4.5</v>
      </c>
      <c r="E3529" t="s">
        <v>7</v>
      </c>
      <c r="F3529" t="s">
        <v>772</v>
      </c>
      <c r="G3529" t="s">
        <v>3301</v>
      </c>
      <c r="H3529" t="s">
        <v>32</v>
      </c>
      <c r="I3529" s="28" t="s">
        <v>25</v>
      </c>
    </row>
    <row r="3530" spans="1:9" x14ac:dyDescent="0.3">
      <c r="A3530" s="26">
        <v>45342</v>
      </c>
      <c r="B3530" t="s">
        <v>788</v>
      </c>
      <c r="C3530" t="s">
        <v>786</v>
      </c>
      <c r="D3530">
        <v>7.5</v>
      </c>
      <c r="E3530" t="s">
        <v>7</v>
      </c>
      <c r="F3530" t="s">
        <v>772</v>
      </c>
      <c r="H3530" t="s">
        <v>32</v>
      </c>
      <c r="I3530" s="28" t="s">
        <v>25</v>
      </c>
    </row>
    <row r="3531" spans="1:9" x14ac:dyDescent="0.3">
      <c r="A3531" s="26">
        <v>45342</v>
      </c>
      <c r="B3531" t="s">
        <v>792</v>
      </c>
      <c r="C3531" t="s">
        <v>753</v>
      </c>
      <c r="D3531">
        <v>1.57</v>
      </c>
      <c r="E3531" t="s">
        <v>790</v>
      </c>
      <c r="F3531" t="s">
        <v>754</v>
      </c>
      <c r="G3531" t="s">
        <v>3302</v>
      </c>
      <c r="H3531" t="s">
        <v>32</v>
      </c>
      <c r="I3531" s="28" t="s">
        <v>25</v>
      </c>
    </row>
    <row r="3532" spans="1:9" x14ac:dyDescent="0.3">
      <c r="A3532" s="26">
        <v>45342</v>
      </c>
      <c r="B3532" t="s">
        <v>792</v>
      </c>
      <c r="C3532" t="s">
        <v>753</v>
      </c>
      <c r="D3532">
        <v>1.93</v>
      </c>
      <c r="E3532" t="s">
        <v>790</v>
      </c>
      <c r="F3532" t="s">
        <v>754</v>
      </c>
      <c r="G3532" t="s">
        <v>793</v>
      </c>
      <c r="H3532" t="s">
        <v>32</v>
      </c>
      <c r="I3532" s="28" t="s">
        <v>25</v>
      </c>
    </row>
    <row r="3533" spans="1:9" x14ac:dyDescent="0.3">
      <c r="A3533" s="26">
        <v>45342</v>
      </c>
      <c r="B3533" t="s">
        <v>792</v>
      </c>
      <c r="C3533" t="s">
        <v>753</v>
      </c>
      <c r="D3533">
        <v>2.2799999999999998</v>
      </c>
      <c r="E3533" t="s">
        <v>790</v>
      </c>
      <c r="F3533" t="s">
        <v>754</v>
      </c>
      <c r="G3533" t="s">
        <v>3303</v>
      </c>
      <c r="H3533" t="s">
        <v>32</v>
      </c>
      <c r="I3533" s="28" t="s">
        <v>25</v>
      </c>
    </row>
    <row r="3534" spans="1:9" x14ac:dyDescent="0.3">
      <c r="A3534" s="26">
        <v>45342</v>
      </c>
      <c r="B3534" t="s">
        <v>792</v>
      </c>
      <c r="C3534" t="s">
        <v>753</v>
      </c>
      <c r="D3534">
        <v>2.57</v>
      </c>
      <c r="E3534" t="s">
        <v>790</v>
      </c>
      <c r="F3534" t="s">
        <v>754</v>
      </c>
      <c r="G3534" t="s">
        <v>3304</v>
      </c>
      <c r="H3534" t="s">
        <v>32</v>
      </c>
      <c r="I3534" s="28" t="s">
        <v>25</v>
      </c>
    </row>
    <row r="3535" spans="1:9" x14ac:dyDescent="0.3">
      <c r="A3535" s="26">
        <v>45342</v>
      </c>
      <c r="B3535" t="s">
        <v>801</v>
      </c>
      <c r="C3535" t="s">
        <v>802</v>
      </c>
      <c r="D3535">
        <v>9.93</v>
      </c>
      <c r="E3535" t="s">
        <v>7</v>
      </c>
      <c r="F3535" t="s">
        <v>772</v>
      </c>
      <c r="H3535" t="s">
        <v>32</v>
      </c>
      <c r="I3535" s="28" t="s">
        <v>25</v>
      </c>
    </row>
    <row r="3536" spans="1:9" x14ac:dyDescent="0.3">
      <c r="A3536" s="26">
        <v>45342</v>
      </c>
      <c r="B3536" t="s">
        <v>803</v>
      </c>
      <c r="C3536" t="s">
        <v>804</v>
      </c>
      <c r="D3536">
        <v>0.02</v>
      </c>
      <c r="E3536" t="s">
        <v>640</v>
      </c>
      <c r="F3536" t="s">
        <v>772</v>
      </c>
      <c r="H3536" t="s">
        <v>32</v>
      </c>
      <c r="I3536" s="28" t="s">
        <v>25</v>
      </c>
    </row>
    <row r="3537" spans="1:9" x14ac:dyDescent="0.3">
      <c r="A3537" s="26">
        <v>45342</v>
      </c>
      <c r="B3537" t="s">
        <v>806</v>
      </c>
      <c r="C3537" t="s">
        <v>802</v>
      </c>
      <c r="D3537">
        <v>2</v>
      </c>
      <c r="E3537" t="s">
        <v>7</v>
      </c>
      <c r="F3537" t="s">
        <v>772</v>
      </c>
      <c r="G3537" t="s">
        <v>2429</v>
      </c>
      <c r="H3537" t="s">
        <v>32</v>
      </c>
      <c r="I3537" s="28" t="s">
        <v>25</v>
      </c>
    </row>
    <row r="3538" spans="1:9" x14ac:dyDescent="0.3">
      <c r="A3538" s="26">
        <v>45342</v>
      </c>
      <c r="B3538" t="s">
        <v>808</v>
      </c>
      <c r="C3538" t="s">
        <v>802</v>
      </c>
      <c r="D3538">
        <v>9.02</v>
      </c>
      <c r="E3538" t="s">
        <v>7</v>
      </c>
      <c r="F3538" t="s">
        <v>772</v>
      </c>
      <c r="G3538" t="s">
        <v>3135</v>
      </c>
      <c r="H3538" t="s">
        <v>32</v>
      </c>
      <c r="I3538" s="28" t="s">
        <v>25</v>
      </c>
    </row>
    <row r="3539" spans="1:9" x14ac:dyDescent="0.3">
      <c r="A3539" s="26">
        <v>45342</v>
      </c>
      <c r="B3539" t="s">
        <v>810</v>
      </c>
      <c r="C3539" t="s">
        <v>753</v>
      </c>
      <c r="D3539">
        <v>0.57999999999999996</v>
      </c>
      <c r="E3539" t="s">
        <v>815</v>
      </c>
      <c r="F3539" t="s">
        <v>772</v>
      </c>
      <c r="G3539" t="s">
        <v>3305</v>
      </c>
      <c r="H3539" t="s">
        <v>32</v>
      </c>
      <c r="I3539" s="28" t="s">
        <v>25</v>
      </c>
    </row>
    <row r="3540" spans="1:9" x14ac:dyDescent="0.3">
      <c r="A3540" s="26">
        <v>45342</v>
      </c>
      <c r="B3540" t="s">
        <v>810</v>
      </c>
      <c r="C3540" t="s">
        <v>753</v>
      </c>
      <c r="D3540">
        <v>0.57999999999999996</v>
      </c>
      <c r="E3540" t="s">
        <v>516</v>
      </c>
      <c r="F3540" t="s">
        <v>772</v>
      </c>
      <c r="G3540" t="s">
        <v>3306</v>
      </c>
      <c r="H3540" t="s">
        <v>32</v>
      </c>
      <c r="I3540" s="28" t="s">
        <v>25</v>
      </c>
    </row>
    <row r="3541" spans="1:9" x14ac:dyDescent="0.3">
      <c r="A3541" s="26">
        <v>45342</v>
      </c>
      <c r="B3541" t="s">
        <v>810</v>
      </c>
      <c r="C3541" t="s">
        <v>753</v>
      </c>
      <c r="D3541">
        <v>1.08</v>
      </c>
      <c r="E3541" t="s">
        <v>814</v>
      </c>
      <c r="F3541" t="s">
        <v>754</v>
      </c>
      <c r="G3541" t="s">
        <v>3307</v>
      </c>
      <c r="H3541" t="s">
        <v>32</v>
      </c>
      <c r="I3541" s="28" t="s">
        <v>25</v>
      </c>
    </row>
    <row r="3542" spans="1:9" x14ac:dyDescent="0.3">
      <c r="A3542" s="26">
        <v>45342</v>
      </c>
      <c r="B3542" t="s">
        <v>810</v>
      </c>
      <c r="C3542" t="s">
        <v>753</v>
      </c>
      <c r="D3542">
        <v>1.17</v>
      </c>
      <c r="E3542" t="s">
        <v>815</v>
      </c>
      <c r="F3542" t="s">
        <v>754</v>
      </c>
      <c r="G3542" t="s">
        <v>3307</v>
      </c>
      <c r="H3542" t="s">
        <v>32</v>
      </c>
      <c r="I3542" s="28" t="s">
        <v>25</v>
      </c>
    </row>
    <row r="3543" spans="1:9" x14ac:dyDescent="0.3">
      <c r="A3543" s="26">
        <v>45342</v>
      </c>
      <c r="B3543" t="s">
        <v>810</v>
      </c>
      <c r="C3543" t="s">
        <v>753</v>
      </c>
      <c r="D3543">
        <v>4.08</v>
      </c>
      <c r="E3543" t="s">
        <v>516</v>
      </c>
      <c r="F3543" t="s">
        <v>754</v>
      </c>
      <c r="G3543" t="s">
        <v>3308</v>
      </c>
      <c r="H3543" t="s">
        <v>32</v>
      </c>
      <c r="I3543" s="28" t="s">
        <v>25</v>
      </c>
    </row>
    <row r="3544" spans="1:9" x14ac:dyDescent="0.3">
      <c r="A3544" s="26">
        <v>45342</v>
      </c>
      <c r="B3544" t="s">
        <v>810</v>
      </c>
      <c r="C3544" t="s">
        <v>771</v>
      </c>
      <c r="D3544">
        <v>0.5</v>
      </c>
      <c r="E3544" t="s">
        <v>7</v>
      </c>
      <c r="F3544" t="s">
        <v>772</v>
      </c>
      <c r="G3544" t="s">
        <v>781</v>
      </c>
      <c r="H3544" t="s">
        <v>32</v>
      </c>
      <c r="I3544" s="28" t="s">
        <v>25</v>
      </c>
    </row>
    <row r="3545" spans="1:9" x14ac:dyDescent="0.3">
      <c r="A3545" s="26">
        <v>45342</v>
      </c>
      <c r="B3545" t="s">
        <v>829</v>
      </c>
      <c r="C3545" t="s">
        <v>753</v>
      </c>
      <c r="D3545">
        <v>0.17</v>
      </c>
      <c r="E3545" t="s">
        <v>2613</v>
      </c>
      <c r="F3545" t="s">
        <v>754</v>
      </c>
      <c r="G3545" t="s">
        <v>3309</v>
      </c>
      <c r="H3545" t="s">
        <v>32</v>
      </c>
      <c r="I3545" s="28" t="s">
        <v>25</v>
      </c>
    </row>
    <row r="3546" spans="1:9" x14ac:dyDescent="0.3">
      <c r="A3546" s="26">
        <v>45342</v>
      </c>
      <c r="B3546" t="s">
        <v>829</v>
      </c>
      <c r="C3546" t="s">
        <v>753</v>
      </c>
      <c r="D3546">
        <v>0.32</v>
      </c>
      <c r="E3546" t="s">
        <v>857</v>
      </c>
      <c r="F3546" t="s">
        <v>754</v>
      </c>
      <c r="G3546" t="s">
        <v>830</v>
      </c>
      <c r="H3546" t="s">
        <v>32</v>
      </c>
      <c r="I3546" s="28" t="s">
        <v>25</v>
      </c>
    </row>
    <row r="3547" spans="1:9" x14ac:dyDescent="0.3">
      <c r="A3547" s="26">
        <v>45342</v>
      </c>
      <c r="B3547" t="s">
        <v>829</v>
      </c>
      <c r="C3547" t="s">
        <v>753</v>
      </c>
      <c r="D3547">
        <v>0.37</v>
      </c>
      <c r="E3547" t="s">
        <v>375</v>
      </c>
      <c r="F3547" t="s">
        <v>754</v>
      </c>
      <c r="G3547" t="s">
        <v>2441</v>
      </c>
      <c r="H3547" t="s">
        <v>32</v>
      </c>
      <c r="I3547" s="28" t="s">
        <v>25</v>
      </c>
    </row>
    <row r="3548" spans="1:9" x14ac:dyDescent="0.3">
      <c r="A3548" s="26">
        <v>45342</v>
      </c>
      <c r="B3548" t="s">
        <v>829</v>
      </c>
      <c r="C3548" t="s">
        <v>753</v>
      </c>
      <c r="D3548">
        <v>0.37</v>
      </c>
      <c r="E3548" t="s">
        <v>375</v>
      </c>
      <c r="F3548" t="s">
        <v>754</v>
      </c>
      <c r="G3548" t="s">
        <v>3310</v>
      </c>
      <c r="H3548" t="s">
        <v>32</v>
      </c>
      <c r="I3548" s="28" t="s">
        <v>25</v>
      </c>
    </row>
    <row r="3549" spans="1:9" x14ac:dyDescent="0.3">
      <c r="A3549" s="26">
        <v>45342</v>
      </c>
      <c r="B3549" t="s">
        <v>829</v>
      </c>
      <c r="C3549" t="s">
        <v>753</v>
      </c>
      <c r="D3549">
        <v>1.37</v>
      </c>
      <c r="E3549" t="s">
        <v>2613</v>
      </c>
      <c r="F3549" t="s">
        <v>754</v>
      </c>
      <c r="G3549" t="s">
        <v>2802</v>
      </c>
      <c r="H3549" t="s">
        <v>32</v>
      </c>
      <c r="I3549" s="28" t="s">
        <v>25</v>
      </c>
    </row>
    <row r="3550" spans="1:9" x14ac:dyDescent="0.3">
      <c r="A3550" s="26">
        <v>45342</v>
      </c>
      <c r="B3550" t="s">
        <v>829</v>
      </c>
      <c r="C3550" t="s">
        <v>753</v>
      </c>
      <c r="D3550">
        <v>1.65</v>
      </c>
      <c r="E3550" t="s">
        <v>226</v>
      </c>
      <c r="F3550" t="s">
        <v>754</v>
      </c>
      <c r="G3550" t="s">
        <v>3311</v>
      </c>
      <c r="H3550" t="s">
        <v>32</v>
      </c>
      <c r="I3550" s="28" t="s">
        <v>25</v>
      </c>
    </row>
    <row r="3551" spans="1:9" x14ac:dyDescent="0.3">
      <c r="A3551" s="26">
        <v>45342</v>
      </c>
      <c r="B3551" t="s">
        <v>829</v>
      </c>
      <c r="C3551" t="s">
        <v>753</v>
      </c>
      <c r="D3551">
        <v>2.2799999999999998</v>
      </c>
      <c r="E3551" t="s">
        <v>226</v>
      </c>
      <c r="F3551" t="s">
        <v>754</v>
      </c>
      <c r="G3551" t="s">
        <v>3145</v>
      </c>
      <c r="H3551" t="s">
        <v>32</v>
      </c>
      <c r="I3551" s="28" t="s">
        <v>25</v>
      </c>
    </row>
    <row r="3552" spans="1:9" x14ac:dyDescent="0.3">
      <c r="A3552" s="26">
        <v>45342</v>
      </c>
      <c r="B3552" t="s">
        <v>829</v>
      </c>
      <c r="C3552" t="s">
        <v>789</v>
      </c>
      <c r="D3552">
        <v>0.27</v>
      </c>
      <c r="E3552" t="s">
        <v>458</v>
      </c>
      <c r="F3552" t="s">
        <v>754</v>
      </c>
      <c r="G3552" t="s">
        <v>3312</v>
      </c>
      <c r="H3552" t="s">
        <v>32</v>
      </c>
      <c r="I3552" s="28" t="s">
        <v>25</v>
      </c>
    </row>
    <row r="3553" spans="1:9" x14ac:dyDescent="0.3">
      <c r="A3553" s="26">
        <v>45342</v>
      </c>
      <c r="B3553" t="s">
        <v>829</v>
      </c>
      <c r="C3553" t="s">
        <v>789</v>
      </c>
      <c r="D3553">
        <v>0.47</v>
      </c>
      <c r="E3553" t="s">
        <v>790</v>
      </c>
      <c r="F3553" t="s">
        <v>754</v>
      </c>
      <c r="H3553" t="s">
        <v>32</v>
      </c>
      <c r="I3553" s="28" t="s">
        <v>25</v>
      </c>
    </row>
    <row r="3554" spans="1:9" x14ac:dyDescent="0.3">
      <c r="A3554" s="26">
        <v>45342</v>
      </c>
      <c r="B3554" t="s">
        <v>829</v>
      </c>
      <c r="C3554" t="s">
        <v>771</v>
      </c>
      <c r="D3554">
        <v>0.1</v>
      </c>
      <c r="E3554" t="s">
        <v>7</v>
      </c>
      <c r="F3554" t="s">
        <v>772</v>
      </c>
      <c r="G3554" t="s">
        <v>3313</v>
      </c>
      <c r="H3554" t="s">
        <v>32</v>
      </c>
      <c r="I3554" s="28" t="s">
        <v>25</v>
      </c>
    </row>
    <row r="3555" spans="1:9" x14ac:dyDescent="0.3">
      <c r="A3555" s="26">
        <v>45342</v>
      </c>
      <c r="B3555" t="s">
        <v>829</v>
      </c>
      <c r="C3555" t="s">
        <v>771</v>
      </c>
      <c r="D3555">
        <v>0.5</v>
      </c>
      <c r="E3555" t="s">
        <v>7</v>
      </c>
      <c r="F3555" t="s">
        <v>772</v>
      </c>
      <c r="G3555" t="s">
        <v>781</v>
      </c>
      <c r="H3555" t="s">
        <v>32</v>
      </c>
      <c r="I3555" s="28" t="s">
        <v>25</v>
      </c>
    </row>
    <row r="3556" spans="1:9" x14ac:dyDescent="0.3">
      <c r="A3556" s="26">
        <v>45342</v>
      </c>
      <c r="B3556" t="s">
        <v>829</v>
      </c>
      <c r="C3556" t="s">
        <v>776</v>
      </c>
      <c r="D3556">
        <v>0.15</v>
      </c>
      <c r="E3556" t="s">
        <v>790</v>
      </c>
      <c r="F3556" t="s">
        <v>754</v>
      </c>
      <c r="G3556" t="s">
        <v>3314</v>
      </c>
      <c r="H3556" t="s">
        <v>32</v>
      </c>
      <c r="I3556" s="28" t="s">
        <v>25</v>
      </c>
    </row>
    <row r="3557" spans="1:9" x14ac:dyDescent="0.3">
      <c r="A3557" s="26">
        <v>45342</v>
      </c>
      <c r="B3557" t="s">
        <v>840</v>
      </c>
      <c r="C3557" t="s">
        <v>771</v>
      </c>
      <c r="D3557">
        <v>9.98</v>
      </c>
      <c r="E3557" t="s">
        <v>7</v>
      </c>
      <c r="F3557" t="s">
        <v>772</v>
      </c>
      <c r="G3557" t="s">
        <v>3315</v>
      </c>
      <c r="H3557" t="s">
        <v>32</v>
      </c>
      <c r="I3557" s="28" t="s">
        <v>25</v>
      </c>
    </row>
    <row r="3558" spans="1:9" x14ac:dyDescent="0.3">
      <c r="A3558" s="26">
        <v>45342</v>
      </c>
      <c r="B3558" t="s">
        <v>843</v>
      </c>
      <c r="C3558" t="s">
        <v>753</v>
      </c>
      <c r="D3558">
        <v>0.28000000000000003</v>
      </c>
      <c r="E3558" t="s">
        <v>563</v>
      </c>
      <c r="F3558" t="s">
        <v>754</v>
      </c>
      <c r="H3558" t="s">
        <v>32</v>
      </c>
      <c r="I3558" s="28" t="s">
        <v>25</v>
      </c>
    </row>
    <row r="3559" spans="1:9" x14ac:dyDescent="0.3">
      <c r="A3559" s="26">
        <v>45342</v>
      </c>
      <c r="B3559" t="s">
        <v>843</v>
      </c>
      <c r="C3559" t="s">
        <v>753</v>
      </c>
      <c r="D3559">
        <v>0.45</v>
      </c>
      <c r="E3559" t="s">
        <v>234</v>
      </c>
      <c r="F3559" t="s">
        <v>754</v>
      </c>
      <c r="H3559" t="s">
        <v>32</v>
      </c>
      <c r="I3559" s="28" t="s">
        <v>25</v>
      </c>
    </row>
    <row r="3560" spans="1:9" x14ac:dyDescent="0.3">
      <c r="A3560" s="26">
        <v>45342</v>
      </c>
      <c r="B3560" t="s">
        <v>843</v>
      </c>
      <c r="C3560" t="s">
        <v>753</v>
      </c>
      <c r="D3560">
        <v>0.67</v>
      </c>
      <c r="E3560" t="s">
        <v>234</v>
      </c>
      <c r="F3560" t="s">
        <v>754</v>
      </c>
      <c r="G3560" t="s">
        <v>3316</v>
      </c>
      <c r="H3560" t="s">
        <v>32</v>
      </c>
      <c r="I3560" s="28" t="s">
        <v>25</v>
      </c>
    </row>
    <row r="3561" spans="1:9" x14ac:dyDescent="0.3">
      <c r="A3561" s="26">
        <v>45342</v>
      </c>
      <c r="B3561" t="s">
        <v>843</v>
      </c>
      <c r="C3561" t="s">
        <v>753</v>
      </c>
      <c r="D3561">
        <v>0.88</v>
      </c>
      <c r="E3561" t="s">
        <v>564</v>
      </c>
      <c r="F3561" t="s">
        <v>754</v>
      </c>
      <c r="G3561" t="s">
        <v>2278</v>
      </c>
      <c r="H3561" t="s">
        <v>32</v>
      </c>
      <c r="I3561" s="28" t="s">
        <v>25</v>
      </c>
    </row>
    <row r="3562" spans="1:9" x14ac:dyDescent="0.3">
      <c r="A3562" s="26">
        <v>45342</v>
      </c>
      <c r="B3562" t="s">
        <v>843</v>
      </c>
      <c r="C3562" t="s">
        <v>753</v>
      </c>
      <c r="D3562">
        <v>1.05</v>
      </c>
      <c r="E3562" t="s">
        <v>234</v>
      </c>
      <c r="F3562" t="s">
        <v>754</v>
      </c>
      <c r="G3562" t="s">
        <v>3317</v>
      </c>
      <c r="H3562" t="s">
        <v>32</v>
      </c>
      <c r="I3562" s="28" t="s">
        <v>25</v>
      </c>
    </row>
    <row r="3563" spans="1:9" x14ac:dyDescent="0.3">
      <c r="A3563" s="26">
        <v>45342</v>
      </c>
      <c r="B3563" t="s">
        <v>843</v>
      </c>
      <c r="C3563" t="s">
        <v>753</v>
      </c>
      <c r="D3563">
        <v>1.7</v>
      </c>
      <c r="E3563" t="s">
        <v>845</v>
      </c>
      <c r="F3563" t="s">
        <v>754</v>
      </c>
      <c r="G3563" t="s">
        <v>2278</v>
      </c>
      <c r="H3563" t="s">
        <v>32</v>
      </c>
      <c r="I3563" s="28" t="s">
        <v>25</v>
      </c>
    </row>
    <row r="3564" spans="1:9" x14ac:dyDescent="0.3">
      <c r="A3564" s="26">
        <v>45342</v>
      </c>
      <c r="B3564" t="s">
        <v>843</v>
      </c>
      <c r="C3564" t="s">
        <v>753</v>
      </c>
      <c r="D3564">
        <v>2.4700000000000002</v>
      </c>
      <c r="E3564" t="s">
        <v>690</v>
      </c>
      <c r="F3564" t="s">
        <v>754</v>
      </c>
      <c r="G3564" t="s">
        <v>2278</v>
      </c>
      <c r="H3564" t="s">
        <v>32</v>
      </c>
      <c r="I3564" s="28" t="s">
        <v>25</v>
      </c>
    </row>
    <row r="3565" spans="1:9" x14ac:dyDescent="0.3">
      <c r="A3565" s="26">
        <v>45342</v>
      </c>
      <c r="B3565" t="s">
        <v>843</v>
      </c>
      <c r="C3565" t="s">
        <v>771</v>
      </c>
      <c r="D3565">
        <v>0.5</v>
      </c>
      <c r="E3565" t="s">
        <v>7</v>
      </c>
      <c r="F3565" t="s">
        <v>772</v>
      </c>
      <c r="G3565" t="s">
        <v>781</v>
      </c>
      <c r="H3565" t="s">
        <v>32</v>
      </c>
      <c r="I3565" s="28" t="s">
        <v>25</v>
      </c>
    </row>
    <row r="3566" spans="1:9" x14ac:dyDescent="0.3">
      <c r="A3566" s="26">
        <v>45342</v>
      </c>
      <c r="B3566" t="s">
        <v>856</v>
      </c>
      <c r="C3566" t="s">
        <v>753</v>
      </c>
      <c r="D3566">
        <v>7.0000000000000007E-2</v>
      </c>
      <c r="E3566" t="s">
        <v>173</v>
      </c>
      <c r="F3566" t="s">
        <v>754</v>
      </c>
      <c r="G3566" t="s">
        <v>3318</v>
      </c>
      <c r="H3566" t="s">
        <v>32</v>
      </c>
      <c r="I3566" s="28" t="s">
        <v>25</v>
      </c>
    </row>
    <row r="3567" spans="1:9" x14ac:dyDescent="0.3">
      <c r="A3567" s="26">
        <v>45342</v>
      </c>
      <c r="B3567" t="s">
        <v>856</v>
      </c>
      <c r="C3567" t="s">
        <v>753</v>
      </c>
      <c r="D3567">
        <v>0.6</v>
      </c>
      <c r="E3567" t="s">
        <v>583</v>
      </c>
      <c r="F3567" t="s">
        <v>772</v>
      </c>
      <c r="G3567" t="s">
        <v>3319</v>
      </c>
      <c r="H3567" t="s">
        <v>32</v>
      </c>
      <c r="I3567" s="28" t="s">
        <v>25</v>
      </c>
    </row>
    <row r="3568" spans="1:9" x14ac:dyDescent="0.3">
      <c r="A3568" s="26">
        <v>45342</v>
      </c>
      <c r="B3568" t="s">
        <v>856</v>
      </c>
      <c r="C3568" t="s">
        <v>771</v>
      </c>
      <c r="D3568">
        <v>0.25</v>
      </c>
      <c r="E3568" t="s">
        <v>7</v>
      </c>
      <c r="F3568" t="s">
        <v>772</v>
      </c>
      <c r="G3568" t="s">
        <v>1576</v>
      </c>
      <c r="H3568" t="s">
        <v>32</v>
      </c>
      <c r="I3568" s="28" t="s">
        <v>25</v>
      </c>
    </row>
    <row r="3569" spans="1:9" x14ac:dyDescent="0.3">
      <c r="A3569" s="26">
        <v>45342</v>
      </c>
      <c r="B3569" t="s">
        <v>856</v>
      </c>
      <c r="C3569" t="s">
        <v>771</v>
      </c>
      <c r="D3569">
        <v>0.32</v>
      </c>
      <c r="E3569" t="s">
        <v>7</v>
      </c>
      <c r="F3569" t="s">
        <v>772</v>
      </c>
      <c r="G3569" t="s">
        <v>3154</v>
      </c>
      <c r="H3569" t="s">
        <v>32</v>
      </c>
      <c r="I3569" s="28" t="s">
        <v>25</v>
      </c>
    </row>
    <row r="3570" spans="1:9" x14ac:dyDescent="0.3">
      <c r="A3570" s="26">
        <v>45342</v>
      </c>
      <c r="B3570" t="s">
        <v>856</v>
      </c>
      <c r="C3570" t="s">
        <v>835</v>
      </c>
      <c r="D3570">
        <v>1.32</v>
      </c>
      <c r="E3570" t="s">
        <v>857</v>
      </c>
      <c r="F3570" t="s">
        <v>754</v>
      </c>
      <c r="G3570" t="s">
        <v>1780</v>
      </c>
      <c r="H3570" t="s">
        <v>32</v>
      </c>
      <c r="I3570" s="28" t="s">
        <v>25</v>
      </c>
    </row>
    <row r="3571" spans="1:9" x14ac:dyDescent="0.3">
      <c r="A3571" s="26">
        <v>45342</v>
      </c>
      <c r="B3571" t="s">
        <v>856</v>
      </c>
      <c r="C3571" t="s">
        <v>776</v>
      </c>
      <c r="D3571">
        <v>0.45</v>
      </c>
      <c r="E3571" t="s">
        <v>589</v>
      </c>
      <c r="F3571" t="s">
        <v>754</v>
      </c>
      <c r="G3571" t="s">
        <v>3320</v>
      </c>
      <c r="H3571" t="s">
        <v>32</v>
      </c>
      <c r="I3571" s="28" t="s">
        <v>25</v>
      </c>
    </row>
    <row r="3572" spans="1:9" x14ac:dyDescent="0.3">
      <c r="A3572" s="26">
        <v>45342</v>
      </c>
      <c r="B3572" t="s">
        <v>856</v>
      </c>
      <c r="C3572" t="s">
        <v>776</v>
      </c>
      <c r="D3572">
        <v>5</v>
      </c>
      <c r="E3572" t="s">
        <v>879</v>
      </c>
      <c r="F3572" t="s">
        <v>754</v>
      </c>
      <c r="G3572" t="s">
        <v>1573</v>
      </c>
      <c r="H3572" t="s">
        <v>32</v>
      </c>
      <c r="I3572" s="28" t="s">
        <v>25</v>
      </c>
    </row>
    <row r="3573" spans="1:9" x14ac:dyDescent="0.3">
      <c r="A3573" s="26">
        <v>45342</v>
      </c>
      <c r="B3573" t="s">
        <v>33</v>
      </c>
      <c r="C3573" t="s">
        <v>789</v>
      </c>
      <c r="D3573">
        <v>1.48</v>
      </c>
      <c r="E3573" t="s">
        <v>2496</v>
      </c>
      <c r="F3573" t="s">
        <v>754</v>
      </c>
      <c r="G3573" t="s">
        <v>3321</v>
      </c>
      <c r="H3573" t="s">
        <v>32</v>
      </c>
      <c r="I3573" s="28" t="s">
        <v>25</v>
      </c>
    </row>
    <row r="3574" spans="1:9" x14ac:dyDescent="0.3">
      <c r="A3574" s="26">
        <v>45342</v>
      </c>
      <c r="B3574" t="s">
        <v>33</v>
      </c>
      <c r="C3574" t="s">
        <v>771</v>
      </c>
      <c r="D3574">
        <v>0.43</v>
      </c>
      <c r="E3574" t="s">
        <v>7</v>
      </c>
      <c r="F3574" t="s">
        <v>772</v>
      </c>
      <c r="G3574" t="s">
        <v>3322</v>
      </c>
      <c r="H3574" t="s">
        <v>32</v>
      </c>
      <c r="I3574" s="28" t="s">
        <v>25</v>
      </c>
    </row>
    <row r="3575" spans="1:9" x14ac:dyDescent="0.3">
      <c r="A3575" s="26">
        <v>45342</v>
      </c>
      <c r="B3575" t="s">
        <v>33</v>
      </c>
      <c r="C3575" t="s">
        <v>771</v>
      </c>
      <c r="D3575">
        <v>0.5</v>
      </c>
      <c r="E3575" t="s">
        <v>7</v>
      </c>
      <c r="F3575" t="s">
        <v>772</v>
      </c>
      <c r="G3575" t="s">
        <v>3323</v>
      </c>
      <c r="H3575" t="s">
        <v>32</v>
      </c>
      <c r="I3575" s="28" t="s">
        <v>25</v>
      </c>
    </row>
    <row r="3576" spans="1:9" x14ac:dyDescent="0.3">
      <c r="A3576" s="26">
        <v>45342</v>
      </c>
      <c r="B3576" t="s">
        <v>33</v>
      </c>
      <c r="C3576" t="s">
        <v>771</v>
      </c>
      <c r="D3576">
        <v>0.9</v>
      </c>
      <c r="E3576" t="s">
        <v>7</v>
      </c>
      <c r="F3576" t="s">
        <v>772</v>
      </c>
      <c r="G3576" t="s">
        <v>3324</v>
      </c>
      <c r="H3576" t="s">
        <v>32</v>
      </c>
      <c r="I3576" s="28" t="s">
        <v>25</v>
      </c>
    </row>
    <row r="3577" spans="1:9" x14ac:dyDescent="0.3">
      <c r="A3577" s="26">
        <v>45342</v>
      </c>
      <c r="B3577" t="s">
        <v>33</v>
      </c>
      <c r="C3577" t="s">
        <v>771</v>
      </c>
      <c r="D3577">
        <v>3.2</v>
      </c>
      <c r="E3577" t="s">
        <v>7</v>
      </c>
      <c r="F3577" t="s">
        <v>772</v>
      </c>
      <c r="G3577" t="s">
        <v>3325</v>
      </c>
      <c r="H3577" t="s">
        <v>32</v>
      </c>
      <c r="I3577" s="28" t="s">
        <v>25</v>
      </c>
    </row>
    <row r="3578" spans="1:9" x14ac:dyDescent="0.3">
      <c r="A3578" s="26">
        <v>45342</v>
      </c>
      <c r="B3578" t="s">
        <v>33</v>
      </c>
      <c r="C3578" t="s">
        <v>835</v>
      </c>
      <c r="D3578">
        <v>1.08</v>
      </c>
      <c r="E3578" t="s">
        <v>2525</v>
      </c>
      <c r="F3578" t="s">
        <v>754</v>
      </c>
      <c r="G3578" t="s">
        <v>3326</v>
      </c>
      <c r="H3578" t="s">
        <v>32</v>
      </c>
      <c r="I3578" s="28" t="s">
        <v>25</v>
      </c>
    </row>
    <row r="3579" spans="1:9" x14ac:dyDescent="0.3">
      <c r="A3579" s="26">
        <v>45342</v>
      </c>
      <c r="B3579" t="s">
        <v>33</v>
      </c>
      <c r="C3579" t="s">
        <v>874</v>
      </c>
      <c r="D3579">
        <v>0.56999999999999995</v>
      </c>
      <c r="E3579" t="s">
        <v>7</v>
      </c>
      <c r="F3579" t="s">
        <v>772</v>
      </c>
      <c r="G3579" t="s">
        <v>3327</v>
      </c>
      <c r="H3579" t="s">
        <v>32</v>
      </c>
      <c r="I3579" s="28" t="s">
        <v>25</v>
      </c>
    </row>
    <row r="3580" spans="1:9" x14ac:dyDescent="0.3">
      <c r="A3580" s="26">
        <v>45342</v>
      </c>
      <c r="B3580" t="s">
        <v>876</v>
      </c>
      <c r="C3580" t="s">
        <v>1163</v>
      </c>
      <c r="D3580">
        <v>8</v>
      </c>
      <c r="E3580" t="s">
        <v>7</v>
      </c>
      <c r="F3580" t="s">
        <v>772</v>
      </c>
      <c r="G3580" t="s">
        <v>3157</v>
      </c>
      <c r="H3580" t="s">
        <v>32</v>
      </c>
      <c r="I3580" s="28" t="s">
        <v>25</v>
      </c>
    </row>
    <row r="3581" spans="1:9" x14ac:dyDescent="0.3">
      <c r="A3581" s="26">
        <v>45342</v>
      </c>
      <c r="B3581" t="s">
        <v>877</v>
      </c>
      <c r="C3581" t="s">
        <v>878</v>
      </c>
      <c r="D3581">
        <v>1</v>
      </c>
      <c r="E3581" t="s">
        <v>882</v>
      </c>
      <c r="F3581" t="s">
        <v>754</v>
      </c>
      <c r="G3581" t="s">
        <v>3328</v>
      </c>
      <c r="H3581" t="s">
        <v>32</v>
      </c>
      <c r="I3581" s="28" t="s">
        <v>25</v>
      </c>
    </row>
    <row r="3582" spans="1:9" x14ac:dyDescent="0.3">
      <c r="A3582" s="26">
        <v>45342</v>
      </c>
      <c r="B3582" t="s">
        <v>877</v>
      </c>
      <c r="C3582" t="s">
        <v>878</v>
      </c>
      <c r="D3582">
        <v>6.75</v>
      </c>
      <c r="E3582" t="s">
        <v>879</v>
      </c>
      <c r="F3582" t="s">
        <v>754</v>
      </c>
      <c r="G3582" t="s">
        <v>3329</v>
      </c>
      <c r="H3582" t="s">
        <v>32</v>
      </c>
      <c r="I3582" s="28" t="s">
        <v>25</v>
      </c>
    </row>
    <row r="3583" spans="1:9" x14ac:dyDescent="0.3">
      <c r="A3583" s="26">
        <v>45342</v>
      </c>
      <c r="B3583" t="s">
        <v>884</v>
      </c>
      <c r="C3583" t="s">
        <v>753</v>
      </c>
      <c r="D3583">
        <v>0.13</v>
      </c>
      <c r="E3583" t="s">
        <v>885</v>
      </c>
      <c r="F3583" t="s">
        <v>754</v>
      </c>
      <c r="H3583" t="s">
        <v>32</v>
      </c>
      <c r="I3583" s="28" t="s">
        <v>25</v>
      </c>
    </row>
    <row r="3584" spans="1:9" x14ac:dyDescent="0.3">
      <c r="A3584" s="26">
        <v>45342</v>
      </c>
      <c r="B3584" t="s">
        <v>884</v>
      </c>
      <c r="C3584" t="s">
        <v>753</v>
      </c>
      <c r="D3584">
        <v>0.22</v>
      </c>
      <c r="E3584" t="s">
        <v>288</v>
      </c>
      <c r="F3584" t="s">
        <v>754</v>
      </c>
      <c r="G3584" t="s">
        <v>849</v>
      </c>
      <c r="H3584" t="s">
        <v>32</v>
      </c>
      <c r="I3584" s="28" t="s">
        <v>25</v>
      </c>
    </row>
    <row r="3585" spans="1:9" x14ac:dyDescent="0.3">
      <c r="A3585" s="26">
        <v>45342</v>
      </c>
      <c r="B3585" t="s">
        <v>884</v>
      </c>
      <c r="C3585" t="s">
        <v>753</v>
      </c>
      <c r="D3585">
        <v>0.25</v>
      </c>
      <c r="E3585" t="s">
        <v>316</v>
      </c>
      <c r="F3585" t="s">
        <v>754</v>
      </c>
      <c r="H3585" t="s">
        <v>32</v>
      </c>
      <c r="I3585" s="28" t="s">
        <v>25</v>
      </c>
    </row>
    <row r="3586" spans="1:9" x14ac:dyDescent="0.3">
      <c r="A3586" s="26">
        <v>45342</v>
      </c>
      <c r="B3586" t="s">
        <v>884</v>
      </c>
      <c r="C3586" t="s">
        <v>753</v>
      </c>
      <c r="D3586">
        <v>0.25</v>
      </c>
      <c r="E3586" t="s">
        <v>646</v>
      </c>
      <c r="F3586" t="s">
        <v>754</v>
      </c>
      <c r="H3586" t="s">
        <v>32</v>
      </c>
      <c r="I3586" s="28" t="s">
        <v>25</v>
      </c>
    </row>
    <row r="3587" spans="1:9" x14ac:dyDescent="0.3">
      <c r="A3587" s="26">
        <v>45342</v>
      </c>
      <c r="B3587" t="s">
        <v>884</v>
      </c>
      <c r="C3587" t="s">
        <v>753</v>
      </c>
      <c r="D3587">
        <v>0.33</v>
      </c>
      <c r="E3587" t="s">
        <v>885</v>
      </c>
      <c r="F3587" t="s">
        <v>754</v>
      </c>
      <c r="G3587" t="s">
        <v>2017</v>
      </c>
      <c r="H3587" t="s">
        <v>32</v>
      </c>
      <c r="I3587" s="28" t="s">
        <v>25</v>
      </c>
    </row>
    <row r="3588" spans="1:9" x14ac:dyDescent="0.3">
      <c r="A3588" s="26">
        <v>45342</v>
      </c>
      <c r="B3588" t="s">
        <v>884</v>
      </c>
      <c r="C3588" t="s">
        <v>753</v>
      </c>
      <c r="D3588">
        <v>0.53</v>
      </c>
      <c r="E3588" t="s">
        <v>885</v>
      </c>
      <c r="F3588" t="s">
        <v>754</v>
      </c>
      <c r="G3588" t="s">
        <v>3330</v>
      </c>
      <c r="H3588" t="s">
        <v>32</v>
      </c>
      <c r="I3588" s="28" t="s">
        <v>25</v>
      </c>
    </row>
    <row r="3589" spans="1:9" x14ac:dyDescent="0.3">
      <c r="A3589" s="26">
        <v>45342</v>
      </c>
      <c r="B3589" t="s">
        <v>884</v>
      </c>
      <c r="C3589" t="s">
        <v>753</v>
      </c>
      <c r="D3589">
        <v>0.73</v>
      </c>
      <c r="E3589" t="s">
        <v>375</v>
      </c>
      <c r="F3589" t="s">
        <v>754</v>
      </c>
      <c r="G3589" t="s">
        <v>3331</v>
      </c>
      <c r="H3589" t="s">
        <v>32</v>
      </c>
      <c r="I3589" s="28" t="s">
        <v>25</v>
      </c>
    </row>
    <row r="3590" spans="1:9" x14ac:dyDescent="0.3">
      <c r="A3590" s="26">
        <v>45342</v>
      </c>
      <c r="B3590" t="s">
        <v>884</v>
      </c>
      <c r="C3590" t="s">
        <v>753</v>
      </c>
      <c r="D3590">
        <v>0.9</v>
      </c>
      <c r="E3590" t="s">
        <v>248</v>
      </c>
      <c r="F3590" t="s">
        <v>754</v>
      </c>
      <c r="G3590" t="s">
        <v>3332</v>
      </c>
      <c r="H3590" t="s">
        <v>32</v>
      </c>
      <c r="I3590" s="28" t="s">
        <v>25</v>
      </c>
    </row>
    <row r="3591" spans="1:9" x14ac:dyDescent="0.3">
      <c r="A3591" s="26">
        <v>45342</v>
      </c>
      <c r="B3591" t="s">
        <v>884</v>
      </c>
      <c r="C3591" t="s">
        <v>753</v>
      </c>
      <c r="D3591">
        <v>1</v>
      </c>
      <c r="E3591" t="s">
        <v>248</v>
      </c>
      <c r="F3591" t="s">
        <v>754</v>
      </c>
      <c r="G3591" t="s">
        <v>3333</v>
      </c>
      <c r="H3591" t="s">
        <v>32</v>
      </c>
      <c r="I3591" s="28" t="s">
        <v>25</v>
      </c>
    </row>
    <row r="3592" spans="1:9" x14ac:dyDescent="0.3">
      <c r="A3592" s="26">
        <v>45342</v>
      </c>
      <c r="B3592" t="s">
        <v>884</v>
      </c>
      <c r="C3592" t="s">
        <v>753</v>
      </c>
      <c r="D3592">
        <v>1</v>
      </c>
      <c r="E3592" t="s">
        <v>562</v>
      </c>
      <c r="F3592" t="s">
        <v>754</v>
      </c>
      <c r="G3592" t="s">
        <v>3334</v>
      </c>
      <c r="H3592" t="s">
        <v>32</v>
      </c>
      <c r="I3592" s="28" t="s">
        <v>25</v>
      </c>
    </row>
    <row r="3593" spans="1:9" x14ac:dyDescent="0.3">
      <c r="A3593" s="26">
        <v>45342</v>
      </c>
      <c r="B3593" t="s">
        <v>884</v>
      </c>
      <c r="C3593" t="s">
        <v>753</v>
      </c>
      <c r="D3593">
        <v>1.17</v>
      </c>
      <c r="E3593" t="s">
        <v>375</v>
      </c>
      <c r="F3593" t="s">
        <v>754</v>
      </c>
      <c r="H3593" t="s">
        <v>32</v>
      </c>
      <c r="I3593" s="28" t="s">
        <v>25</v>
      </c>
    </row>
    <row r="3594" spans="1:9" x14ac:dyDescent="0.3">
      <c r="A3594" s="26">
        <v>45342</v>
      </c>
      <c r="B3594" t="s">
        <v>884</v>
      </c>
      <c r="C3594" t="s">
        <v>753</v>
      </c>
      <c r="D3594">
        <v>1.52</v>
      </c>
      <c r="E3594" t="s">
        <v>562</v>
      </c>
      <c r="F3594" t="s">
        <v>754</v>
      </c>
      <c r="H3594" t="s">
        <v>32</v>
      </c>
      <c r="I3594" s="28" t="s">
        <v>25</v>
      </c>
    </row>
    <row r="3595" spans="1:9" x14ac:dyDescent="0.3">
      <c r="A3595" s="26">
        <v>45342</v>
      </c>
      <c r="B3595" t="s">
        <v>891</v>
      </c>
      <c r="C3595" t="s">
        <v>3169</v>
      </c>
      <c r="D3595">
        <v>8</v>
      </c>
      <c r="E3595" t="s">
        <v>7</v>
      </c>
      <c r="F3595" t="s">
        <v>772</v>
      </c>
      <c r="G3595" t="s">
        <v>3170</v>
      </c>
      <c r="H3595" t="s">
        <v>32</v>
      </c>
      <c r="I3595" s="28" t="s">
        <v>25</v>
      </c>
    </row>
    <row r="3596" spans="1:9" x14ac:dyDescent="0.3">
      <c r="A3596" s="26">
        <v>45342</v>
      </c>
      <c r="B3596" t="s">
        <v>34</v>
      </c>
      <c r="C3596" t="s">
        <v>802</v>
      </c>
      <c r="D3596">
        <v>8</v>
      </c>
      <c r="E3596" t="s">
        <v>7</v>
      </c>
      <c r="F3596" t="s">
        <v>772</v>
      </c>
      <c r="H3596" t="s">
        <v>32</v>
      </c>
      <c r="I3596" s="28" t="s">
        <v>25</v>
      </c>
    </row>
    <row r="3597" spans="1:9" x14ac:dyDescent="0.3">
      <c r="A3597" s="26">
        <v>45342</v>
      </c>
      <c r="B3597" t="s">
        <v>893</v>
      </c>
      <c r="C3597" t="s">
        <v>802</v>
      </c>
      <c r="D3597">
        <v>8</v>
      </c>
      <c r="E3597" t="s">
        <v>7</v>
      </c>
      <c r="F3597" t="s">
        <v>772</v>
      </c>
      <c r="G3597" t="s">
        <v>3335</v>
      </c>
      <c r="H3597" t="s">
        <v>32</v>
      </c>
      <c r="I3597" s="28" t="s">
        <v>25</v>
      </c>
    </row>
    <row r="3598" spans="1:9" x14ac:dyDescent="0.3">
      <c r="A3598" s="26">
        <v>45342</v>
      </c>
      <c r="B3598" t="s">
        <v>895</v>
      </c>
      <c r="C3598" t="s">
        <v>753</v>
      </c>
      <c r="D3598">
        <v>0.13</v>
      </c>
      <c r="E3598" t="s">
        <v>898</v>
      </c>
      <c r="F3598" t="s">
        <v>754</v>
      </c>
      <c r="G3598" t="s">
        <v>3336</v>
      </c>
      <c r="H3598" t="s">
        <v>32</v>
      </c>
      <c r="I3598" s="28" t="s">
        <v>25</v>
      </c>
    </row>
    <row r="3599" spans="1:9" x14ac:dyDescent="0.3">
      <c r="A3599" s="26">
        <v>45342</v>
      </c>
      <c r="B3599" t="s">
        <v>895</v>
      </c>
      <c r="C3599" t="s">
        <v>753</v>
      </c>
      <c r="D3599">
        <v>0.55000000000000004</v>
      </c>
      <c r="E3599" t="s">
        <v>813</v>
      </c>
      <c r="F3599" t="s">
        <v>754</v>
      </c>
      <c r="G3599" t="s">
        <v>3337</v>
      </c>
      <c r="H3599" t="s">
        <v>32</v>
      </c>
      <c r="I3599" s="28" t="s">
        <v>25</v>
      </c>
    </row>
    <row r="3600" spans="1:9" x14ac:dyDescent="0.3">
      <c r="A3600" s="26">
        <v>45342</v>
      </c>
      <c r="B3600" t="s">
        <v>895</v>
      </c>
      <c r="C3600" t="s">
        <v>753</v>
      </c>
      <c r="D3600">
        <v>0.56999999999999995</v>
      </c>
      <c r="E3600" t="s">
        <v>910</v>
      </c>
      <c r="F3600" t="s">
        <v>754</v>
      </c>
      <c r="G3600" t="s">
        <v>3338</v>
      </c>
      <c r="H3600" t="s">
        <v>32</v>
      </c>
      <c r="I3600" s="28" t="s">
        <v>25</v>
      </c>
    </row>
    <row r="3601" spans="1:9" x14ac:dyDescent="0.3">
      <c r="A3601" s="26">
        <v>45342</v>
      </c>
      <c r="B3601" t="s">
        <v>895</v>
      </c>
      <c r="C3601" t="s">
        <v>771</v>
      </c>
      <c r="D3601">
        <v>0.08</v>
      </c>
      <c r="E3601" t="s">
        <v>7</v>
      </c>
      <c r="F3601" t="s">
        <v>772</v>
      </c>
      <c r="G3601" t="s">
        <v>760</v>
      </c>
      <c r="H3601" t="s">
        <v>32</v>
      </c>
      <c r="I3601" s="28" t="s">
        <v>25</v>
      </c>
    </row>
    <row r="3602" spans="1:9" x14ac:dyDescent="0.3">
      <c r="A3602" s="26">
        <v>45342</v>
      </c>
      <c r="B3602" t="s">
        <v>895</v>
      </c>
      <c r="C3602" t="s">
        <v>771</v>
      </c>
      <c r="D3602">
        <v>1.5</v>
      </c>
      <c r="E3602" t="s">
        <v>7</v>
      </c>
      <c r="F3602" t="s">
        <v>772</v>
      </c>
      <c r="G3602" t="s">
        <v>3339</v>
      </c>
      <c r="H3602" t="s">
        <v>32</v>
      </c>
      <c r="I3602" s="28" t="s">
        <v>25</v>
      </c>
    </row>
    <row r="3603" spans="1:9" x14ac:dyDescent="0.3">
      <c r="A3603" s="26">
        <v>45342</v>
      </c>
      <c r="B3603" t="s">
        <v>895</v>
      </c>
      <c r="C3603" t="s">
        <v>776</v>
      </c>
      <c r="D3603">
        <v>0.23</v>
      </c>
      <c r="E3603" t="s">
        <v>903</v>
      </c>
      <c r="F3603" t="s">
        <v>754</v>
      </c>
      <c r="G3603" t="s">
        <v>3340</v>
      </c>
      <c r="H3603" t="s">
        <v>32</v>
      </c>
      <c r="I3603" s="28" t="s">
        <v>25</v>
      </c>
    </row>
    <row r="3604" spans="1:9" x14ac:dyDescent="0.3">
      <c r="A3604" s="26">
        <v>45342</v>
      </c>
      <c r="B3604" t="s">
        <v>895</v>
      </c>
      <c r="C3604" t="s">
        <v>776</v>
      </c>
      <c r="D3604">
        <v>0.78</v>
      </c>
      <c r="E3604" t="s">
        <v>903</v>
      </c>
      <c r="F3604" t="s">
        <v>754</v>
      </c>
      <c r="G3604" t="s">
        <v>3341</v>
      </c>
      <c r="H3604" t="s">
        <v>32</v>
      </c>
      <c r="I3604" s="28" t="s">
        <v>25</v>
      </c>
    </row>
    <row r="3605" spans="1:9" x14ac:dyDescent="0.3">
      <c r="A3605" s="26">
        <v>45342</v>
      </c>
      <c r="B3605" t="s">
        <v>895</v>
      </c>
      <c r="C3605" t="s">
        <v>776</v>
      </c>
      <c r="D3605">
        <v>3</v>
      </c>
      <c r="E3605" t="s">
        <v>879</v>
      </c>
      <c r="F3605" t="s">
        <v>754</v>
      </c>
      <c r="G3605" t="s">
        <v>3342</v>
      </c>
      <c r="H3605" t="s">
        <v>32</v>
      </c>
      <c r="I3605" s="28" t="s">
        <v>25</v>
      </c>
    </row>
    <row r="3606" spans="1:9" x14ac:dyDescent="0.3">
      <c r="A3606" s="26">
        <v>45342</v>
      </c>
      <c r="B3606" t="s">
        <v>1391</v>
      </c>
      <c r="C3606" t="s">
        <v>874</v>
      </c>
      <c r="D3606">
        <v>0.25</v>
      </c>
      <c r="E3606" t="s">
        <v>7</v>
      </c>
      <c r="F3606" t="s">
        <v>772</v>
      </c>
      <c r="G3606" t="s">
        <v>3343</v>
      </c>
      <c r="H3606" t="s">
        <v>32</v>
      </c>
      <c r="I3606" s="28" t="s">
        <v>25</v>
      </c>
    </row>
    <row r="3607" spans="1:9" x14ac:dyDescent="0.3">
      <c r="A3607" s="26">
        <v>45342</v>
      </c>
      <c r="B3607" t="s">
        <v>1391</v>
      </c>
      <c r="C3607" t="s">
        <v>1522</v>
      </c>
      <c r="D3607">
        <v>0.33</v>
      </c>
      <c r="E3607" t="s">
        <v>455</v>
      </c>
      <c r="F3607" t="s">
        <v>754</v>
      </c>
      <c r="G3607" t="s">
        <v>3344</v>
      </c>
      <c r="H3607" t="s">
        <v>32</v>
      </c>
      <c r="I3607" s="28" t="s">
        <v>25</v>
      </c>
    </row>
    <row r="3608" spans="1:9" x14ac:dyDescent="0.3">
      <c r="A3608" s="26">
        <v>45342</v>
      </c>
      <c r="B3608" t="s">
        <v>1391</v>
      </c>
      <c r="C3608" t="s">
        <v>1094</v>
      </c>
      <c r="D3608">
        <v>0.08</v>
      </c>
      <c r="E3608" t="s">
        <v>455</v>
      </c>
      <c r="F3608" t="s">
        <v>754</v>
      </c>
      <c r="G3608" t="s">
        <v>3345</v>
      </c>
      <c r="H3608" t="s">
        <v>32</v>
      </c>
      <c r="I3608" s="28" t="s">
        <v>25</v>
      </c>
    </row>
    <row r="3609" spans="1:9" x14ac:dyDescent="0.3">
      <c r="A3609" s="26">
        <v>45342</v>
      </c>
      <c r="B3609" t="s">
        <v>1391</v>
      </c>
      <c r="C3609" t="s">
        <v>1094</v>
      </c>
      <c r="D3609">
        <v>0.33</v>
      </c>
      <c r="E3609" t="s">
        <v>455</v>
      </c>
      <c r="F3609" t="s">
        <v>754</v>
      </c>
      <c r="G3609" t="s">
        <v>3346</v>
      </c>
      <c r="H3609" t="s">
        <v>32</v>
      </c>
      <c r="I3609" s="28" t="s">
        <v>25</v>
      </c>
    </row>
    <row r="3610" spans="1:9" x14ac:dyDescent="0.3">
      <c r="A3610" s="26">
        <v>45342</v>
      </c>
      <c r="B3610" t="s">
        <v>1391</v>
      </c>
      <c r="C3610" t="s">
        <v>1094</v>
      </c>
      <c r="D3610">
        <v>0.5</v>
      </c>
      <c r="E3610" t="s">
        <v>455</v>
      </c>
      <c r="F3610" t="s">
        <v>754</v>
      </c>
      <c r="G3610" t="s">
        <v>3347</v>
      </c>
      <c r="H3610" t="s">
        <v>32</v>
      </c>
      <c r="I3610" s="28" t="s">
        <v>25</v>
      </c>
    </row>
    <row r="3611" spans="1:9" x14ac:dyDescent="0.3">
      <c r="A3611" s="26">
        <v>45342</v>
      </c>
      <c r="B3611" t="s">
        <v>929</v>
      </c>
      <c r="C3611" t="s">
        <v>789</v>
      </c>
      <c r="D3611">
        <v>0.13</v>
      </c>
      <c r="E3611" t="s">
        <v>632</v>
      </c>
      <c r="F3611" t="s">
        <v>754</v>
      </c>
      <c r="G3611" t="s">
        <v>3348</v>
      </c>
      <c r="H3611" t="s">
        <v>32</v>
      </c>
      <c r="I3611" s="28" t="s">
        <v>25</v>
      </c>
    </row>
    <row r="3612" spans="1:9" x14ac:dyDescent="0.3">
      <c r="A3612" s="26">
        <v>45342</v>
      </c>
      <c r="B3612" t="s">
        <v>929</v>
      </c>
      <c r="C3612" t="s">
        <v>789</v>
      </c>
      <c r="D3612">
        <v>0.15</v>
      </c>
      <c r="E3612" t="s">
        <v>602</v>
      </c>
      <c r="F3612" t="s">
        <v>772</v>
      </c>
      <c r="G3612" t="s">
        <v>3349</v>
      </c>
      <c r="H3612" t="s">
        <v>32</v>
      </c>
      <c r="I3612" s="28" t="s">
        <v>25</v>
      </c>
    </row>
    <row r="3613" spans="1:9" x14ac:dyDescent="0.3">
      <c r="A3613" s="26">
        <v>45342</v>
      </c>
      <c r="B3613" t="s">
        <v>929</v>
      </c>
      <c r="C3613" t="s">
        <v>789</v>
      </c>
      <c r="D3613">
        <v>0.2</v>
      </c>
      <c r="E3613" t="s">
        <v>1096</v>
      </c>
      <c r="F3613" t="s">
        <v>772</v>
      </c>
      <c r="G3613" t="s">
        <v>3350</v>
      </c>
      <c r="H3613" t="s">
        <v>32</v>
      </c>
      <c r="I3613" s="28" t="s">
        <v>25</v>
      </c>
    </row>
    <row r="3614" spans="1:9" x14ac:dyDescent="0.3">
      <c r="A3614" s="26">
        <v>45342</v>
      </c>
      <c r="B3614" t="s">
        <v>929</v>
      </c>
      <c r="C3614" t="s">
        <v>789</v>
      </c>
      <c r="D3614">
        <v>0.27</v>
      </c>
      <c r="E3614" t="s">
        <v>1096</v>
      </c>
      <c r="F3614" t="s">
        <v>772</v>
      </c>
      <c r="G3614" t="s">
        <v>3351</v>
      </c>
      <c r="H3614" t="s">
        <v>32</v>
      </c>
      <c r="I3614" s="28" t="s">
        <v>25</v>
      </c>
    </row>
    <row r="3615" spans="1:9" x14ac:dyDescent="0.3">
      <c r="A3615" s="26">
        <v>45342</v>
      </c>
      <c r="B3615" t="s">
        <v>929</v>
      </c>
      <c r="C3615" t="s">
        <v>789</v>
      </c>
      <c r="D3615">
        <v>0.27</v>
      </c>
      <c r="E3615" t="s">
        <v>770</v>
      </c>
      <c r="F3615" t="s">
        <v>772</v>
      </c>
      <c r="G3615" t="s">
        <v>3352</v>
      </c>
      <c r="H3615" t="s">
        <v>32</v>
      </c>
      <c r="I3615" s="28" t="s">
        <v>25</v>
      </c>
    </row>
    <row r="3616" spans="1:9" x14ac:dyDescent="0.3">
      <c r="A3616" s="26">
        <v>45342</v>
      </c>
      <c r="B3616" t="s">
        <v>929</v>
      </c>
      <c r="C3616" t="s">
        <v>789</v>
      </c>
      <c r="D3616">
        <v>0.32</v>
      </c>
      <c r="E3616" t="s">
        <v>602</v>
      </c>
      <c r="F3616" t="s">
        <v>754</v>
      </c>
      <c r="G3616" t="s">
        <v>3353</v>
      </c>
      <c r="H3616" t="s">
        <v>32</v>
      </c>
      <c r="I3616" s="28" t="s">
        <v>25</v>
      </c>
    </row>
    <row r="3617" spans="1:9" x14ac:dyDescent="0.3">
      <c r="A3617" s="26">
        <v>45342</v>
      </c>
      <c r="B3617" t="s">
        <v>929</v>
      </c>
      <c r="C3617" t="s">
        <v>789</v>
      </c>
      <c r="D3617">
        <v>0.35</v>
      </c>
      <c r="E3617" t="s">
        <v>964</v>
      </c>
      <c r="F3617" t="s">
        <v>772</v>
      </c>
      <c r="G3617" t="s">
        <v>3354</v>
      </c>
      <c r="H3617" t="s">
        <v>32</v>
      </c>
      <c r="I3617" s="28" t="s">
        <v>25</v>
      </c>
    </row>
    <row r="3618" spans="1:9" x14ac:dyDescent="0.3">
      <c r="A3618" s="26">
        <v>45342</v>
      </c>
      <c r="B3618" t="s">
        <v>929</v>
      </c>
      <c r="C3618" t="s">
        <v>789</v>
      </c>
      <c r="D3618">
        <v>0.47</v>
      </c>
      <c r="E3618" t="s">
        <v>790</v>
      </c>
      <c r="F3618" t="s">
        <v>754</v>
      </c>
      <c r="G3618" t="s">
        <v>3355</v>
      </c>
      <c r="H3618" t="s">
        <v>32</v>
      </c>
      <c r="I3618" s="28" t="s">
        <v>25</v>
      </c>
    </row>
    <row r="3619" spans="1:9" x14ac:dyDescent="0.3">
      <c r="A3619" s="26">
        <v>45342</v>
      </c>
      <c r="B3619" t="s">
        <v>929</v>
      </c>
      <c r="C3619" t="s">
        <v>771</v>
      </c>
      <c r="D3619">
        <v>0.2</v>
      </c>
      <c r="E3619" t="s">
        <v>7</v>
      </c>
      <c r="F3619" t="s">
        <v>772</v>
      </c>
      <c r="G3619" t="s">
        <v>1404</v>
      </c>
      <c r="H3619" t="s">
        <v>32</v>
      </c>
      <c r="I3619" s="28" t="s">
        <v>25</v>
      </c>
    </row>
    <row r="3620" spans="1:9" x14ac:dyDescent="0.3">
      <c r="A3620" s="26">
        <v>45342</v>
      </c>
      <c r="B3620" t="s">
        <v>929</v>
      </c>
      <c r="C3620" t="s">
        <v>771</v>
      </c>
      <c r="D3620">
        <v>0.25</v>
      </c>
      <c r="E3620" t="s">
        <v>7</v>
      </c>
      <c r="F3620" t="s">
        <v>772</v>
      </c>
      <c r="G3620" t="s">
        <v>2053</v>
      </c>
      <c r="H3620" t="s">
        <v>32</v>
      </c>
      <c r="I3620" s="28" t="s">
        <v>25</v>
      </c>
    </row>
    <row r="3621" spans="1:9" x14ac:dyDescent="0.3">
      <c r="A3621" s="26">
        <v>45342</v>
      </c>
      <c r="B3621" t="s">
        <v>929</v>
      </c>
      <c r="C3621" t="s">
        <v>771</v>
      </c>
      <c r="D3621">
        <v>0.25</v>
      </c>
      <c r="E3621" t="s">
        <v>7</v>
      </c>
      <c r="F3621" t="s">
        <v>772</v>
      </c>
      <c r="G3621" t="s">
        <v>2054</v>
      </c>
      <c r="H3621" t="s">
        <v>32</v>
      </c>
      <c r="I3621" s="28" t="s">
        <v>25</v>
      </c>
    </row>
    <row r="3622" spans="1:9" x14ac:dyDescent="0.3">
      <c r="A3622" s="26">
        <v>45342</v>
      </c>
      <c r="B3622" t="s">
        <v>929</v>
      </c>
      <c r="C3622" t="s">
        <v>771</v>
      </c>
      <c r="D3622">
        <v>0.42</v>
      </c>
      <c r="E3622" t="s">
        <v>7</v>
      </c>
      <c r="F3622" t="s">
        <v>772</v>
      </c>
      <c r="G3622" t="s">
        <v>3356</v>
      </c>
      <c r="H3622" t="s">
        <v>32</v>
      </c>
      <c r="I3622" s="28" t="s">
        <v>25</v>
      </c>
    </row>
    <row r="3623" spans="1:9" x14ac:dyDescent="0.3">
      <c r="A3623" s="26">
        <v>45342</v>
      </c>
      <c r="B3623" t="s">
        <v>929</v>
      </c>
      <c r="C3623" t="s">
        <v>916</v>
      </c>
      <c r="D3623">
        <v>0.17</v>
      </c>
      <c r="E3623" t="s">
        <v>3357</v>
      </c>
      <c r="F3623" t="s">
        <v>772</v>
      </c>
      <c r="G3623" t="s">
        <v>3358</v>
      </c>
      <c r="H3623" t="s">
        <v>32</v>
      </c>
      <c r="I3623" s="28" t="s">
        <v>25</v>
      </c>
    </row>
    <row r="3624" spans="1:9" x14ac:dyDescent="0.3">
      <c r="A3624" s="26">
        <v>45342</v>
      </c>
      <c r="B3624" t="s">
        <v>929</v>
      </c>
      <c r="C3624" t="s">
        <v>916</v>
      </c>
      <c r="D3624">
        <v>0.43</v>
      </c>
      <c r="E3624" t="s">
        <v>1543</v>
      </c>
      <c r="F3624" t="s">
        <v>754</v>
      </c>
      <c r="G3624" t="s">
        <v>2493</v>
      </c>
      <c r="H3624" t="s">
        <v>32</v>
      </c>
      <c r="I3624" s="28" t="s">
        <v>25</v>
      </c>
    </row>
    <row r="3625" spans="1:9" x14ac:dyDescent="0.3">
      <c r="A3625" s="26">
        <v>45342</v>
      </c>
      <c r="B3625" t="s">
        <v>929</v>
      </c>
      <c r="C3625" t="s">
        <v>916</v>
      </c>
      <c r="D3625">
        <v>0.68</v>
      </c>
      <c r="E3625" t="s">
        <v>210</v>
      </c>
      <c r="F3625" t="s">
        <v>754</v>
      </c>
      <c r="G3625" t="s">
        <v>2493</v>
      </c>
      <c r="H3625" t="s">
        <v>32</v>
      </c>
      <c r="I3625" s="28" t="s">
        <v>25</v>
      </c>
    </row>
    <row r="3626" spans="1:9" x14ac:dyDescent="0.3">
      <c r="A3626" s="26">
        <v>45342</v>
      </c>
      <c r="B3626" t="s">
        <v>929</v>
      </c>
      <c r="C3626" t="s">
        <v>916</v>
      </c>
      <c r="D3626">
        <v>0.7</v>
      </c>
      <c r="E3626" t="s">
        <v>3357</v>
      </c>
      <c r="F3626" t="s">
        <v>754</v>
      </c>
      <c r="G3626" t="s">
        <v>2493</v>
      </c>
      <c r="H3626" t="s">
        <v>32</v>
      </c>
      <c r="I3626" s="28" t="s">
        <v>25</v>
      </c>
    </row>
    <row r="3627" spans="1:9" x14ac:dyDescent="0.3">
      <c r="A3627" s="26">
        <v>45342</v>
      </c>
      <c r="B3627" t="s">
        <v>929</v>
      </c>
      <c r="C3627" t="s">
        <v>916</v>
      </c>
      <c r="D3627">
        <v>0.97</v>
      </c>
      <c r="E3627" t="s">
        <v>632</v>
      </c>
      <c r="F3627" t="s">
        <v>754</v>
      </c>
      <c r="G3627" t="s">
        <v>2493</v>
      </c>
      <c r="H3627" t="s">
        <v>32</v>
      </c>
      <c r="I3627" s="28" t="s">
        <v>25</v>
      </c>
    </row>
    <row r="3628" spans="1:9" x14ac:dyDescent="0.3">
      <c r="A3628" s="26">
        <v>45342</v>
      </c>
      <c r="B3628" t="s">
        <v>929</v>
      </c>
      <c r="C3628" t="s">
        <v>916</v>
      </c>
      <c r="D3628">
        <v>1.03</v>
      </c>
      <c r="E3628" t="s">
        <v>508</v>
      </c>
      <c r="F3628" t="s">
        <v>754</v>
      </c>
      <c r="G3628" t="s">
        <v>2493</v>
      </c>
      <c r="H3628" t="s">
        <v>32</v>
      </c>
      <c r="I3628" s="28" t="s">
        <v>25</v>
      </c>
    </row>
    <row r="3629" spans="1:9" x14ac:dyDescent="0.3">
      <c r="A3629" s="26">
        <v>45342</v>
      </c>
      <c r="B3629" t="s">
        <v>929</v>
      </c>
      <c r="C3629" t="s">
        <v>957</v>
      </c>
      <c r="D3629">
        <v>0.8</v>
      </c>
      <c r="E3629" t="s">
        <v>7</v>
      </c>
      <c r="F3629" t="s">
        <v>772</v>
      </c>
      <c r="G3629" t="s">
        <v>3359</v>
      </c>
      <c r="H3629" t="s">
        <v>32</v>
      </c>
      <c r="I3629" s="28" t="s">
        <v>25</v>
      </c>
    </row>
    <row r="3630" spans="1:9" x14ac:dyDescent="0.3">
      <c r="A3630" s="26">
        <v>45342</v>
      </c>
      <c r="B3630" t="s">
        <v>959</v>
      </c>
      <c r="C3630" t="s">
        <v>942</v>
      </c>
      <c r="D3630">
        <v>0.25</v>
      </c>
      <c r="E3630" t="s">
        <v>7</v>
      </c>
      <c r="F3630" t="s">
        <v>772</v>
      </c>
      <c r="G3630" t="s">
        <v>3360</v>
      </c>
      <c r="H3630" t="s">
        <v>32</v>
      </c>
      <c r="I3630" s="28" t="s">
        <v>25</v>
      </c>
    </row>
    <row r="3631" spans="1:9" x14ac:dyDescent="0.3">
      <c r="A3631" s="26">
        <v>45342</v>
      </c>
      <c r="B3631" t="s">
        <v>959</v>
      </c>
      <c r="C3631" t="s">
        <v>878</v>
      </c>
      <c r="D3631">
        <v>7.75</v>
      </c>
      <c r="E3631" t="s">
        <v>430</v>
      </c>
      <c r="F3631" t="s">
        <v>754</v>
      </c>
      <c r="G3631" t="s">
        <v>3361</v>
      </c>
      <c r="H3631" t="s">
        <v>32</v>
      </c>
      <c r="I3631" s="28" t="s">
        <v>25</v>
      </c>
    </row>
    <row r="3632" spans="1:9" x14ac:dyDescent="0.3">
      <c r="A3632" s="26">
        <v>45342</v>
      </c>
      <c r="B3632" t="s">
        <v>961</v>
      </c>
      <c r="C3632" t="s">
        <v>753</v>
      </c>
      <c r="D3632">
        <v>0.5</v>
      </c>
      <c r="E3632" t="s">
        <v>717</v>
      </c>
      <c r="F3632" t="s">
        <v>754</v>
      </c>
      <c r="G3632" t="s">
        <v>3362</v>
      </c>
      <c r="H3632" t="s">
        <v>32</v>
      </c>
      <c r="I3632" s="28" t="s">
        <v>25</v>
      </c>
    </row>
    <row r="3633" spans="1:9" x14ac:dyDescent="0.3">
      <c r="A3633" s="26">
        <v>45342</v>
      </c>
      <c r="B3633" t="s">
        <v>961</v>
      </c>
      <c r="C3633" t="s">
        <v>753</v>
      </c>
      <c r="D3633">
        <v>0.68</v>
      </c>
      <c r="E3633" t="s">
        <v>717</v>
      </c>
      <c r="F3633" t="s">
        <v>754</v>
      </c>
      <c r="H3633" t="s">
        <v>32</v>
      </c>
      <c r="I3633" s="28" t="s">
        <v>25</v>
      </c>
    </row>
    <row r="3634" spans="1:9" x14ac:dyDescent="0.3">
      <c r="A3634" s="26">
        <v>45342</v>
      </c>
      <c r="B3634" t="s">
        <v>961</v>
      </c>
      <c r="C3634" t="s">
        <v>753</v>
      </c>
      <c r="D3634">
        <v>0.73</v>
      </c>
      <c r="E3634" t="s">
        <v>717</v>
      </c>
      <c r="F3634" t="s">
        <v>754</v>
      </c>
      <c r="G3634" t="s">
        <v>3363</v>
      </c>
      <c r="H3634" t="s">
        <v>32</v>
      </c>
      <c r="I3634" s="28" t="s">
        <v>25</v>
      </c>
    </row>
    <row r="3635" spans="1:9" x14ac:dyDescent="0.3">
      <c r="A3635" s="26">
        <v>45342</v>
      </c>
      <c r="B3635" t="s">
        <v>961</v>
      </c>
      <c r="C3635" t="s">
        <v>753</v>
      </c>
      <c r="D3635">
        <v>0.85</v>
      </c>
      <c r="E3635" t="s">
        <v>717</v>
      </c>
      <c r="F3635" t="s">
        <v>754</v>
      </c>
      <c r="G3635" t="s">
        <v>3364</v>
      </c>
      <c r="H3635" t="s">
        <v>32</v>
      </c>
      <c r="I3635" s="28" t="s">
        <v>25</v>
      </c>
    </row>
    <row r="3636" spans="1:9" x14ac:dyDescent="0.3">
      <c r="A3636" s="26">
        <v>45342</v>
      </c>
      <c r="B3636" t="s">
        <v>961</v>
      </c>
      <c r="C3636" t="s">
        <v>753</v>
      </c>
      <c r="D3636">
        <v>4</v>
      </c>
      <c r="E3636" t="s">
        <v>790</v>
      </c>
      <c r="F3636" t="s">
        <v>754</v>
      </c>
      <c r="H3636" t="s">
        <v>32</v>
      </c>
      <c r="I3636" s="28" t="s">
        <v>25</v>
      </c>
    </row>
    <row r="3637" spans="1:9" x14ac:dyDescent="0.3">
      <c r="A3637" s="26">
        <v>45342</v>
      </c>
      <c r="B3637" t="s">
        <v>961</v>
      </c>
      <c r="C3637" t="s">
        <v>776</v>
      </c>
      <c r="D3637">
        <v>1.3</v>
      </c>
      <c r="E3637" t="s">
        <v>234</v>
      </c>
      <c r="F3637" t="s">
        <v>754</v>
      </c>
      <c r="H3637" t="s">
        <v>32</v>
      </c>
      <c r="I3637" s="28" t="s">
        <v>25</v>
      </c>
    </row>
    <row r="3638" spans="1:9" x14ac:dyDescent="0.3">
      <c r="A3638" s="26">
        <v>45342</v>
      </c>
      <c r="B3638" t="s">
        <v>962</v>
      </c>
      <c r="C3638" t="s">
        <v>753</v>
      </c>
      <c r="D3638">
        <v>0.5</v>
      </c>
      <c r="E3638" t="s">
        <v>717</v>
      </c>
      <c r="F3638" t="s">
        <v>754</v>
      </c>
      <c r="G3638" t="s">
        <v>3365</v>
      </c>
      <c r="H3638" t="s">
        <v>32</v>
      </c>
      <c r="I3638" s="28" t="s">
        <v>25</v>
      </c>
    </row>
    <row r="3639" spans="1:9" x14ac:dyDescent="0.3">
      <c r="A3639" s="26">
        <v>45342</v>
      </c>
      <c r="B3639" t="s">
        <v>966</v>
      </c>
      <c r="C3639" t="s">
        <v>967</v>
      </c>
      <c r="D3639">
        <v>2.5</v>
      </c>
      <c r="E3639" t="s">
        <v>7</v>
      </c>
      <c r="F3639" t="s">
        <v>772</v>
      </c>
      <c r="H3639" t="s">
        <v>32</v>
      </c>
      <c r="I3639" s="28" t="s">
        <v>25</v>
      </c>
    </row>
    <row r="3640" spans="1:9" x14ac:dyDescent="0.3">
      <c r="A3640" s="26">
        <v>45342</v>
      </c>
      <c r="B3640" t="s">
        <v>966</v>
      </c>
      <c r="C3640" t="s">
        <v>967</v>
      </c>
      <c r="D3640">
        <v>4</v>
      </c>
      <c r="E3640" t="s">
        <v>790</v>
      </c>
      <c r="F3640" t="s">
        <v>754</v>
      </c>
      <c r="H3640" t="s">
        <v>32</v>
      </c>
      <c r="I3640" s="28" t="s">
        <v>25</v>
      </c>
    </row>
    <row r="3641" spans="1:9" x14ac:dyDescent="0.3">
      <c r="A3641" s="26">
        <v>45342</v>
      </c>
      <c r="B3641" t="s">
        <v>966</v>
      </c>
      <c r="C3641" t="s">
        <v>771</v>
      </c>
      <c r="D3641">
        <v>0.5</v>
      </c>
      <c r="E3641" t="s">
        <v>7</v>
      </c>
      <c r="F3641" t="s">
        <v>772</v>
      </c>
      <c r="G3641" t="s">
        <v>781</v>
      </c>
      <c r="H3641" t="s">
        <v>32</v>
      </c>
      <c r="I3641" s="28" t="s">
        <v>25</v>
      </c>
    </row>
    <row r="3642" spans="1:9" x14ac:dyDescent="0.3">
      <c r="A3642" s="26">
        <v>45342</v>
      </c>
      <c r="B3642" t="s">
        <v>966</v>
      </c>
      <c r="C3642" t="s">
        <v>771</v>
      </c>
      <c r="D3642">
        <v>1</v>
      </c>
      <c r="E3642" t="s">
        <v>7</v>
      </c>
      <c r="F3642" t="s">
        <v>772</v>
      </c>
      <c r="G3642" t="s">
        <v>3366</v>
      </c>
      <c r="H3642" t="s">
        <v>32</v>
      </c>
      <c r="I3642" s="28" t="s">
        <v>25</v>
      </c>
    </row>
    <row r="3643" spans="1:9" x14ac:dyDescent="0.3">
      <c r="A3643" s="26">
        <v>45342</v>
      </c>
      <c r="B3643" t="s">
        <v>969</v>
      </c>
      <c r="C3643" t="s">
        <v>753</v>
      </c>
      <c r="D3643">
        <v>2.65</v>
      </c>
      <c r="E3643" t="s">
        <v>790</v>
      </c>
      <c r="F3643" t="s">
        <v>754</v>
      </c>
      <c r="G3643" t="s">
        <v>3367</v>
      </c>
      <c r="H3643" t="s">
        <v>32</v>
      </c>
      <c r="I3643" s="28" t="s">
        <v>25</v>
      </c>
    </row>
    <row r="3644" spans="1:9" x14ac:dyDescent="0.3">
      <c r="A3644" s="26">
        <v>45342</v>
      </c>
      <c r="B3644" t="s">
        <v>969</v>
      </c>
      <c r="C3644" t="s">
        <v>789</v>
      </c>
      <c r="D3644">
        <v>1.02</v>
      </c>
      <c r="E3644" t="s">
        <v>790</v>
      </c>
      <c r="F3644" t="s">
        <v>772</v>
      </c>
      <c r="G3644" t="s">
        <v>3368</v>
      </c>
      <c r="H3644" t="s">
        <v>32</v>
      </c>
      <c r="I3644" s="28" t="s">
        <v>25</v>
      </c>
    </row>
    <row r="3645" spans="1:9" x14ac:dyDescent="0.3">
      <c r="A3645" s="26">
        <v>45342</v>
      </c>
      <c r="B3645" t="s">
        <v>969</v>
      </c>
      <c r="C3645" t="s">
        <v>789</v>
      </c>
      <c r="D3645">
        <v>2.0699999999999998</v>
      </c>
      <c r="E3645" t="s">
        <v>790</v>
      </c>
      <c r="F3645" t="s">
        <v>772</v>
      </c>
      <c r="G3645" t="s">
        <v>3369</v>
      </c>
      <c r="H3645" t="s">
        <v>32</v>
      </c>
      <c r="I3645" s="28" t="s">
        <v>25</v>
      </c>
    </row>
    <row r="3646" spans="1:9" x14ac:dyDescent="0.3">
      <c r="A3646" s="26">
        <v>45342</v>
      </c>
      <c r="B3646" t="s">
        <v>969</v>
      </c>
      <c r="C3646" t="s">
        <v>771</v>
      </c>
      <c r="D3646">
        <v>0.83</v>
      </c>
      <c r="E3646" t="s">
        <v>7</v>
      </c>
      <c r="F3646" t="s">
        <v>772</v>
      </c>
      <c r="G3646" t="s">
        <v>3370</v>
      </c>
      <c r="H3646" t="s">
        <v>32</v>
      </c>
      <c r="I3646" s="28" t="s">
        <v>25</v>
      </c>
    </row>
    <row r="3647" spans="1:9" x14ac:dyDescent="0.3">
      <c r="A3647" s="26">
        <v>45342</v>
      </c>
      <c r="B3647" t="s">
        <v>969</v>
      </c>
      <c r="C3647" t="s">
        <v>771</v>
      </c>
      <c r="D3647">
        <v>1.7</v>
      </c>
      <c r="E3647" t="s">
        <v>7</v>
      </c>
      <c r="F3647" t="s">
        <v>772</v>
      </c>
      <c r="G3647" t="s">
        <v>3371</v>
      </c>
      <c r="H3647" t="s">
        <v>32</v>
      </c>
      <c r="I3647" s="28" t="s">
        <v>25</v>
      </c>
    </row>
    <row r="3648" spans="1:9" x14ac:dyDescent="0.3">
      <c r="A3648" s="26">
        <v>45342</v>
      </c>
      <c r="B3648" t="s">
        <v>977</v>
      </c>
      <c r="C3648" t="s">
        <v>753</v>
      </c>
      <c r="D3648">
        <v>0.15</v>
      </c>
      <c r="E3648" t="s">
        <v>654</v>
      </c>
      <c r="F3648" t="s">
        <v>754</v>
      </c>
      <c r="G3648" t="s">
        <v>3372</v>
      </c>
      <c r="H3648" t="s">
        <v>32</v>
      </c>
      <c r="I3648" s="28" t="s">
        <v>25</v>
      </c>
    </row>
    <row r="3649" spans="1:9" x14ac:dyDescent="0.3">
      <c r="A3649" s="26">
        <v>45342</v>
      </c>
      <c r="B3649" t="s">
        <v>977</v>
      </c>
      <c r="C3649" t="s">
        <v>753</v>
      </c>
      <c r="D3649">
        <v>5.3</v>
      </c>
      <c r="E3649" t="s">
        <v>978</v>
      </c>
      <c r="F3649" t="s">
        <v>754</v>
      </c>
      <c r="G3649" t="s">
        <v>3373</v>
      </c>
      <c r="H3649" t="s">
        <v>32</v>
      </c>
      <c r="I3649" s="28" t="s">
        <v>25</v>
      </c>
    </row>
    <row r="3650" spans="1:9" x14ac:dyDescent="0.3">
      <c r="A3650" s="26">
        <v>45342</v>
      </c>
      <c r="B3650" t="s">
        <v>977</v>
      </c>
      <c r="C3650" t="s">
        <v>771</v>
      </c>
      <c r="D3650">
        <v>0.37</v>
      </c>
      <c r="E3650" t="s">
        <v>7</v>
      </c>
      <c r="F3650" t="s">
        <v>772</v>
      </c>
      <c r="G3650" t="s">
        <v>3374</v>
      </c>
      <c r="H3650" t="s">
        <v>32</v>
      </c>
      <c r="I3650" s="28" t="s">
        <v>25</v>
      </c>
    </row>
    <row r="3651" spans="1:9" x14ac:dyDescent="0.3">
      <c r="A3651" s="26">
        <v>45342</v>
      </c>
      <c r="B3651" t="s">
        <v>977</v>
      </c>
      <c r="C3651" t="s">
        <v>771</v>
      </c>
      <c r="D3651">
        <v>0.5</v>
      </c>
      <c r="E3651" t="s">
        <v>7</v>
      </c>
      <c r="F3651" t="s">
        <v>772</v>
      </c>
      <c r="G3651" t="s">
        <v>820</v>
      </c>
      <c r="H3651" t="s">
        <v>32</v>
      </c>
      <c r="I3651" s="28" t="s">
        <v>25</v>
      </c>
    </row>
    <row r="3652" spans="1:9" x14ac:dyDescent="0.3">
      <c r="A3652" s="26">
        <v>45342</v>
      </c>
      <c r="B3652" t="s">
        <v>977</v>
      </c>
      <c r="C3652" t="s">
        <v>834</v>
      </c>
      <c r="D3652">
        <v>1.72</v>
      </c>
      <c r="E3652" t="s">
        <v>7</v>
      </c>
      <c r="F3652" t="s">
        <v>772</v>
      </c>
      <c r="G3652" t="s">
        <v>3375</v>
      </c>
      <c r="H3652" t="s">
        <v>32</v>
      </c>
      <c r="I3652" s="28" t="s">
        <v>25</v>
      </c>
    </row>
    <row r="3653" spans="1:9" x14ac:dyDescent="0.3">
      <c r="A3653" s="26">
        <v>45342</v>
      </c>
      <c r="B3653" t="s">
        <v>981</v>
      </c>
      <c r="C3653" t="s">
        <v>1163</v>
      </c>
      <c r="D3653">
        <v>8</v>
      </c>
      <c r="E3653" t="s">
        <v>7</v>
      </c>
      <c r="F3653" t="s">
        <v>772</v>
      </c>
      <c r="G3653" t="s">
        <v>2344</v>
      </c>
      <c r="H3653" t="s">
        <v>32</v>
      </c>
      <c r="I3653" s="28" t="s">
        <v>25</v>
      </c>
    </row>
    <row r="3654" spans="1:9" x14ac:dyDescent="0.3">
      <c r="A3654" s="26">
        <v>45342</v>
      </c>
      <c r="B3654" t="s">
        <v>984</v>
      </c>
      <c r="C3654" t="s">
        <v>753</v>
      </c>
      <c r="D3654">
        <v>0.22</v>
      </c>
      <c r="E3654" t="s">
        <v>602</v>
      </c>
      <c r="F3654" t="s">
        <v>772</v>
      </c>
      <c r="G3654" t="s">
        <v>3376</v>
      </c>
      <c r="H3654" t="s">
        <v>32</v>
      </c>
      <c r="I3654" s="28" t="s">
        <v>25</v>
      </c>
    </row>
    <row r="3655" spans="1:9" x14ac:dyDescent="0.3">
      <c r="A3655" s="26">
        <v>45342</v>
      </c>
      <c r="B3655" t="s">
        <v>984</v>
      </c>
      <c r="C3655" t="s">
        <v>753</v>
      </c>
      <c r="D3655">
        <v>0.65</v>
      </c>
      <c r="E3655" t="s">
        <v>917</v>
      </c>
      <c r="F3655" t="s">
        <v>754</v>
      </c>
      <c r="G3655" t="s">
        <v>1427</v>
      </c>
      <c r="H3655" t="s">
        <v>32</v>
      </c>
      <c r="I3655" s="28" t="s">
        <v>25</v>
      </c>
    </row>
    <row r="3656" spans="1:9" x14ac:dyDescent="0.3">
      <c r="A3656" s="26">
        <v>45342</v>
      </c>
      <c r="B3656" t="s">
        <v>984</v>
      </c>
      <c r="C3656" t="s">
        <v>753</v>
      </c>
      <c r="D3656">
        <v>0.95</v>
      </c>
      <c r="E3656" t="s">
        <v>602</v>
      </c>
      <c r="F3656" t="s">
        <v>754</v>
      </c>
      <c r="H3656" t="s">
        <v>32</v>
      </c>
      <c r="I3656" s="28" t="s">
        <v>25</v>
      </c>
    </row>
    <row r="3657" spans="1:9" x14ac:dyDescent="0.3">
      <c r="A3657" s="26">
        <v>45342</v>
      </c>
      <c r="B3657" t="s">
        <v>984</v>
      </c>
      <c r="C3657" t="s">
        <v>753</v>
      </c>
      <c r="D3657">
        <v>2.23</v>
      </c>
      <c r="E3657" t="s">
        <v>13</v>
      </c>
      <c r="F3657" t="s">
        <v>754</v>
      </c>
      <c r="G3657" t="s">
        <v>3377</v>
      </c>
      <c r="H3657" t="s">
        <v>32</v>
      </c>
      <c r="I3657" s="28" t="s">
        <v>25</v>
      </c>
    </row>
    <row r="3658" spans="1:9" x14ac:dyDescent="0.3">
      <c r="A3658" s="26">
        <v>45342</v>
      </c>
      <c r="B3658" t="s">
        <v>984</v>
      </c>
      <c r="C3658" t="s">
        <v>771</v>
      </c>
      <c r="D3658">
        <v>0.12</v>
      </c>
      <c r="E3658" t="s">
        <v>7</v>
      </c>
      <c r="F3658" t="s">
        <v>772</v>
      </c>
      <c r="H3658" t="s">
        <v>32</v>
      </c>
      <c r="I3658" s="28" t="s">
        <v>25</v>
      </c>
    </row>
    <row r="3659" spans="1:9" x14ac:dyDescent="0.3">
      <c r="A3659" s="26">
        <v>45342</v>
      </c>
      <c r="B3659" t="s">
        <v>984</v>
      </c>
      <c r="C3659" t="s">
        <v>771</v>
      </c>
      <c r="D3659">
        <v>0.53</v>
      </c>
      <c r="E3659" t="s">
        <v>7</v>
      </c>
      <c r="F3659" t="s">
        <v>772</v>
      </c>
      <c r="G3659" t="s">
        <v>3378</v>
      </c>
      <c r="H3659" t="s">
        <v>32</v>
      </c>
      <c r="I3659" s="28" t="s">
        <v>25</v>
      </c>
    </row>
    <row r="3660" spans="1:9" x14ac:dyDescent="0.3">
      <c r="A3660" s="26">
        <v>45342</v>
      </c>
      <c r="B3660" t="s">
        <v>984</v>
      </c>
      <c r="C3660" t="s">
        <v>834</v>
      </c>
      <c r="D3660">
        <v>1.8</v>
      </c>
      <c r="E3660" t="s">
        <v>7</v>
      </c>
      <c r="F3660" t="s">
        <v>772</v>
      </c>
      <c r="G3660" t="s">
        <v>3379</v>
      </c>
      <c r="H3660" t="s">
        <v>32</v>
      </c>
      <c r="I3660" s="28" t="s">
        <v>25</v>
      </c>
    </row>
    <row r="3661" spans="1:9" x14ac:dyDescent="0.3">
      <c r="A3661" s="26">
        <v>45342</v>
      </c>
      <c r="B3661" t="s">
        <v>984</v>
      </c>
      <c r="C3661" t="s">
        <v>776</v>
      </c>
      <c r="D3661">
        <v>1.52</v>
      </c>
      <c r="E3661" t="s">
        <v>903</v>
      </c>
      <c r="F3661" t="s">
        <v>754</v>
      </c>
      <c r="G3661" t="s">
        <v>3380</v>
      </c>
      <c r="H3661" t="s">
        <v>32</v>
      </c>
      <c r="I3661" s="28" t="s">
        <v>25</v>
      </c>
    </row>
    <row r="3662" spans="1:9" x14ac:dyDescent="0.3">
      <c r="A3662" s="26">
        <v>45342</v>
      </c>
      <c r="B3662" t="s">
        <v>991</v>
      </c>
      <c r="C3662" t="s">
        <v>992</v>
      </c>
      <c r="D3662">
        <v>0.12</v>
      </c>
      <c r="E3662" t="s">
        <v>999</v>
      </c>
      <c r="F3662" t="s">
        <v>772</v>
      </c>
      <c r="G3662" t="s">
        <v>3381</v>
      </c>
      <c r="H3662" t="s">
        <v>32</v>
      </c>
      <c r="I3662" s="28" t="s">
        <v>25</v>
      </c>
    </row>
    <row r="3663" spans="1:9" x14ac:dyDescent="0.3">
      <c r="A3663" s="26">
        <v>45342</v>
      </c>
      <c r="B3663" t="s">
        <v>991</v>
      </c>
      <c r="C3663" t="s">
        <v>992</v>
      </c>
      <c r="D3663">
        <v>0.23</v>
      </c>
      <c r="E3663" t="s">
        <v>7</v>
      </c>
      <c r="F3663" t="s">
        <v>772</v>
      </c>
      <c r="G3663" t="s">
        <v>3382</v>
      </c>
      <c r="H3663" t="s">
        <v>32</v>
      </c>
      <c r="I3663" s="28" t="s">
        <v>25</v>
      </c>
    </row>
    <row r="3664" spans="1:9" x14ac:dyDescent="0.3">
      <c r="A3664" s="26">
        <v>45342</v>
      </c>
      <c r="B3664" t="s">
        <v>991</v>
      </c>
      <c r="C3664" t="s">
        <v>992</v>
      </c>
      <c r="D3664">
        <v>0.56999999999999995</v>
      </c>
      <c r="E3664" t="s">
        <v>999</v>
      </c>
      <c r="F3664" t="s">
        <v>772</v>
      </c>
      <c r="G3664" t="s">
        <v>3383</v>
      </c>
      <c r="H3664" t="s">
        <v>32</v>
      </c>
      <c r="I3664" s="28" t="s">
        <v>25</v>
      </c>
    </row>
    <row r="3665" spans="1:9" x14ac:dyDescent="0.3">
      <c r="A3665" s="26">
        <v>45342</v>
      </c>
      <c r="B3665" t="s">
        <v>991</v>
      </c>
      <c r="C3665" t="s">
        <v>992</v>
      </c>
      <c r="D3665">
        <v>0.56999999999999995</v>
      </c>
      <c r="E3665" t="s">
        <v>7</v>
      </c>
      <c r="F3665" t="s">
        <v>772</v>
      </c>
      <c r="G3665" t="s">
        <v>3384</v>
      </c>
      <c r="H3665" t="s">
        <v>32</v>
      </c>
      <c r="I3665" s="28" t="s">
        <v>25</v>
      </c>
    </row>
    <row r="3666" spans="1:9" x14ac:dyDescent="0.3">
      <c r="A3666" s="26">
        <v>45342</v>
      </c>
      <c r="B3666" t="s">
        <v>991</v>
      </c>
      <c r="C3666" t="s">
        <v>992</v>
      </c>
      <c r="D3666">
        <v>1.2</v>
      </c>
      <c r="E3666" t="s">
        <v>999</v>
      </c>
      <c r="F3666" t="s">
        <v>772</v>
      </c>
      <c r="G3666" t="s">
        <v>3385</v>
      </c>
      <c r="H3666" t="s">
        <v>32</v>
      </c>
      <c r="I3666" s="28" t="s">
        <v>25</v>
      </c>
    </row>
    <row r="3667" spans="1:9" x14ac:dyDescent="0.3">
      <c r="A3667" s="26">
        <v>45342</v>
      </c>
      <c r="B3667" t="s">
        <v>991</v>
      </c>
      <c r="C3667" t="s">
        <v>992</v>
      </c>
      <c r="D3667">
        <v>2.33</v>
      </c>
      <c r="E3667" t="s">
        <v>7</v>
      </c>
      <c r="F3667" t="s">
        <v>772</v>
      </c>
      <c r="G3667" t="s">
        <v>3386</v>
      </c>
      <c r="H3667" t="s">
        <v>32</v>
      </c>
      <c r="I3667" s="28" t="s">
        <v>25</v>
      </c>
    </row>
    <row r="3668" spans="1:9" x14ac:dyDescent="0.3">
      <c r="A3668" s="26">
        <v>45342</v>
      </c>
      <c r="B3668" t="s">
        <v>991</v>
      </c>
      <c r="C3668" t="s">
        <v>776</v>
      </c>
      <c r="D3668">
        <v>3.05</v>
      </c>
      <c r="E3668" t="s">
        <v>999</v>
      </c>
      <c r="F3668" t="s">
        <v>772</v>
      </c>
      <c r="G3668" t="s">
        <v>3387</v>
      </c>
      <c r="H3668" t="s">
        <v>32</v>
      </c>
      <c r="I3668" s="28" t="s">
        <v>25</v>
      </c>
    </row>
    <row r="3669" spans="1:9" x14ac:dyDescent="0.3">
      <c r="A3669" s="26">
        <v>45342</v>
      </c>
      <c r="B3669" t="s">
        <v>1002</v>
      </c>
      <c r="C3669" t="s">
        <v>1003</v>
      </c>
      <c r="D3669">
        <v>10</v>
      </c>
      <c r="E3669" t="s">
        <v>7</v>
      </c>
      <c r="F3669" t="s">
        <v>772</v>
      </c>
      <c r="G3669" t="s">
        <v>3388</v>
      </c>
      <c r="H3669" t="s">
        <v>32</v>
      </c>
      <c r="I3669" s="28" t="s">
        <v>25</v>
      </c>
    </row>
    <row r="3670" spans="1:9" x14ac:dyDescent="0.3">
      <c r="A3670" s="26">
        <v>45342</v>
      </c>
      <c r="B3670" t="s">
        <v>1005</v>
      </c>
      <c r="C3670" t="s">
        <v>753</v>
      </c>
      <c r="D3670">
        <v>0.5</v>
      </c>
      <c r="E3670" t="s">
        <v>1438</v>
      </c>
      <c r="F3670" t="s">
        <v>754</v>
      </c>
      <c r="H3670" t="s">
        <v>32</v>
      </c>
      <c r="I3670" s="28" t="s">
        <v>25</v>
      </c>
    </row>
    <row r="3671" spans="1:9" x14ac:dyDescent="0.3">
      <c r="A3671" s="26">
        <v>45342</v>
      </c>
      <c r="B3671" t="s">
        <v>1005</v>
      </c>
      <c r="C3671" t="s">
        <v>753</v>
      </c>
      <c r="D3671">
        <v>0.5</v>
      </c>
      <c r="E3671" t="s">
        <v>201</v>
      </c>
      <c r="F3671" t="s">
        <v>754</v>
      </c>
      <c r="H3671" t="s">
        <v>32</v>
      </c>
      <c r="I3671" s="28" t="s">
        <v>25</v>
      </c>
    </row>
    <row r="3672" spans="1:9" x14ac:dyDescent="0.3">
      <c r="A3672" s="26">
        <v>45342</v>
      </c>
      <c r="B3672" t="s">
        <v>1005</v>
      </c>
      <c r="C3672" t="s">
        <v>753</v>
      </c>
      <c r="D3672">
        <v>0.75</v>
      </c>
      <c r="E3672" t="s">
        <v>471</v>
      </c>
      <c r="F3672" t="s">
        <v>754</v>
      </c>
      <c r="H3672" t="s">
        <v>32</v>
      </c>
      <c r="I3672" s="28" t="s">
        <v>25</v>
      </c>
    </row>
    <row r="3673" spans="1:9" x14ac:dyDescent="0.3">
      <c r="A3673" s="26">
        <v>45342</v>
      </c>
      <c r="B3673" t="s">
        <v>1005</v>
      </c>
      <c r="C3673" t="s">
        <v>753</v>
      </c>
      <c r="D3673">
        <v>2.5</v>
      </c>
      <c r="E3673" t="s">
        <v>430</v>
      </c>
      <c r="F3673" t="s">
        <v>754</v>
      </c>
      <c r="H3673" t="s">
        <v>32</v>
      </c>
      <c r="I3673" s="28" t="s">
        <v>25</v>
      </c>
    </row>
    <row r="3674" spans="1:9" x14ac:dyDescent="0.3">
      <c r="A3674" s="26">
        <v>45342</v>
      </c>
      <c r="B3674" t="s">
        <v>1005</v>
      </c>
      <c r="C3674" t="s">
        <v>916</v>
      </c>
      <c r="D3674">
        <v>0.25</v>
      </c>
      <c r="E3674" t="s">
        <v>141</v>
      </c>
      <c r="F3674" t="s">
        <v>754</v>
      </c>
      <c r="H3674" t="s">
        <v>32</v>
      </c>
      <c r="I3674" s="28" t="s">
        <v>25</v>
      </c>
    </row>
    <row r="3675" spans="1:9" x14ac:dyDescent="0.3">
      <c r="A3675" s="26">
        <v>45342</v>
      </c>
      <c r="B3675" t="s">
        <v>1005</v>
      </c>
      <c r="C3675" t="s">
        <v>776</v>
      </c>
      <c r="D3675">
        <v>0.5</v>
      </c>
      <c r="E3675" t="s">
        <v>1438</v>
      </c>
      <c r="F3675" t="s">
        <v>754</v>
      </c>
      <c r="H3675" t="s">
        <v>32</v>
      </c>
      <c r="I3675" s="28" t="s">
        <v>25</v>
      </c>
    </row>
    <row r="3676" spans="1:9" x14ac:dyDescent="0.3">
      <c r="A3676" s="26">
        <v>45342</v>
      </c>
      <c r="B3676" t="s">
        <v>1006</v>
      </c>
      <c r="C3676" t="s">
        <v>909</v>
      </c>
      <c r="D3676">
        <v>0.08</v>
      </c>
      <c r="E3676" t="s">
        <v>757</v>
      </c>
      <c r="F3676" t="s">
        <v>754</v>
      </c>
      <c r="G3676" t="s">
        <v>1010</v>
      </c>
      <c r="H3676" t="s">
        <v>32</v>
      </c>
      <c r="I3676" s="28" t="s">
        <v>25</v>
      </c>
    </row>
    <row r="3677" spans="1:9" x14ac:dyDescent="0.3">
      <c r="A3677" s="26">
        <v>45342</v>
      </c>
      <c r="B3677" t="s">
        <v>1006</v>
      </c>
      <c r="C3677" t="s">
        <v>909</v>
      </c>
      <c r="D3677">
        <v>0.2</v>
      </c>
      <c r="E3677" t="s">
        <v>2525</v>
      </c>
      <c r="F3677" t="s">
        <v>754</v>
      </c>
      <c r="G3677" t="s">
        <v>1012</v>
      </c>
      <c r="H3677" t="s">
        <v>32</v>
      </c>
      <c r="I3677" s="28" t="s">
        <v>25</v>
      </c>
    </row>
    <row r="3678" spans="1:9" x14ac:dyDescent="0.3">
      <c r="A3678" s="26">
        <v>45342</v>
      </c>
      <c r="B3678" t="s">
        <v>1006</v>
      </c>
      <c r="C3678" t="s">
        <v>909</v>
      </c>
      <c r="D3678">
        <v>0.25</v>
      </c>
      <c r="E3678" t="s">
        <v>151</v>
      </c>
      <c r="F3678" t="s">
        <v>754</v>
      </c>
      <c r="G3678" t="s">
        <v>1012</v>
      </c>
      <c r="H3678" t="s">
        <v>32</v>
      </c>
      <c r="I3678" s="28" t="s">
        <v>25</v>
      </c>
    </row>
    <row r="3679" spans="1:9" x14ac:dyDescent="0.3">
      <c r="A3679" s="26">
        <v>45342</v>
      </c>
      <c r="B3679" t="s">
        <v>1006</v>
      </c>
      <c r="C3679" t="s">
        <v>909</v>
      </c>
      <c r="D3679">
        <v>0.35</v>
      </c>
      <c r="E3679" t="s">
        <v>583</v>
      </c>
      <c r="F3679" t="s">
        <v>772</v>
      </c>
      <c r="G3679" t="s">
        <v>3389</v>
      </c>
      <c r="H3679" t="s">
        <v>32</v>
      </c>
      <c r="I3679" s="28" t="s">
        <v>25</v>
      </c>
    </row>
    <row r="3680" spans="1:9" x14ac:dyDescent="0.3">
      <c r="A3680" s="26">
        <v>45342</v>
      </c>
      <c r="B3680" t="s">
        <v>1006</v>
      </c>
      <c r="C3680" t="s">
        <v>909</v>
      </c>
      <c r="D3680">
        <v>1.17</v>
      </c>
      <c r="E3680" t="s">
        <v>583</v>
      </c>
      <c r="F3680" t="s">
        <v>754</v>
      </c>
      <c r="G3680" t="s">
        <v>3226</v>
      </c>
      <c r="H3680" t="s">
        <v>32</v>
      </c>
      <c r="I3680" s="28" t="s">
        <v>25</v>
      </c>
    </row>
    <row r="3681" spans="1:9" x14ac:dyDescent="0.3">
      <c r="A3681" s="26">
        <v>45342</v>
      </c>
      <c r="B3681" t="s">
        <v>1006</v>
      </c>
      <c r="C3681" t="s">
        <v>789</v>
      </c>
      <c r="D3681">
        <v>1.07</v>
      </c>
      <c r="E3681" t="s">
        <v>151</v>
      </c>
      <c r="F3681" t="s">
        <v>754</v>
      </c>
      <c r="G3681" t="s">
        <v>3390</v>
      </c>
      <c r="H3681" t="s">
        <v>32</v>
      </c>
      <c r="I3681" s="28" t="s">
        <v>25</v>
      </c>
    </row>
    <row r="3682" spans="1:9" x14ac:dyDescent="0.3">
      <c r="A3682" s="26">
        <v>45342</v>
      </c>
      <c r="B3682" t="s">
        <v>1006</v>
      </c>
      <c r="C3682" t="s">
        <v>771</v>
      </c>
      <c r="D3682">
        <v>1.02</v>
      </c>
      <c r="E3682" t="s">
        <v>7</v>
      </c>
      <c r="F3682" t="s">
        <v>772</v>
      </c>
      <c r="G3682" t="s">
        <v>1010</v>
      </c>
      <c r="H3682" t="s">
        <v>32</v>
      </c>
      <c r="I3682" s="28" t="s">
        <v>25</v>
      </c>
    </row>
    <row r="3683" spans="1:9" x14ac:dyDescent="0.3">
      <c r="A3683" s="26">
        <v>45342</v>
      </c>
      <c r="B3683" t="s">
        <v>1011</v>
      </c>
      <c r="C3683" t="s">
        <v>753</v>
      </c>
      <c r="D3683">
        <v>0.1</v>
      </c>
      <c r="E3683" t="s">
        <v>589</v>
      </c>
      <c r="F3683" t="s">
        <v>754</v>
      </c>
      <c r="G3683" t="s">
        <v>1014</v>
      </c>
      <c r="H3683" t="s">
        <v>32</v>
      </c>
      <c r="I3683" s="28" t="s">
        <v>25</v>
      </c>
    </row>
    <row r="3684" spans="1:9" x14ac:dyDescent="0.3">
      <c r="A3684" s="26">
        <v>45342</v>
      </c>
      <c r="B3684" t="s">
        <v>1011</v>
      </c>
      <c r="C3684" t="s">
        <v>753</v>
      </c>
      <c r="D3684">
        <v>0.33</v>
      </c>
      <c r="E3684" t="s">
        <v>1013</v>
      </c>
      <c r="F3684" t="s">
        <v>754</v>
      </c>
      <c r="G3684" t="s">
        <v>3391</v>
      </c>
      <c r="H3684" t="s">
        <v>32</v>
      </c>
      <c r="I3684" s="28" t="s">
        <v>25</v>
      </c>
    </row>
    <row r="3685" spans="1:9" x14ac:dyDescent="0.3">
      <c r="A3685" s="26">
        <v>45342</v>
      </c>
      <c r="B3685" t="s">
        <v>1011</v>
      </c>
      <c r="C3685" t="s">
        <v>753</v>
      </c>
      <c r="D3685">
        <v>0.5</v>
      </c>
      <c r="E3685" t="s">
        <v>589</v>
      </c>
      <c r="F3685" t="s">
        <v>754</v>
      </c>
      <c r="G3685" t="s">
        <v>3392</v>
      </c>
      <c r="H3685" t="s">
        <v>32</v>
      </c>
      <c r="I3685" s="28" t="s">
        <v>25</v>
      </c>
    </row>
    <row r="3686" spans="1:9" x14ac:dyDescent="0.3">
      <c r="A3686" s="26">
        <v>45342</v>
      </c>
      <c r="B3686" t="s">
        <v>1011</v>
      </c>
      <c r="C3686" t="s">
        <v>753</v>
      </c>
      <c r="D3686">
        <v>0.7</v>
      </c>
      <c r="E3686" t="s">
        <v>589</v>
      </c>
      <c r="F3686" t="s">
        <v>754</v>
      </c>
      <c r="G3686" t="s">
        <v>3393</v>
      </c>
      <c r="H3686" t="s">
        <v>32</v>
      </c>
      <c r="I3686" s="28" t="s">
        <v>25</v>
      </c>
    </row>
    <row r="3687" spans="1:9" x14ac:dyDescent="0.3">
      <c r="A3687" s="26">
        <v>45342</v>
      </c>
      <c r="B3687" t="s">
        <v>1011</v>
      </c>
      <c r="C3687" t="s">
        <v>753</v>
      </c>
      <c r="D3687">
        <v>0.75</v>
      </c>
      <c r="E3687" t="s">
        <v>589</v>
      </c>
      <c r="F3687" t="s">
        <v>754</v>
      </c>
      <c r="H3687" t="s">
        <v>32</v>
      </c>
      <c r="I3687" s="28" t="s">
        <v>25</v>
      </c>
    </row>
    <row r="3688" spans="1:9" x14ac:dyDescent="0.3">
      <c r="A3688" s="26">
        <v>45342</v>
      </c>
      <c r="B3688" t="s">
        <v>1011</v>
      </c>
      <c r="C3688" t="s">
        <v>753</v>
      </c>
      <c r="D3688">
        <v>1.03</v>
      </c>
      <c r="E3688" t="s">
        <v>1013</v>
      </c>
      <c r="F3688" t="s">
        <v>754</v>
      </c>
      <c r="G3688" t="s">
        <v>1014</v>
      </c>
      <c r="H3688" t="s">
        <v>32</v>
      </c>
      <c r="I3688" s="28" t="s">
        <v>25</v>
      </c>
    </row>
    <row r="3689" spans="1:9" x14ac:dyDescent="0.3">
      <c r="A3689" s="26">
        <v>45342</v>
      </c>
      <c r="B3689" t="s">
        <v>1011</v>
      </c>
      <c r="C3689" t="s">
        <v>753</v>
      </c>
      <c r="D3689">
        <v>1.32</v>
      </c>
      <c r="E3689" t="s">
        <v>589</v>
      </c>
      <c r="F3689" t="s">
        <v>754</v>
      </c>
      <c r="G3689" t="s">
        <v>3391</v>
      </c>
      <c r="H3689" t="s">
        <v>32</v>
      </c>
      <c r="I3689" s="28" t="s">
        <v>25</v>
      </c>
    </row>
    <row r="3690" spans="1:9" x14ac:dyDescent="0.3">
      <c r="A3690" s="26">
        <v>45342</v>
      </c>
      <c r="B3690" t="s">
        <v>1011</v>
      </c>
      <c r="C3690" t="s">
        <v>753</v>
      </c>
      <c r="D3690">
        <v>1.48</v>
      </c>
      <c r="E3690" t="s">
        <v>589</v>
      </c>
      <c r="F3690" t="s">
        <v>754</v>
      </c>
      <c r="G3690" t="s">
        <v>1017</v>
      </c>
      <c r="H3690" t="s">
        <v>32</v>
      </c>
      <c r="I3690" s="28" t="s">
        <v>25</v>
      </c>
    </row>
    <row r="3691" spans="1:9" x14ac:dyDescent="0.3">
      <c r="A3691" s="26">
        <v>45342</v>
      </c>
      <c r="B3691" t="s">
        <v>1011</v>
      </c>
      <c r="C3691" t="s">
        <v>771</v>
      </c>
      <c r="D3691">
        <v>0.17</v>
      </c>
      <c r="E3691" t="s">
        <v>7</v>
      </c>
      <c r="F3691" t="s">
        <v>772</v>
      </c>
      <c r="G3691" t="s">
        <v>1242</v>
      </c>
      <c r="H3691" t="s">
        <v>32</v>
      </c>
      <c r="I3691" s="28" t="s">
        <v>25</v>
      </c>
    </row>
    <row r="3692" spans="1:9" x14ac:dyDescent="0.3">
      <c r="A3692" s="26">
        <v>45342</v>
      </c>
      <c r="B3692" t="s">
        <v>1011</v>
      </c>
      <c r="C3692" t="s">
        <v>771</v>
      </c>
      <c r="D3692">
        <v>1.78</v>
      </c>
      <c r="E3692" t="s">
        <v>7</v>
      </c>
      <c r="F3692" t="s">
        <v>772</v>
      </c>
      <c r="G3692" t="s">
        <v>3394</v>
      </c>
      <c r="H3692" t="s">
        <v>32</v>
      </c>
      <c r="I3692" s="28" t="s">
        <v>25</v>
      </c>
    </row>
    <row r="3693" spans="1:9" x14ac:dyDescent="0.3">
      <c r="A3693" s="26">
        <v>45342</v>
      </c>
      <c r="B3693" t="s">
        <v>1011</v>
      </c>
      <c r="C3693" t="s">
        <v>874</v>
      </c>
      <c r="D3693">
        <v>0.37</v>
      </c>
      <c r="E3693" t="s">
        <v>7</v>
      </c>
      <c r="F3693" t="s">
        <v>772</v>
      </c>
      <c r="G3693" t="s">
        <v>3395</v>
      </c>
      <c r="H3693" t="s">
        <v>32</v>
      </c>
      <c r="I3693" s="28" t="s">
        <v>25</v>
      </c>
    </row>
    <row r="3694" spans="1:9" x14ac:dyDescent="0.3">
      <c r="A3694" s="26">
        <v>45342</v>
      </c>
      <c r="B3694" t="s">
        <v>1020</v>
      </c>
      <c r="C3694" t="s">
        <v>753</v>
      </c>
      <c r="D3694">
        <v>8.65</v>
      </c>
      <c r="E3694" t="s">
        <v>11</v>
      </c>
      <c r="F3694" t="s">
        <v>754</v>
      </c>
      <c r="H3694" t="s">
        <v>32</v>
      </c>
      <c r="I3694" s="28" t="s">
        <v>25</v>
      </c>
    </row>
    <row r="3695" spans="1:9" x14ac:dyDescent="0.3">
      <c r="A3695" s="26">
        <v>45342</v>
      </c>
      <c r="B3695" t="s">
        <v>1020</v>
      </c>
      <c r="C3695" t="s">
        <v>771</v>
      </c>
      <c r="D3695">
        <v>0.18</v>
      </c>
      <c r="E3695" t="s">
        <v>7</v>
      </c>
      <c r="F3695" t="s">
        <v>772</v>
      </c>
      <c r="G3695" t="s">
        <v>1024</v>
      </c>
      <c r="H3695" t="s">
        <v>32</v>
      </c>
      <c r="I3695" s="28" t="s">
        <v>25</v>
      </c>
    </row>
    <row r="3696" spans="1:9" x14ac:dyDescent="0.3">
      <c r="A3696" s="26">
        <v>45342</v>
      </c>
      <c r="B3696" t="s">
        <v>1026</v>
      </c>
      <c r="C3696" t="s">
        <v>771</v>
      </c>
      <c r="D3696">
        <v>1.03</v>
      </c>
      <c r="E3696" t="s">
        <v>7</v>
      </c>
      <c r="F3696" t="s">
        <v>772</v>
      </c>
      <c r="G3696" t="s">
        <v>3396</v>
      </c>
      <c r="H3696" t="s">
        <v>32</v>
      </c>
      <c r="I3696" s="28" t="s">
        <v>25</v>
      </c>
    </row>
    <row r="3697" spans="1:9" x14ac:dyDescent="0.3">
      <c r="A3697" s="26">
        <v>45342</v>
      </c>
      <c r="B3697" t="s">
        <v>1026</v>
      </c>
      <c r="C3697" t="s">
        <v>771</v>
      </c>
      <c r="D3697">
        <v>3.1</v>
      </c>
      <c r="E3697" t="s">
        <v>7</v>
      </c>
      <c r="F3697" t="s">
        <v>772</v>
      </c>
      <c r="G3697" t="s">
        <v>3397</v>
      </c>
      <c r="H3697" t="s">
        <v>32</v>
      </c>
      <c r="I3697" s="28" t="s">
        <v>25</v>
      </c>
    </row>
    <row r="3698" spans="1:9" x14ac:dyDescent="0.3">
      <c r="A3698" s="26">
        <v>45342</v>
      </c>
      <c r="B3698" t="s">
        <v>1026</v>
      </c>
      <c r="C3698" t="s">
        <v>771</v>
      </c>
      <c r="D3698">
        <v>3.27</v>
      </c>
      <c r="E3698" t="s">
        <v>7</v>
      </c>
      <c r="F3698" t="s">
        <v>772</v>
      </c>
      <c r="G3698" t="s">
        <v>3398</v>
      </c>
      <c r="H3698" t="s">
        <v>32</v>
      </c>
      <c r="I3698" s="28" t="s">
        <v>25</v>
      </c>
    </row>
    <row r="3699" spans="1:9" x14ac:dyDescent="0.3">
      <c r="A3699" s="26">
        <v>45342</v>
      </c>
      <c r="B3699" t="s">
        <v>1026</v>
      </c>
      <c r="C3699" t="s">
        <v>874</v>
      </c>
      <c r="D3699">
        <v>0.52</v>
      </c>
      <c r="E3699" t="s">
        <v>7</v>
      </c>
      <c r="F3699" t="s">
        <v>772</v>
      </c>
      <c r="G3699" t="s">
        <v>3399</v>
      </c>
      <c r="H3699" t="s">
        <v>32</v>
      </c>
      <c r="I3699" s="28" t="s">
        <v>25</v>
      </c>
    </row>
    <row r="3700" spans="1:9" x14ac:dyDescent="0.3">
      <c r="A3700" s="26">
        <v>45342</v>
      </c>
      <c r="B3700" t="s">
        <v>1026</v>
      </c>
      <c r="C3700" t="s">
        <v>874</v>
      </c>
      <c r="D3700">
        <v>1.1299999999999999</v>
      </c>
      <c r="E3700" t="s">
        <v>7</v>
      </c>
      <c r="F3700" t="s">
        <v>772</v>
      </c>
      <c r="G3700" t="s">
        <v>3400</v>
      </c>
      <c r="H3700" t="s">
        <v>32</v>
      </c>
      <c r="I3700" s="28" t="s">
        <v>25</v>
      </c>
    </row>
    <row r="3701" spans="1:9" x14ac:dyDescent="0.3">
      <c r="A3701" s="26">
        <v>45342</v>
      </c>
      <c r="B3701" t="s">
        <v>1032</v>
      </c>
      <c r="C3701" t="s">
        <v>753</v>
      </c>
      <c r="D3701">
        <v>8.4700000000000006</v>
      </c>
      <c r="E3701" t="s">
        <v>790</v>
      </c>
      <c r="F3701" t="s">
        <v>754</v>
      </c>
      <c r="H3701" t="s">
        <v>32</v>
      </c>
      <c r="I3701" s="28" t="s">
        <v>25</v>
      </c>
    </row>
    <row r="3702" spans="1:9" x14ac:dyDescent="0.3">
      <c r="A3702" s="26">
        <v>45342</v>
      </c>
      <c r="B3702" t="s">
        <v>1034</v>
      </c>
      <c r="C3702" t="s">
        <v>753</v>
      </c>
      <c r="D3702">
        <v>0.28000000000000003</v>
      </c>
      <c r="E3702" t="s">
        <v>978</v>
      </c>
      <c r="F3702" t="s">
        <v>754</v>
      </c>
      <c r="G3702" t="s">
        <v>3401</v>
      </c>
      <c r="H3702" t="s">
        <v>32</v>
      </c>
      <c r="I3702" s="28" t="s">
        <v>25</v>
      </c>
    </row>
    <row r="3703" spans="1:9" x14ac:dyDescent="0.3">
      <c r="A3703" s="26">
        <v>45342</v>
      </c>
      <c r="B3703" t="s">
        <v>1034</v>
      </c>
      <c r="C3703" t="s">
        <v>753</v>
      </c>
      <c r="D3703">
        <v>0.33</v>
      </c>
      <c r="E3703" t="s">
        <v>564</v>
      </c>
      <c r="F3703" t="s">
        <v>754</v>
      </c>
      <c r="G3703" t="s">
        <v>3402</v>
      </c>
      <c r="H3703" t="s">
        <v>32</v>
      </c>
      <c r="I3703" s="28" t="s">
        <v>25</v>
      </c>
    </row>
    <row r="3704" spans="1:9" x14ac:dyDescent="0.3">
      <c r="A3704" s="26">
        <v>45342</v>
      </c>
      <c r="B3704" t="s">
        <v>1034</v>
      </c>
      <c r="C3704" t="s">
        <v>789</v>
      </c>
      <c r="D3704">
        <v>0.3</v>
      </c>
      <c r="E3704" t="s">
        <v>790</v>
      </c>
      <c r="F3704" t="s">
        <v>754</v>
      </c>
      <c r="G3704" t="s">
        <v>3403</v>
      </c>
      <c r="H3704" t="s">
        <v>32</v>
      </c>
      <c r="I3704" s="28" t="s">
        <v>25</v>
      </c>
    </row>
    <row r="3705" spans="1:9" x14ac:dyDescent="0.3">
      <c r="A3705" s="26">
        <v>45342</v>
      </c>
      <c r="B3705" t="s">
        <v>1034</v>
      </c>
      <c r="C3705" t="s">
        <v>771</v>
      </c>
      <c r="D3705">
        <v>0.5</v>
      </c>
      <c r="E3705" t="s">
        <v>7</v>
      </c>
      <c r="F3705" t="s">
        <v>772</v>
      </c>
      <c r="G3705" t="s">
        <v>820</v>
      </c>
      <c r="H3705" t="s">
        <v>32</v>
      </c>
      <c r="I3705" s="28" t="s">
        <v>25</v>
      </c>
    </row>
    <row r="3706" spans="1:9" x14ac:dyDescent="0.3">
      <c r="A3706" s="26">
        <v>45342</v>
      </c>
      <c r="B3706" t="s">
        <v>1034</v>
      </c>
      <c r="C3706" t="s">
        <v>771</v>
      </c>
      <c r="D3706">
        <v>0.55000000000000004</v>
      </c>
      <c r="E3706" t="s">
        <v>7</v>
      </c>
      <c r="F3706" t="s">
        <v>772</v>
      </c>
      <c r="G3706" t="s">
        <v>3404</v>
      </c>
      <c r="H3706" t="s">
        <v>32</v>
      </c>
      <c r="I3706" s="28" t="s">
        <v>25</v>
      </c>
    </row>
    <row r="3707" spans="1:9" x14ac:dyDescent="0.3">
      <c r="A3707" s="26">
        <v>45342</v>
      </c>
      <c r="B3707" t="s">
        <v>1034</v>
      </c>
      <c r="C3707" t="s">
        <v>916</v>
      </c>
      <c r="D3707">
        <v>0.22</v>
      </c>
      <c r="E3707" t="s">
        <v>1543</v>
      </c>
      <c r="F3707" t="s">
        <v>754</v>
      </c>
      <c r="G3707" t="s">
        <v>3405</v>
      </c>
      <c r="H3707" t="s">
        <v>32</v>
      </c>
      <c r="I3707" s="28" t="s">
        <v>25</v>
      </c>
    </row>
    <row r="3708" spans="1:9" x14ac:dyDescent="0.3">
      <c r="A3708" s="26">
        <v>45342</v>
      </c>
      <c r="B3708" t="s">
        <v>1034</v>
      </c>
      <c r="C3708" t="s">
        <v>919</v>
      </c>
      <c r="D3708">
        <v>0.12</v>
      </c>
      <c r="E3708" t="s">
        <v>1695</v>
      </c>
      <c r="F3708" t="s">
        <v>754</v>
      </c>
      <c r="G3708" t="s">
        <v>3406</v>
      </c>
      <c r="H3708" t="s">
        <v>32</v>
      </c>
      <c r="I3708" s="28" t="s">
        <v>25</v>
      </c>
    </row>
    <row r="3709" spans="1:9" x14ac:dyDescent="0.3">
      <c r="A3709" s="26">
        <v>45342</v>
      </c>
      <c r="B3709" t="s">
        <v>1034</v>
      </c>
      <c r="C3709" t="s">
        <v>776</v>
      </c>
      <c r="D3709">
        <v>0.68</v>
      </c>
      <c r="E3709" t="s">
        <v>879</v>
      </c>
      <c r="F3709" t="s">
        <v>754</v>
      </c>
      <c r="G3709" t="s">
        <v>3407</v>
      </c>
      <c r="H3709" t="s">
        <v>32</v>
      </c>
      <c r="I3709" s="28" t="s">
        <v>25</v>
      </c>
    </row>
    <row r="3710" spans="1:9" x14ac:dyDescent="0.3">
      <c r="A3710" s="26">
        <v>45342</v>
      </c>
      <c r="B3710" t="s">
        <v>1034</v>
      </c>
      <c r="C3710" t="s">
        <v>776</v>
      </c>
      <c r="D3710">
        <v>0.8</v>
      </c>
      <c r="E3710" t="s">
        <v>879</v>
      </c>
      <c r="F3710" t="s">
        <v>754</v>
      </c>
      <c r="G3710" t="s">
        <v>3408</v>
      </c>
      <c r="H3710" t="s">
        <v>32</v>
      </c>
      <c r="I3710" s="28" t="s">
        <v>25</v>
      </c>
    </row>
    <row r="3711" spans="1:9" x14ac:dyDescent="0.3">
      <c r="A3711" s="26">
        <v>45342</v>
      </c>
      <c r="B3711" t="s">
        <v>1034</v>
      </c>
      <c r="C3711" t="s">
        <v>776</v>
      </c>
      <c r="D3711">
        <v>1.35</v>
      </c>
      <c r="E3711" t="s">
        <v>879</v>
      </c>
      <c r="F3711" t="s">
        <v>754</v>
      </c>
      <c r="G3711" t="s">
        <v>3409</v>
      </c>
      <c r="H3711" t="s">
        <v>32</v>
      </c>
      <c r="I3711" s="28" t="s">
        <v>25</v>
      </c>
    </row>
    <row r="3712" spans="1:9" x14ac:dyDescent="0.3">
      <c r="A3712" s="26">
        <v>45342</v>
      </c>
      <c r="B3712" t="s">
        <v>1034</v>
      </c>
      <c r="C3712" t="s">
        <v>776</v>
      </c>
      <c r="D3712">
        <v>2.88</v>
      </c>
      <c r="E3712" t="s">
        <v>879</v>
      </c>
      <c r="F3712" t="s">
        <v>754</v>
      </c>
      <c r="G3712" t="s">
        <v>1042</v>
      </c>
      <c r="H3712" t="s">
        <v>32</v>
      </c>
      <c r="I3712" s="28" t="s">
        <v>25</v>
      </c>
    </row>
    <row r="3713" spans="1:9" x14ac:dyDescent="0.3">
      <c r="A3713" s="26">
        <v>45342</v>
      </c>
      <c r="B3713" t="s">
        <v>1043</v>
      </c>
      <c r="C3713" t="s">
        <v>1044</v>
      </c>
      <c r="D3713">
        <v>0.17</v>
      </c>
      <c r="E3713" t="s">
        <v>373</v>
      </c>
      <c r="F3713" t="s">
        <v>754</v>
      </c>
      <c r="G3713" t="s">
        <v>3410</v>
      </c>
      <c r="H3713" t="s">
        <v>32</v>
      </c>
      <c r="I3713" s="28" t="s">
        <v>25</v>
      </c>
    </row>
    <row r="3714" spans="1:9" x14ac:dyDescent="0.3">
      <c r="A3714" s="26">
        <v>45342</v>
      </c>
      <c r="B3714" t="s">
        <v>1043</v>
      </c>
      <c r="C3714" t="s">
        <v>916</v>
      </c>
      <c r="D3714">
        <v>0.17</v>
      </c>
      <c r="E3714" t="s">
        <v>964</v>
      </c>
      <c r="F3714" t="s">
        <v>754</v>
      </c>
      <c r="G3714" t="s">
        <v>3411</v>
      </c>
      <c r="H3714" t="s">
        <v>32</v>
      </c>
      <c r="I3714" s="28" t="s">
        <v>25</v>
      </c>
    </row>
    <row r="3715" spans="1:9" x14ac:dyDescent="0.3">
      <c r="A3715" s="26">
        <v>45342</v>
      </c>
      <c r="B3715" t="s">
        <v>1049</v>
      </c>
      <c r="C3715" t="s">
        <v>753</v>
      </c>
      <c r="D3715">
        <v>0.15</v>
      </c>
      <c r="E3715" t="s">
        <v>964</v>
      </c>
      <c r="F3715" t="s">
        <v>754</v>
      </c>
      <c r="G3715" t="s">
        <v>3412</v>
      </c>
      <c r="H3715" t="s">
        <v>32</v>
      </c>
      <c r="I3715" s="28" t="s">
        <v>25</v>
      </c>
    </row>
    <row r="3716" spans="1:9" x14ac:dyDescent="0.3">
      <c r="A3716" s="26">
        <v>45342</v>
      </c>
      <c r="B3716" t="s">
        <v>1049</v>
      </c>
      <c r="C3716" t="s">
        <v>753</v>
      </c>
      <c r="D3716">
        <v>0.42</v>
      </c>
      <c r="E3716" t="s">
        <v>316</v>
      </c>
      <c r="F3716" t="s">
        <v>754</v>
      </c>
      <c r="G3716" t="s">
        <v>3413</v>
      </c>
      <c r="H3716" t="s">
        <v>32</v>
      </c>
      <c r="I3716" s="28" t="s">
        <v>25</v>
      </c>
    </row>
    <row r="3717" spans="1:9" x14ac:dyDescent="0.3">
      <c r="A3717" s="26">
        <v>45342</v>
      </c>
      <c r="B3717" t="s">
        <v>1049</v>
      </c>
      <c r="C3717" t="s">
        <v>753</v>
      </c>
      <c r="D3717">
        <v>0.5</v>
      </c>
      <c r="E3717" t="s">
        <v>562</v>
      </c>
      <c r="F3717" t="s">
        <v>754</v>
      </c>
      <c r="G3717" t="s">
        <v>3414</v>
      </c>
      <c r="H3717" t="s">
        <v>32</v>
      </c>
      <c r="I3717" s="28" t="s">
        <v>25</v>
      </c>
    </row>
    <row r="3718" spans="1:9" x14ac:dyDescent="0.3">
      <c r="A3718" s="26">
        <v>45342</v>
      </c>
      <c r="B3718" t="s">
        <v>1049</v>
      </c>
      <c r="C3718" t="s">
        <v>753</v>
      </c>
      <c r="D3718">
        <v>0.77</v>
      </c>
      <c r="E3718" t="s">
        <v>964</v>
      </c>
      <c r="F3718" t="s">
        <v>754</v>
      </c>
      <c r="G3718" t="s">
        <v>3415</v>
      </c>
      <c r="H3718" t="s">
        <v>32</v>
      </c>
      <c r="I3718" s="28" t="s">
        <v>25</v>
      </c>
    </row>
    <row r="3719" spans="1:9" x14ac:dyDescent="0.3">
      <c r="A3719" s="26">
        <v>45342</v>
      </c>
      <c r="B3719" t="s">
        <v>1049</v>
      </c>
      <c r="C3719" t="s">
        <v>753</v>
      </c>
      <c r="D3719">
        <v>1.77</v>
      </c>
      <c r="E3719" t="s">
        <v>964</v>
      </c>
      <c r="F3719" t="s">
        <v>754</v>
      </c>
      <c r="G3719" t="s">
        <v>3416</v>
      </c>
      <c r="H3719" t="s">
        <v>32</v>
      </c>
      <c r="I3719" s="28" t="s">
        <v>25</v>
      </c>
    </row>
    <row r="3720" spans="1:9" x14ac:dyDescent="0.3">
      <c r="A3720" s="26">
        <v>45342</v>
      </c>
      <c r="B3720" t="s">
        <v>1049</v>
      </c>
      <c r="C3720" t="s">
        <v>771</v>
      </c>
      <c r="D3720">
        <v>0.5</v>
      </c>
      <c r="E3720" t="s">
        <v>7</v>
      </c>
      <c r="F3720" t="s">
        <v>772</v>
      </c>
      <c r="G3720" t="s">
        <v>1058</v>
      </c>
      <c r="H3720" t="s">
        <v>32</v>
      </c>
      <c r="I3720" s="28" t="s">
        <v>25</v>
      </c>
    </row>
    <row r="3721" spans="1:9" x14ac:dyDescent="0.3">
      <c r="A3721" s="26">
        <v>45342</v>
      </c>
      <c r="B3721" t="s">
        <v>1049</v>
      </c>
      <c r="C3721" t="s">
        <v>834</v>
      </c>
      <c r="D3721">
        <v>2</v>
      </c>
      <c r="E3721" t="s">
        <v>7</v>
      </c>
      <c r="F3721" t="s">
        <v>772</v>
      </c>
      <c r="G3721" t="s">
        <v>2933</v>
      </c>
      <c r="H3721" t="s">
        <v>32</v>
      </c>
      <c r="I3721" s="28" t="s">
        <v>25</v>
      </c>
    </row>
    <row r="3722" spans="1:9" x14ac:dyDescent="0.3">
      <c r="A3722" s="26">
        <v>45342</v>
      </c>
      <c r="B3722" t="s">
        <v>1049</v>
      </c>
      <c r="C3722" t="s">
        <v>835</v>
      </c>
      <c r="D3722">
        <v>1.33</v>
      </c>
      <c r="E3722" t="s">
        <v>507</v>
      </c>
      <c r="F3722" t="s">
        <v>754</v>
      </c>
      <c r="G3722" t="s">
        <v>3417</v>
      </c>
      <c r="H3722" t="s">
        <v>32</v>
      </c>
      <c r="I3722" s="28" t="s">
        <v>25</v>
      </c>
    </row>
    <row r="3723" spans="1:9" x14ac:dyDescent="0.3">
      <c r="A3723" s="26">
        <v>45342</v>
      </c>
      <c r="B3723" t="s">
        <v>1049</v>
      </c>
      <c r="C3723" t="s">
        <v>776</v>
      </c>
      <c r="D3723">
        <v>0.08</v>
      </c>
      <c r="E3723" t="s">
        <v>811</v>
      </c>
      <c r="F3723" t="s">
        <v>754</v>
      </c>
      <c r="G3723" t="s">
        <v>3418</v>
      </c>
      <c r="H3723" t="s">
        <v>32</v>
      </c>
      <c r="I3723" s="28" t="s">
        <v>25</v>
      </c>
    </row>
    <row r="3724" spans="1:9" x14ac:dyDescent="0.3">
      <c r="A3724" s="26">
        <v>45342</v>
      </c>
      <c r="B3724" t="s">
        <v>1049</v>
      </c>
      <c r="C3724" t="s">
        <v>776</v>
      </c>
      <c r="D3724">
        <v>0.12</v>
      </c>
      <c r="E3724" t="s">
        <v>811</v>
      </c>
      <c r="F3724" t="s">
        <v>754</v>
      </c>
      <c r="G3724" t="s">
        <v>3419</v>
      </c>
      <c r="H3724" t="s">
        <v>32</v>
      </c>
      <c r="I3724" s="28" t="s">
        <v>25</v>
      </c>
    </row>
    <row r="3725" spans="1:9" x14ac:dyDescent="0.3">
      <c r="A3725" s="26">
        <v>45342</v>
      </c>
      <c r="B3725" t="s">
        <v>1049</v>
      </c>
      <c r="C3725" t="s">
        <v>776</v>
      </c>
      <c r="D3725">
        <v>0.17</v>
      </c>
      <c r="E3725" t="s">
        <v>813</v>
      </c>
      <c r="F3725" t="s">
        <v>754</v>
      </c>
      <c r="G3725" t="s">
        <v>3420</v>
      </c>
      <c r="H3725" t="s">
        <v>32</v>
      </c>
      <c r="I3725" s="28" t="s">
        <v>25</v>
      </c>
    </row>
    <row r="3726" spans="1:9" x14ac:dyDescent="0.3">
      <c r="A3726" s="26">
        <v>45342</v>
      </c>
      <c r="B3726" t="s">
        <v>1049</v>
      </c>
      <c r="C3726" t="s">
        <v>776</v>
      </c>
      <c r="D3726">
        <v>0.22</v>
      </c>
      <c r="E3726" t="s">
        <v>813</v>
      </c>
      <c r="F3726" t="s">
        <v>754</v>
      </c>
      <c r="G3726" t="s">
        <v>3418</v>
      </c>
      <c r="H3726" t="s">
        <v>32</v>
      </c>
      <c r="I3726" s="28" t="s">
        <v>25</v>
      </c>
    </row>
    <row r="3727" spans="1:9" x14ac:dyDescent="0.3">
      <c r="A3727" s="26">
        <v>45342</v>
      </c>
      <c r="B3727" t="s">
        <v>1060</v>
      </c>
      <c r="C3727" t="s">
        <v>909</v>
      </c>
      <c r="D3727">
        <v>1</v>
      </c>
      <c r="E3727" t="s">
        <v>589</v>
      </c>
      <c r="F3727" t="s">
        <v>754</v>
      </c>
      <c r="G3727" t="s">
        <v>3421</v>
      </c>
      <c r="H3727" t="s">
        <v>32</v>
      </c>
      <c r="I3727" s="28" t="s">
        <v>25</v>
      </c>
    </row>
    <row r="3728" spans="1:9" x14ac:dyDescent="0.3">
      <c r="A3728" s="26">
        <v>45342</v>
      </c>
      <c r="B3728" t="s">
        <v>1060</v>
      </c>
      <c r="C3728" t="s">
        <v>771</v>
      </c>
      <c r="D3728">
        <v>1.25</v>
      </c>
      <c r="E3728" t="s">
        <v>7</v>
      </c>
      <c r="F3728" t="s">
        <v>772</v>
      </c>
      <c r="G3728" t="s">
        <v>3422</v>
      </c>
      <c r="H3728" t="s">
        <v>32</v>
      </c>
      <c r="I3728" s="28" t="s">
        <v>25</v>
      </c>
    </row>
    <row r="3729" spans="1:9" x14ac:dyDescent="0.3">
      <c r="A3729" s="26">
        <v>45342</v>
      </c>
      <c r="B3729" t="s">
        <v>1060</v>
      </c>
      <c r="C3729" t="s">
        <v>771</v>
      </c>
      <c r="D3729">
        <v>2.5</v>
      </c>
      <c r="E3729" t="s">
        <v>7</v>
      </c>
      <c r="F3729" t="s">
        <v>772</v>
      </c>
      <c r="G3729" t="s">
        <v>3423</v>
      </c>
      <c r="H3729" t="s">
        <v>32</v>
      </c>
      <c r="I3729" s="28" t="s">
        <v>25</v>
      </c>
    </row>
    <row r="3730" spans="1:9" x14ac:dyDescent="0.3">
      <c r="A3730" s="26">
        <v>45342</v>
      </c>
      <c r="B3730" t="s">
        <v>1060</v>
      </c>
      <c r="C3730" t="s">
        <v>916</v>
      </c>
      <c r="D3730">
        <v>0.25</v>
      </c>
      <c r="E3730" t="s">
        <v>770</v>
      </c>
      <c r="F3730" t="s">
        <v>754</v>
      </c>
      <c r="G3730" t="s">
        <v>3424</v>
      </c>
      <c r="H3730" t="s">
        <v>32</v>
      </c>
      <c r="I3730" s="28" t="s">
        <v>25</v>
      </c>
    </row>
    <row r="3731" spans="1:9" x14ac:dyDescent="0.3">
      <c r="A3731" s="26">
        <v>45342</v>
      </c>
      <c r="B3731" t="s">
        <v>1060</v>
      </c>
      <c r="C3731" t="s">
        <v>916</v>
      </c>
      <c r="D3731">
        <v>0.33</v>
      </c>
      <c r="E3731" t="s">
        <v>508</v>
      </c>
      <c r="F3731" t="s">
        <v>754</v>
      </c>
      <c r="G3731" t="s">
        <v>2567</v>
      </c>
      <c r="H3731" t="s">
        <v>32</v>
      </c>
      <c r="I3731" s="28" t="s">
        <v>25</v>
      </c>
    </row>
    <row r="3732" spans="1:9" x14ac:dyDescent="0.3">
      <c r="A3732" s="26">
        <v>45342</v>
      </c>
      <c r="B3732" t="s">
        <v>1060</v>
      </c>
      <c r="C3732" t="s">
        <v>916</v>
      </c>
      <c r="D3732">
        <v>0.5</v>
      </c>
      <c r="E3732" t="s">
        <v>964</v>
      </c>
      <c r="F3732" t="s">
        <v>754</v>
      </c>
      <c r="G3732" t="s">
        <v>3425</v>
      </c>
      <c r="H3732" t="s">
        <v>32</v>
      </c>
      <c r="I3732" s="28" t="s">
        <v>25</v>
      </c>
    </row>
    <row r="3733" spans="1:9" x14ac:dyDescent="0.3">
      <c r="A3733" s="26">
        <v>45342</v>
      </c>
      <c r="B3733" t="s">
        <v>1060</v>
      </c>
      <c r="C3733" t="s">
        <v>916</v>
      </c>
      <c r="D3733">
        <v>0.5</v>
      </c>
      <c r="E3733" t="s">
        <v>757</v>
      </c>
      <c r="F3733" t="s">
        <v>754</v>
      </c>
      <c r="G3733" t="s">
        <v>3426</v>
      </c>
      <c r="H3733" t="s">
        <v>32</v>
      </c>
      <c r="I3733" s="28" t="s">
        <v>25</v>
      </c>
    </row>
    <row r="3734" spans="1:9" x14ac:dyDescent="0.3">
      <c r="A3734" s="26">
        <v>45342</v>
      </c>
      <c r="B3734" t="s">
        <v>1060</v>
      </c>
      <c r="C3734" t="s">
        <v>874</v>
      </c>
      <c r="D3734">
        <v>0.5</v>
      </c>
      <c r="E3734" t="s">
        <v>7</v>
      </c>
      <c r="F3734" t="s">
        <v>772</v>
      </c>
      <c r="G3734" t="s">
        <v>3427</v>
      </c>
      <c r="H3734" t="s">
        <v>32</v>
      </c>
      <c r="I3734" s="28" t="s">
        <v>25</v>
      </c>
    </row>
    <row r="3735" spans="1:9" x14ac:dyDescent="0.3">
      <c r="A3735" s="26">
        <v>45342</v>
      </c>
      <c r="B3735" t="s">
        <v>1060</v>
      </c>
      <c r="C3735" t="s">
        <v>874</v>
      </c>
      <c r="D3735">
        <v>0.75</v>
      </c>
      <c r="E3735" t="s">
        <v>7</v>
      </c>
      <c r="F3735" t="s">
        <v>772</v>
      </c>
      <c r="G3735" t="s">
        <v>3428</v>
      </c>
      <c r="H3735" t="s">
        <v>32</v>
      </c>
      <c r="I3735" s="28" t="s">
        <v>25</v>
      </c>
    </row>
    <row r="3736" spans="1:9" x14ac:dyDescent="0.3">
      <c r="A3736" s="26">
        <v>45342</v>
      </c>
      <c r="B3736" t="s">
        <v>1060</v>
      </c>
      <c r="C3736" t="s">
        <v>2786</v>
      </c>
      <c r="D3736">
        <v>0.25</v>
      </c>
      <c r="E3736" t="s">
        <v>2613</v>
      </c>
      <c r="F3736" t="s">
        <v>754</v>
      </c>
      <c r="G3736" t="s">
        <v>3429</v>
      </c>
      <c r="H3736" t="s">
        <v>32</v>
      </c>
      <c r="I3736" s="28" t="s">
        <v>25</v>
      </c>
    </row>
    <row r="3737" spans="1:9" x14ac:dyDescent="0.3">
      <c r="A3737" s="26">
        <v>45342</v>
      </c>
      <c r="B3737" t="s">
        <v>2945</v>
      </c>
      <c r="C3737" t="s">
        <v>771</v>
      </c>
      <c r="D3737">
        <v>0.23</v>
      </c>
      <c r="E3737" t="s">
        <v>7</v>
      </c>
      <c r="F3737" t="s">
        <v>772</v>
      </c>
      <c r="G3737" t="s">
        <v>3430</v>
      </c>
      <c r="H3737" t="s">
        <v>32</v>
      </c>
      <c r="I3737" s="28" t="s">
        <v>25</v>
      </c>
    </row>
    <row r="3738" spans="1:9" x14ac:dyDescent="0.3">
      <c r="A3738" s="26">
        <v>45342</v>
      </c>
      <c r="B3738" t="s">
        <v>2945</v>
      </c>
      <c r="C3738" t="s">
        <v>771</v>
      </c>
      <c r="D3738">
        <v>0.33</v>
      </c>
      <c r="E3738" t="s">
        <v>7</v>
      </c>
      <c r="F3738" t="s">
        <v>772</v>
      </c>
      <c r="G3738" t="s">
        <v>3431</v>
      </c>
      <c r="H3738" t="s">
        <v>32</v>
      </c>
      <c r="I3738" s="28" t="s">
        <v>25</v>
      </c>
    </row>
    <row r="3739" spans="1:9" x14ac:dyDescent="0.3">
      <c r="A3739" s="26">
        <v>45342</v>
      </c>
      <c r="B3739" t="s">
        <v>2945</v>
      </c>
      <c r="C3739" t="s">
        <v>771</v>
      </c>
      <c r="D3739">
        <v>1</v>
      </c>
      <c r="E3739" t="s">
        <v>7</v>
      </c>
      <c r="F3739" t="s">
        <v>772</v>
      </c>
      <c r="G3739" t="s">
        <v>3432</v>
      </c>
      <c r="H3739" t="s">
        <v>32</v>
      </c>
      <c r="I3739" s="28" t="s">
        <v>25</v>
      </c>
    </row>
    <row r="3740" spans="1:9" x14ac:dyDescent="0.3">
      <c r="A3740" s="26">
        <v>45342</v>
      </c>
      <c r="B3740" t="s">
        <v>2945</v>
      </c>
      <c r="C3740" t="s">
        <v>771</v>
      </c>
      <c r="D3740">
        <v>1</v>
      </c>
      <c r="E3740" t="s">
        <v>7</v>
      </c>
      <c r="F3740" t="s">
        <v>772</v>
      </c>
      <c r="G3740" t="s">
        <v>3433</v>
      </c>
      <c r="H3740" t="s">
        <v>32</v>
      </c>
      <c r="I3740" s="28" t="s">
        <v>25</v>
      </c>
    </row>
    <row r="3741" spans="1:9" x14ac:dyDescent="0.3">
      <c r="A3741" s="26">
        <v>45342</v>
      </c>
      <c r="B3741" t="s">
        <v>2945</v>
      </c>
      <c r="C3741" t="s">
        <v>771</v>
      </c>
      <c r="D3741">
        <v>1.5</v>
      </c>
      <c r="E3741" t="s">
        <v>7</v>
      </c>
      <c r="F3741" t="s">
        <v>772</v>
      </c>
      <c r="G3741" t="s">
        <v>3434</v>
      </c>
      <c r="H3741" t="s">
        <v>32</v>
      </c>
      <c r="I3741" s="28" t="s">
        <v>25</v>
      </c>
    </row>
    <row r="3742" spans="1:9" x14ac:dyDescent="0.3">
      <c r="A3742" s="26">
        <v>45342</v>
      </c>
      <c r="B3742" t="s">
        <v>2945</v>
      </c>
      <c r="C3742" t="s">
        <v>771</v>
      </c>
      <c r="D3742">
        <v>3.98</v>
      </c>
      <c r="E3742" t="s">
        <v>7</v>
      </c>
      <c r="F3742" t="s">
        <v>772</v>
      </c>
      <c r="G3742" t="s">
        <v>3435</v>
      </c>
      <c r="H3742" t="s">
        <v>32</v>
      </c>
      <c r="I3742" s="28" t="s">
        <v>25</v>
      </c>
    </row>
    <row r="3743" spans="1:9" x14ac:dyDescent="0.3">
      <c r="A3743" s="26">
        <v>45342</v>
      </c>
      <c r="B3743" t="s">
        <v>1074</v>
      </c>
      <c r="C3743" t="s">
        <v>753</v>
      </c>
      <c r="D3743">
        <v>0.35</v>
      </c>
      <c r="E3743" t="s">
        <v>964</v>
      </c>
      <c r="F3743" t="s">
        <v>754</v>
      </c>
      <c r="G3743" t="s">
        <v>3436</v>
      </c>
      <c r="H3743" t="s">
        <v>32</v>
      </c>
      <c r="I3743" s="28" t="s">
        <v>25</v>
      </c>
    </row>
    <row r="3744" spans="1:9" x14ac:dyDescent="0.3">
      <c r="A3744" s="26">
        <v>45342</v>
      </c>
      <c r="B3744" t="s">
        <v>1074</v>
      </c>
      <c r="C3744" t="s">
        <v>753</v>
      </c>
      <c r="D3744">
        <v>0.8</v>
      </c>
      <c r="E3744" t="s">
        <v>964</v>
      </c>
      <c r="F3744" t="s">
        <v>754</v>
      </c>
      <c r="G3744" t="s">
        <v>3437</v>
      </c>
      <c r="H3744" t="s">
        <v>32</v>
      </c>
      <c r="I3744" s="28" t="s">
        <v>25</v>
      </c>
    </row>
    <row r="3745" spans="1:9" x14ac:dyDescent="0.3">
      <c r="A3745" s="26">
        <v>45342</v>
      </c>
      <c r="B3745" t="s">
        <v>1074</v>
      </c>
      <c r="C3745" t="s">
        <v>753</v>
      </c>
      <c r="D3745">
        <v>1.1000000000000001</v>
      </c>
      <c r="E3745" t="s">
        <v>964</v>
      </c>
      <c r="F3745" t="s">
        <v>754</v>
      </c>
      <c r="G3745" t="s">
        <v>3438</v>
      </c>
      <c r="H3745" t="s">
        <v>32</v>
      </c>
      <c r="I3745" s="28" t="s">
        <v>25</v>
      </c>
    </row>
    <row r="3746" spans="1:9" x14ac:dyDescent="0.3">
      <c r="A3746" s="26">
        <v>45342</v>
      </c>
      <c r="B3746" t="s">
        <v>1074</v>
      </c>
      <c r="C3746" t="s">
        <v>906</v>
      </c>
      <c r="D3746">
        <v>0.5</v>
      </c>
      <c r="E3746" t="s">
        <v>7</v>
      </c>
      <c r="F3746" t="s">
        <v>772</v>
      </c>
      <c r="G3746" t="s">
        <v>3439</v>
      </c>
      <c r="H3746" t="s">
        <v>32</v>
      </c>
      <c r="I3746" s="28" t="s">
        <v>25</v>
      </c>
    </row>
    <row r="3747" spans="1:9" x14ac:dyDescent="0.3">
      <c r="A3747" s="26">
        <v>45342</v>
      </c>
      <c r="B3747" t="s">
        <v>1074</v>
      </c>
      <c r="C3747" t="s">
        <v>906</v>
      </c>
      <c r="D3747">
        <v>0.6</v>
      </c>
      <c r="E3747" t="s">
        <v>7</v>
      </c>
      <c r="F3747" t="s">
        <v>772</v>
      </c>
      <c r="G3747" t="s">
        <v>3440</v>
      </c>
      <c r="H3747" t="s">
        <v>32</v>
      </c>
      <c r="I3747" s="28" t="s">
        <v>25</v>
      </c>
    </row>
    <row r="3748" spans="1:9" x14ac:dyDescent="0.3">
      <c r="A3748" s="26">
        <v>45342</v>
      </c>
      <c r="B3748" t="s">
        <v>1074</v>
      </c>
      <c r="C3748" t="s">
        <v>909</v>
      </c>
      <c r="D3748">
        <v>0.1</v>
      </c>
      <c r="E3748" t="s">
        <v>561</v>
      </c>
      <c r="F3748" t="s">
        <v>754</v>
      </c>
      <c r="G3748" t="s">
        <v>3441</v>
      </c>
      <c r="H3748" t="s">
        <v>32</v>
      </c>
      <c r="I3748" s="28" t="s">
        <v>25</v>
      </c>
    </row>
    <row r="3749" spans="1:9" x14ac:dyDescent="0.3">
      <c r="A3749" s="26">
        <v>45342</v>
      </c>
      <c r="B3749" t="s">
        <v>1074</v>
      </c>
      <c r="C3749" t="s">
        <v>909</v>
      </c>
      <c r="D3749">
        <v>0.7</v>
      </c>
      <c r="E3749" t="s">
        <v>964</v>
      </c>
      <c r="F3749" t="s">
        <v>754</v>
      </c>
      <c r="G3749" t="s">
        <v>3442</v>
      </c>
      <c r="H3749" t="s">
        <v>32</v>
      </c>
      <c r="I3749" s="28" t="s">
        <v>25</v>
      </c>
    </row>
    <row r="3750" spans="1:9" x14ac:dyDescent="0.3">
      <c r="A3750" s="26">
        <v>45342</v>
      </c>
      <c r="B3750" t="s">
        <v>1074</v>
      </c>
      <c r="C3750" t="s">
        <v>789</v>
      </c>
      <c r="D3750">
        <v>0.6</v>
      </c>
      <c r="E3750" t="s">
        <v>885</v>
      </c>
      <c r="F3750" t="s">
        <v>754</v>
      </c>
      <c r="G3750" t="s">
        <v>3443</v>
      </c>
      <c r="H3750" t="s">
        <v>32</v>
      </c>
      <c r="I3750" s="28" t="s">
        <v>25</v>
      </c>
    </row>
    <row r="3751" spans="1:9" x14ac:dyDescent="0.3">
      <c r="A3751" s="26">
        <v>45342</v>
      </c>
      <c r="B3751" t="s">
        <v>1074</v>
      </c>
      <c r="C3751" t="s">
        <v>771</v>
      </c>
      <c r="D3751">
        <v>0.7</v>
      </c>
      <c r="E3751" t="s">
        <v>7</v>
      </c>
      <c r="F3751" t="s">
        <v>772</v>
      </c>
      <c r="G3751" t="s">
        <v>3444</v>
      </c>
      <c r="H3751" t="s">
        <v>32</v>
      </c>
      <c r="I3751" s="28" t="s">
        <v>25</v>
      </c>
    </row>
    <row r="3752" spans="1:9" x14ac:dyDescent="0.3">
      <c r="A3752" s="26">
        <v>45342</v>
      </c>
      <c r="B3752" t="s">
        <v>1074</v>
      </c>
      <c r="C3752" t="s">
        <v>771</v>
      </c>
      <c r="D3752">
        <v>0.7</v>
      </c>
      <c r="E3752" t="s">
        <v>7</v>
      </c>
      <c r="F3752" t="s">
        <v>772</v>
      </c>
      <c r="G3752" t="s">
        <v>3445</v>
      </c>
      <c r="H3752" t="s">
        <v>32</v>
      </c>
      <c r="I3752" s="28" t="s">
        <v>25</v>
      </c>
    </row>
    <row r="3753" spans="1:9" x14ac:dyDescent="0.3">
      <c r="A3753" s="26">
        <v>45342</v>
      </c>
      <c r="B3753" t="s">
        <v>1074</v>
      </c>
      <c r="C3753" t="s">
        <v>916</v>
      </c>
      <c r="D3753">
        <v>0.7</v>
      </c>
      <c r="E3753" t="s">
        <v>964</v>
      </c>
      <c r="F3753" t="s">
        <v>754</v>
      </c>
      <c r="G3753" t="s">
        <v>3446</v>
      </c>
      <c r="H3753" t="s">
        <v>32</v>
      </c>
      <c r="I3753" s="28" t="s">
        <v>25</v>
      </c>
    </row>
    <row r="3754" spans="1:9" x14ac:dyDescent="0.3">
      <c r="A3754" s="26">
        <v>45342</v>
      </c>
      <c r="B3754" t="s">
        <v>1074</v>
      </c>
      <c r="C3754" t="s">
        <v>835</v>
      </c>
      <c r="D3754">
        <v>0.9</v>
      </c>
      <c r="E3754" t="s">
        <v>964</v>
      </c>
      <c r="F3754" t="s">
        <v>754</v>
      </c>
      <c r="G3754" t="s">
        <v>3447</v>
      </c>
      <c r="H3754" t="s">
        <v>32</v>
      </c>
      <c r="I3754" s="28" t="s">
        <v>25</v>
      </c>
    </row>
    <row r="3755" spans="1:9" x14ac:dyDescent="0.3">
      <c r="A3755" s="26">
        <v>45342</v>
      </c>
      <c r="B3755" t="s">
        <v>1074</v>
      </c>
      <c r="C3755" t="s">
        <v>835</v>
      </c>
      <c r="D3755">
        <v>1</v>
      </c>
      <c r="E3755" t="s">
        <v>964</v>
      </c>
      <c r="F3755" t="s">
        <v>754</v>
      </c>
      <c r="G3755" t="s">
        <v>3448</v>
      </c>
      <c r="H3755" t="s">
        <v>32</v>
      </c>
      <c r="I3755" s="28" t="s">
        <v>25</v>
      </c>
    </row>
    <row r="3756" spans="1:9" x14ac:dyDescent="0.3">
      <c r="A3756" s="26">
        <v>45342</v>
      </c>
      <c r="B3756" t="s">
        <v>1505</v>
      </c>
      <c r="C3756" t="s">
        <v>802</v>
      </c>
      <c r="D3756">
        <v>4</v>
      </c>
      <c r="E3756" t="s">
        <v>7</v>
      </c>
      <c r="F3756" t="s">
        <v>772</v>
      </c>
      <c r="G3756" t="s">
        <v>1506</v>
      </c>
      <c r="H3756" t="s">
        <v>32</v>
      </c>
      <c r="I3756" s="28" t="s">
        <v>25</v>
      </c>
    </row>
    <row r="3757" spans="1:9" x14ac:dyDescent="0.3">
      <c r="A3757" s="26">
        <v>45342</v>
      </c>
      <c r="B3757" t="s">
        <v>1081</v>
      </c>
      <c r="C3757" t="s">
        <v>771</v>
      </c>
      <c r="D3757">
        <v>3</v>
      </c>
      <c r="E3757" t="s">
        <v>7</v>
      </c>
      <c r="F3757" t="s">
        <v>772</v>
      </c>
      <c r="G3757" t="e">
        <f>- finalize timesheet - Final validation of Intellicare SOA - coordinate with Ariva - schedule AP interview with Carly</f>
        <v>#NAME?</v>
      </c>
      <c r="H3757" t="s">
        <v>32</v>
      </c>
      <c r="I3757" s="28" t="s">
        <v>25</v>
      </c>
    </row>
    <row r="3758" spans="1:9" x14ac:dyDescent="0.3">
      <c r="A3758" s="26">
        <v>45342</v>
      </c>
      <c r="B3758" t="s">
        <v>1081</v>
      </c>
      <c r="C3758" t="s">
        <v>942</v>
      </c>
      <c r="D3758">
        <v>5</v>
      </c>
      <c r="E3758" t="s">
        <v>7</v>
      </c>
      <c r="F3758" t="s">
        <v>772</v>
      </c>
      <c r="G3758" t="e">
        <f>- Resume Screening - phone interview - draft and post HR Advisor adver</f>
        <v>#NAME?</v>
      </c>
      <c r="H3758" t="s">
        <v>32</v>
      </c>
      <c r="I3758" s="28" t="s">
        <v>25</v>
      </c>
    </row>
    <row r="3759" spans="1:9" x14ac:dyDescent="0.3">
      <c r="A3759" s="26">
        <v>45343</v>
      </c>
      <c r="B3759" t="s">
        <v>752</v>
      </c>
      <c r="C3759" t="s">
        <v>753</v>
      </c>
      <c r="D3759">
        <v>7.0000000000000007E-2</v>
      </c>
      <c r="E3759" t="s">
        <v>417</v>
      </c>
      <c r="F3759" t="s">
        <v>754</v>
      </c>
      <c r="G3759" t="s">
        <v>760</v>
      </c>
      <c r="H3759" t="s">
        <v>32</v>
      </c>
      <c r="I3759" s="28" t="s">
        <v>26</v>
      </c>
    </row>
    <row r="3760" spans="1:9" x14ac:dyDescent="0.3">
      <c r="A3760" s="26">
        <v>45343</v>
      </c>
      <c r="B3760" t="s">
        <v>752</v>
      </c>
      <c r="C3760" t="s">
        <v>753</v>
      </c>
      <c r="D3760">
        <v>0.08</v>
      </c>
      <c r="E3760" t="s">
        <v>1084</v>
      </c>
      <c r="F3760" t="s">
        <v>754</v>
      </c>
      <c r="G3760" t="s">
        <v>760</v>
      </c>
      <c r="H3760" t="s">
        <v>32</v>
      </c>
      <c r="I3760" s="28" t="s">
        <v>26</v>
      </c>
    </row>
    <row r="3761" spans="1:9" x14ac:dyDescent="0.3">
      <c r="A3761" s="26">
        <v>45343</v>
      </c>
      <c r="B3761" t="s">
        <v>752</v>
      </c>
      <c r="C3761" t="s">
        <v>753</v>
      </c>
      <c r="D3761">
        <v>0.08</v>
      </c>
      <c r="E3761" t="s">
        <v>553</v>
      </c>
      <c r="F3761" t="s">
        <v>754</v>
      </c>
      <c r="G3761" t="s">
        <v>755</v>
      </c>
      <c r="H3761" t="s">
        <v>32</v>
      </c>
      <c r="I3761" s="28" t="s">
        <v>26</v>
      </c>
    </row>
    <row r="3762" spans="1:9" x14ac:dyDescent="0.3">
      <c r="A3762" s="26">
        <v>45343</v>
      </c>
      <c r="B3762" t="s">
        <v>752</v>
      </c>
      <c r="C3762" t="s">
        <v>753</v>
      </c>
      <c r="D3762">
        <v>0.08</v>
      </c>
      <c r="E3762" t="s">
        <v>757</v>
      </c>
      <c r="F3762" t="s">
        <v>754</v>
      </c>
      <c r="G3762" t="s">
        <v>755</v>
      </c>
      <c r="H3762" t="s">
        <v>32</v>
      </c>
      <c r="I3762" s="28" t="s">
        <v>26</v>
      </c>
    </row>
    <row r="3763" spans="1:9" x14ac:dyDescent="0.3">
      <c r="A3763" s="26">
        <v>45343</v>
      </c>
      <c r="B3763" t="s">
        <v>752</v>
      </c>
      <c r="C3763" t="s">
        <v>753</v>
      </c>
      <c r="D3763">
        <v>0.12</v>
      </c>
      <c r="E3763" t="s">
        <v>659</v>
      </c>
      <c r="F3763" t="s">
        <v>754</v>
      </c>
      <c r="G3763" t="s">
        <v>3449</v>
      </c>
      <c r="H3763" t="s">
        <v>32</v>
      </c>
      <c r="I3763" s="28" t="s">
        <v>26</v>
      </c>
    </row>
    <row r="3764" spans="1:9" x14ac:dyDescent="0.3">
      <c r="A3764" s="26">
        <v>45343</v>
      </c>
      <c r="B3764" t="s">
        <v>752</v>
      </c>
      <c r="C3764" t="s">
        <v>753</v>
      </c>
      <c r="D3764">
        <v>0.13</v>
      </c>
      <c r="E3764" t="s">
        <v>1084</v>
      </c>
      <c r="F3764" t="s">
        <v>754</v>
      </c>
      <c r="G3764" t="s">
        <v>769</v>
      </c>
      <c r="H3764" t="s">
        <v>32</v>
      </c>
      <c r="I3764" s="28" t="s">
        <v>26</v>
      </c>
    </row>
    <row r="3765" spans="1:9" x14ac:dyDescent="0.3">
      <c r="A3765" s="26">
        <v>45343</v>
      </c>
      <c r="B3765" t="s">
        <v>752</v>
      </c>
      <c r="C3765" t="s">
        <v>753</v>
      </c>
      <c r="D3765">
        <v>0.15</v>
      </c>
      <c r="E3765" t="s">
        <v>430</v>
      </c>
      <c r="F3765" t="s">
        <v>754</v>
      </c>
      <c r="G3765" t="s">
        <v>2407</v>
      </c>
      <c r="H3765" t="s">
        <v>32</v>
      </c>
      <c r="I3765" s="28" t="s">
        <v>26</v>
      </c>
    </row>
    <row r="3766" spans="1:9" x14ac:dyDescent="0.3">
      <c r="A3766" s="26">
        <v>45343</v>
      </c>
      <c r="B3766" t="s">
        <v>752</v>
      </c>
      <c r="C3766" t="s">
        <v>753</v>
      </c>
      <c r="D3766">
        <v>0.2</v>
      </c>
      <c r="E3766" t="s">
        <v>553</v>
      </c>
      <c r="F3766" t="s">
        <v>754</v>
      </c>
      <c r="G3766" t="s">
        <v>3449</v>
      </c>
      <c r="H3766" t="s">
        <v>32</v>
      </c>
      <c r="I3766" s="28" t="s">
        <v>26</v>
      </c>
    </row>
    <row r="3767" spans="1:9" x14ac:dyDescent="0.3">
      <c r="A3767" s="26">
        <v>45343</v>
      </c>
      <c r="B3767" t="s">
        <v>752</v>
      </c>
      <c r="C3767" t="s">
        <v>753</v>
      </c>
      <c r="D3767">
        <v>0.22</v>
      </c>
      <c r="E3767" t="s">
        <v>757</v>
      </c>
      <c r="F3767" t="s">
        <v>754</v>
      </c>
      <c r="G3767" t="s">
        <v>758</v>
      </c>
      <c r="H3767" t="s">
        <v>32</v>
      </c>
      <c r="I3767" s="28" t="s">
        <v>26</v>
      </c>
    </row>
    <row r="3768" spans="1:9" x14ac:dyDescent="0.3">
      <c r="A3768" s="26">
        <v>45343</v>
      </c>
      <c r="B3768" t="s">
        <v>752</v>
      </c>
      <c r="C3768" t="s">
        <v>753</v>
      </c>
      <c r="D3768">
        <v>0.23</v>
      </c>
      <c r="E3768" t="s">
        <v>430</v>
      </c>
      <c r="F3768" t="s">
        <v>754</v>
      </c>
      <c r="G3768" t="s">
        <v>758</v>
      </c>
      <c r="H3768" t="s">
        <v>32</v>
      </c>
      <c r="I3768" s="28" t="s">
        <v>26</v>
      </c>
    </row>
    <row r="3769" spans="1:9" x14ac:dyDescent="0.3">
      <c r="A3769" s="26">
        <v>45343</v>
      </c>
      <c r="B3769" t="s">
        <v>752</v>
      </c>
      <c r="C3769" t="s">
        <v>753</v>
      </c>
      <c r="D3769">
        <v>0.27</v>
      </c>
      <c r="E3769" t="s">
        <v>664</v>
      </c>
      <c r="F3769" t="s">
        <v>754</v>
      </c>
      <c r="G3769" t="s">
        <v>3450</v>
      </c>
      <c r="H3769" t="s">
        <v>32</v>
      </c>
      <c r="I3769" s="28" t="s">
        <v>26</v>
      </c>
    </row>
    <row r="3770" spans="1:9" x14ac:dyDescent="0.3">
      <c r="A3770" s="26">
        <v>45343</v>
      </c>
      <c r="B3770" t="s">
        <v>752</v>
      </c>
      <c r="C3770" t="s">
        <v>753</v>
      </c>
      <c r="D3770">
        <v>0.38</v>
      </c>
      <c r="E3770" t="s">
        <v>561</v>
      </c>
      <c r="F3770" t="s">
        <v>754</v>
      </c>
      <c r="G3770" t="s">
        <v>760</v>
      </c>
      <c r="H3770" t="s">
        <v>32</v>
      </c>
      <c r="I3770" s="28" t="s">
        <v>26</v>
      </c>
    </row>
    <row r="3771" spans="1:9" x14ac:dyDescent="0.3">
      <c r="A3771" s="26">
        <v>45343</v>
      </c>
      <c r="B3771" t="s">
        <v>752</v>
      </c>
      <c r="C3771" t="s">
        <v>753</v>
      </c>
      <c r="D3771">
        <v>0.42</v>
      </c>
      <c r="E3771" t="s">
        <v>602</v>
      </c>
      <c r="F3771" t="s">
        <v>754</v>
      </c>
      <c r="G3771" t="s">
        <v>758</v>
      </c>
      <c r="H3771" t="s">
        <v>32</v>
      </c>
      <c r="I3771" s="28" t="s">
        <v>26</v>
      </c>
    </row>
    <row r="3772" spans="1:9" x14ac:dyDescent="0.3">
      <c r="A3772" s="26">
        <v>45343</v>
      </c>
      <c r="B3772" t="s">
        <v>752</v>
      </c>
      <c r="C3772" t="s">
        <v>753</v>
      </c>
      <c r="D3772">
        <v>0.43</v>
      </c>
      <c r="E3772" t="s">
        <v>553</v>
      </c>
      <c r="F3772" t="s">
        <v>754</v>
      </c>
      <c r="G3772" t="s">
        <v>765</v>
      </c>
      <c r="H3772" t="s">
        <v>32</v>
      </c>
      <c r="I3772" s="28" t="s">
        <v>26</v>
      </c>
    </row>
    <row r="3773" spans="1:9" x14ac:dyDescent="0.3">
      <c r="A3773" s="26">
        <v>45343</v>
      </c>
      <c r="B3773" t="s">
        <v>752</v>
      </c>
      <c r="C3773" t="s">
        <v>753</v>
      </c>
      <c r="D3773">
        <v>0.62</v>
      </c>
      <c r="E3773" t="s">
        <v>210</v>
      </c>
      <c r="F3773" t="s">
        <v>754</v>
      </c>
      <c r="G3773" t="s">
        <v>765</v>
      </c>
      <c r="H3773" t="s">
        <v>32</v>
      </c>
      <c r="I3773" s="28" t="s">
        <v>26</v>
      </c>
    </row>
    <row r="3774" spans="1:9" x14ac:dyDescent="0.3">
      <c r="A3774" s="26">
        <v>45343</v>
      </c>
      <c r="B3774" t="s">
        <v>752</v>
      </c>
      <c r="C3774" t="s">
        <v>753</v>
      </c>
      <c r="D3774">
        <v>0.97</v>
      </c>
      <c r="E3774" t="s">
        <v>659</v>
      </c>
      <c r="F3774" t="s">
        <v>754</v>
      </c>
      <c r="G3774" t="s">
        <v>765</v>
      </c>
      <c r="H3774" t="s">
        <v>32</v>
      </c>
      <c r="I3774" s="28" t="s">
        <v>26</v>
      </c>
    </row>
    <row r="3775" spans="1:9" x14ac:dyDescent="0.3">
      <c r="A3775" s="26">
        <v>45343</v>
      </c>
      <c r="B3775" t="s">
        <v>752</v>
      </c>
      <c r="C3775" t="s">
        <v>753</v>
      </c>
      <c r="D3775">
        <v>1</v>
      </c>
      <c r="E3775" t="s">
        <v>430</v>
      </c>
      <c r="F3775" t="s">
        <v>754</v>
      </c>
      <c r="G3775" t="s">
        <v>769</v>
      </c>
      <c r="H3775" t="s">
        <v>32</v>
      </c>
      <c r="I3775" s="28" t="s">
        <v>26</v>
      </c>
    </row>
    <row r="3776" spans="1:9" x14ac:dyDescent="0.3">
      <c r="A3776" s="26">
        <v>45343</v>
      </c>
      <c r="B3776" t="s">
        <v>752</v>
      </c>
      <c r="C3776" t="s">
        <v>753</v>
      </c>
      <c r="D3776">
        <v>1.1499999999999999</v>
      </c>
      <c r="E3776" t="s">
        <v>757</v>
      </c>
      <c r="F3776" t="s">
        <v>754</v>
      </c>
      <c r="G3776" t="s">
        <v>765</v>
      </c>
      <c r="H3776" t="s">
        <v>32</v>
      </c>
      <c r="I3776" s="28" t="s">
        <v>26</v>
      </c>
    </row>
    <row r="3777" spans="1:9" x14ac:dyDescent="0.3">
      <c r="A3777" s="26">
        <v>45343</v>
      </c>
      <c r="B3777" t="s">
        <v>752</v>
      </c>
      <c r="C3777" t="s">
        <v>771</v>
      </c>
      <c r="D3777">
        <v>0.25</v>
      </c>
      <c r="E3777" t="s">
        <v>7</v>
      </c>
      <c r="F3777" t="s">
        <v>772</v>
      </c>
      <c r="G3777" t="s">
        <v>774</v>
      </c>
      <c r="H3777" t="s">
        <v>32</v>
      </c>
      <c r="I3777" s="28" t="s">
        <v>26</v>
      </c>
    </row>
    <row r="3778" spans="1:9" x14ac:dyDescent="0.3">
      <c r="A3778" s="26">
        <v>45343</v>
      </c>
      <c r="B3778" t="s">
        <v>752</v>
      </c>
      <c r="C3778" t="s">
        <v>771</v>
      </c>
      <c r="D3778">
        <v>0.25</v>
      </c>
      <c r="E3778" t="s">
        <v>7</v>
      </c>
      <c r="F3778" t="s">
        <v>772</v>
      </c>
      <c r="G3778" t="s">
        <v>775</v>
      </c>
      <c r="H3778" t="s">
        <v>32</v>
      </c>
      <c r="I3778" s="28" t="s">
        <v>26</v>
      </c>
    </row>
    <row r="3779" spans="1:9" x14ac:dyDescent="0.3">
      <c r="A3779" s="26">
        <v>45343</v>
      </c>
      <c r="B3779" t="s">
        <v>752</v>
      </c>
      <c r="C3779" t="s">
        <v>834</v>
      </c>
      <c r="D3779">
        <v>0.52</v>
      </c>
      <c r="E3779" t="s">
        <v>7</v>
      </c>
      <c r="F3779" t="s">
        <v>772</v>
      </c>
      <c r="G3779" t="s">
        <v>2060</v>
      </c>
      <c r="H3779" t="s">
        <v>32</v>
      </c>
      <c r="I3779" s="28" t="s">
        <v>26</v>
      </c>
    </row>
    <row r="3780" spans="1:9" x14ac:dyDescent="0.3">
      <c r="A3780" s="26">
        <v>45343</v>
      </c>
      <c r="B3780" t="s">
        <v>752</v>
      </c>
      <c r="C3780" t="s">
        <v>776</v>
      </c>
      <c r="D3780">
        <v>0.38</v>
      </c>
      <c r="E3780" t="s">
        <v>727</v>
      </c>
      <c r="F3780" t="s">
        <v>754</v>
      </c>
      <c r="H3780" t="s">
        <v>32</v>
      </c>
      <c r="I3780" s="28" t="s">
        <v>26</v>
      </c>
    </row>
    <row r="3781" spans="1:9" x14ac:dyDescent="0.3">
      <c r="A3781" s="26">
        <v>45343</v>
      </c>
      <c r="B3781" t="s">
        <v>1093</v>
      </c>
      <c r="C3781" t="s">
        <v>1522</v>
      </c>
      <c r="D3781">
        <v>1.5</v>
      </c>
      <c r="E3781" t="s">
        <v>455</v>
      </c>
      <c r="F3781" t="s">
        <v>754</v>
      </c>
      <c r="G3781" t="s">
        <v>3451</v>
      </c>
      <c r="H3781" t="s">
        <v>32</v>
      </c>
      <c r="I3781" s="28" t="s">
        <v>26</v>
      </c>
    </row>
    <row r="3782" spans="1:9" x14ac:dyDescent="0.3">
      <c r="A3782" s="26">
        <v>45343</v>
      </c>
      <c r="B3782" t="s">
        <v>1093</v>
      </c>
      <c r="C3782" t="s">
        <v>1309</v>
      </c>
      <c r="D3782">
        <v>0.5</v>
      </c>
      <c r="E3782" t="s">
        <v>455</v>
      </c>
      <c r="F3782" t="s">
        <v>754</v>
      </c>
      <c r="G3782" t="s">
        <v>3452</v>
      </c>
      <c r="H3782" t="s">
        <v>32</v>
      </c>
      <c r="I3782" s="28" t="s">
        <v>26</v>
      </c>
    </row>
    <row r="3783" spans="1:9" x14ac:dyDescent="0.3">
      <c r="A3783" s="26">
        <v>45343</v>
      </c>
      <c r="B3783" t="s">
        <v>1093</v>
      </c>
      <c r="C3783" t="s">
        <v>1524</v>
      </c>
      <c r="D3783">
        <v>0.5</v>
      </c>
      <c r="E3783" t="s">
        <v>455</v>
      </c>
      <c r="F3783" t="s">
        <v>754</v>
      </c>
      <c r="G3783" t="s">
        <v>3453</v>
      </c>
      <c r="H3783" t="s">
        <v>32</v>
      </c>
      <c r="I3783" s="28" t="s">
        <v>26</v>
      </c>
    </row>
    <row r="3784" spans="1:9" x14ac:dyDescent="0.3">
      <c r="A3784" s="26">
        <v>45343</v>
      </c>
      <c r="B3784" t="s">
        <v>1093</v>
      </c>
      <c r="C3784" t="s">
        <v>1094</v>
      </c>
      <c r="D3784">
        <v>1</v>
      </c>
      <c r="E3784" t="s">
        <v>455</v>
      </c>
      <c r="F3784" t="s">
        <v>754</v>
      </c>
      <c r="G3784" t="s">
        <v>3454</v>
      </c>
      <c r="H3784" t="s">
        <v>32</v>
      </c>
      <c r="I3784" s="28" t="s">
        <v>26</v>
      </c>
    </row>
    <row r="3785" spans="1:9" x14ac:dyDescent="0.3">
      <c r="A3785" s="26">
        <v>45343</v>
      </c>
      <c r="B3785" t="s">
        <v>21</v>
      </c>
      <c r="C3785" t="s">
        <v>753</v>
      </c>
      <c r="D3785">
        <v>0.33</v>
      </c>
      <c r="E3785" t="s">
        <v>589</v>
      </c>
      <c r="F3785" t="s">
        <v>754</v>
      </c>
      <c r="H3785" t="s">
        <v>32</v>
      </c>
      <c r="I3785" s="28" t="s">
        <v>26</v>
      </c>
    </row>
    <row r="3786" spans="1:9" x14ac:dyDescent="0.3">
      <c r="A3786" s="26">
        <v>45343</v>
      </c>
      <c r="B3786" t="s">
        <v>21</v>
      </c>
      <c r="C3786" t="s">
        <v>753</v>
      </c>
      <c r="D3786">
        <v>1.22</v>
      </c>
      <c r="E3786" t="s">
        <v>13</v>
      </c>
      <c r="F3786" t="s">
        <v>754</v>
      </c>
      <c r="H3786" t="s">
        <v>32</v>
      </c>
      <c r="I3786" s="28" t="s">
        <v>26</v>
      </c>
    </row>
    <row r="3787" spans="1:9" x14ac:dyDescent="0.3">
      <c r="A3787" s="26">
        <v>45343</v>
      </c>
      <c r="B3787" t="s">
        <v>21</v>
      </c>
      <c r="C3787" t="s">
        <v>771</v>
      </c>
      <c r="D3787">
        <v>0.47</v>
      </c>
      <c r="E3787" t="s">
        <v>7</v>
      </c>
      <c r="F3787" t="s">
        <v>772</v>
      </c>
      <c r="G3787" t="s">
        <v>781</v>
      </c>
      <c r="H3787" t="s">
        <v>32</v>
      </c>
      <c r="I3787" s="28" t="s">
        <v>26</v>
      </c>
    </row>
    <row r="3788" spans="1:9" x14ac:dyDescent="0.3">
      <c r="A3788" s="26">
        <v>45343</v>
      </c>
      <c r="B3788" t="s">
        <v>21</v>
      </c>
      <c r="C3788" t="s">
        <v>771</v>
      </c>
      <c r="D3788">
        <v>0.52</v>
      </c>
      <c r="E3788" t="s">
        <v>7</v>
      </c>
      <c r="F3788" t="s">
        <v>772</v>
      </c>
      <c r="G3788" t="s">
        <v>3455</v>
      </c>
      <c r="H3788" t="s">
        <v>32</v>
      </c>
      <c r="I3788" s="28" t="s">
        <v>26</v>
      </c>
    </row>
    <row r="3789" spans="1:9" x14ac:dyDescent="0.3">
      <c r="A3789" s="26">
        <v>45343</v>
      </c>
      <c r="B3789" t="s">
        <v>21</v>
      </c>
      <c r="C3789" t="s">
        <v>771</v>
      </c>
      <c r="D3789">
        <v>0.67</v>
      </c>
      <c r="E3789" t="s">
        <v>7</v>
      </c>
      <c r="F3789" t="s">
        <v>772</v>
      </c>
      <c r="G3789" t="s">
        <v>1561</v>
      </c>
      <c r="H3789" t="s">
        <v>32</v>
      </c>
      <c r="I3789" s="28" t="s">
        <v>26</v>
      </c>
    </row>
    <row r="3790" spans="1:9" x14ac:dyDescent="0.3">
      <c r="A3790" s="26">
        <v>45343</v>
      </c>
      <c r="B3790" t="s">
        <v>21</v>
      </c>
      <c r="C3790" t="s">
        <v>771</v>
      </c>
      <c r="D3790">
        <v>1.37</v>
      </c>
      <c r="E3790" t="s">
        <v>7</v>
      </c>
      <c r="F3790" t="s">
        <v>772</v>
      </c>
      <c r="G3790" t="s">
        <v>3456</v>
      </c>
      <c r="H3790" t="s">
        <v>32</v>
      </c>
      <c r="I3790" s="28" t="s">
        <v>26</v>
      </c>
    </row>
    <row r="3791" spans="1:9" x14ac:dyDescent="0.3">
      <c r="A3791" s="26">
        <v>45343</v>
      </c>
      <c r="B3791" t="s">
        <v>21</v>
      </c>
      <c r="C3791" t="s">
        <v>771</v>
      </c>
      <c r="D3791">
        <v>1.47</v>
      </c>
      <c r="E3791" t="s">
        <v>7</v>
      </c>
      <c r="F3791" t="s">
        <v>772</v>
      </c>
      <c r="G3791" t="s">
        <v>3457</v>
      </c>
      <c r="H3791" t="s">
        <v>32</v>
      </c>
      <c r="I3791" s="28" t="s">
        <v>26</v>
      </c>
    </row>
    <row r="3792" spans="1:9" x14ac:dyDescent="0.3">
      <c r="A3792" s="26">
        <v>45343</v>
      </c>
      <c r="B3792" t="s">
        <v>21</v>
      </c>
      <c r="C3792" t="s">
        <v>771</v>
      </c>
      <c r="D3792">
        <v>1.57</v>
      </c>
      <c r="E3792" t="s">
        <v>7</v>
      </c>
      <c r="F3792" t="s">
        <v>772</v>
      </c>
      <c r="G3792" t="s">
        <v>3458</v>
      </c>
      <c r="H3792" t="s">
        <v>32</v>
      </c>
      <c r="I3792" s="28" t="s">
        <v>26</v>
      </c>
    </row>
    <row r="3793" spans="1:9" x14ac:dyDescent="0.3">
      <c r="A3793" s="26">
        <v>45343</v>
      </c>
      <c r="B3793" t="s">
        <v>21</v>
      </c>
      <c r="C3793" t="s">
        <v>874</v>
      </c>
      <c r="D3793">
        <v>0.47</v>
      </c>
      <c r="E3793" t="s">
        <v>7</v>
      </c>
      <c r="F3793" t="s">
        <v>772</v>
      </c>
      <c r="G3793" t="s">
        <v>3459</v>
      </c>
      <c r="H3793" t="s">
        <v>32</v>
      </c>
      <c r="I3793" s="28" t="s">
        <v>26</v>
      </c>
    </row>
    <row r="3794" spans="1:9" x14ac:dyDescent="0.3">
      <c r="A3794" s="26">
        <v>45343</v>
      </c>
      <c r="B3794" t="s">
        <v>785</v>
      </c>
      <c r="C3794" t="s">
        <v>786</v>
      </c>
      <c r="D3794">
        <v>8</v>
      </c>
      <c r="E3794" t="s">
        <v>7</v>
      </c>
      <c r="F3794" t="s">
        <v>772</v>
      </c>
      <c r="G3794" t="s">
        <v>3460</v>
      </c>
      <c r="H3794" t="s">
        <v>32</v>
      </c>
      <c r="I3794" s="28" t="s">
        <v>26</v>
      </c>
    </row>
    <row r="3795" spans="1:9" x14ac:dyDescent="0.3">
      <c r="A3795" s="26">
        <v>45343</v>
      </c>
      <c r="B3795" t="s">
        <v>788</v>
      </c>
      <c r="C3795" t="s">
        <v>786</v>
      </c>
      <c r="D3795">
        <v>9</v>
      </c>
      <c r="E3795" t="s">
        <v>7</v>
      </c>
      <c r="F3795" t="s">
        <v>772</v>
      </c>
      <c r="H3795" t="s">
        <v>32</v>
      </c>
      <c r="I3795" s="28" t="s">
        <v>26</v>
      </c>
    </row>
    <row r="3796" spans="1:9" x14ac:dyDescent="0.3">
      <c r="A3796" s="26">
        <v>45343</v>
      </c>
      <c r="B3796" t="s">
        <v>792</v>
      </c>
      <c r="C3796" t="s">
        <v>753</v>
      </c>
      <c r="D3796">
        <v>0.52</v>
      </c>
      <c r="E3796" t="s">
        <v>790</v>
      </c>
      <c r="F3796" t="s">
        <v>754</v>
      </c>
      <c r="G3796" t="s">
        <v>3461</v>
      </c>
      <c r="H3796" t="s">
        <v>32</v>
      </c>
      <c r="I3796" s="28" t="s">
        <v>26</v>
      </c>
    </row>
    <row r="3797" spans="1:9" x14ac:dyDescent="0.3">
      <c r="A3797" s="26">
        <v>45343</v>
      </c>
      <c r="B3797" t="s">
        <v>792</v>
      </c>
      <c r="C3797" t="s">
        <v>753</v>
      </c>
      <c r="D3797">
        <v>0.57999999999999996</v>
      </c>
      <c r="E3797" t="s">
        <v>790</v>
      </c>
      <c r="F3797" t="s">
        <v>754</v>
      </c>
      <c r="G3797" t="s">
        <v>3462</v>
      </c>
      <c r="H3797" t="s">
        <v>32</v>
      </c>
      <c r="I3797" s="28" t="s">
        <v>26</v>
      </c>
    </row>
    <row r="3798" spans="1:9" x14ac:dyDescent="0.3">
      <c r="A3798" s="26">
        <v>45343</v>
      </c>
      <c r="B3798" t="s">
        <v>792</v>
      </c>
      <c r="C3798" t="s">
        <v>753</v>
      </c>
      <c r="D3798">
        <v>1.98</v>
      </c>
      <c r="E3798" t="s">
        <v>790</v>
      </c>
      <c r="F3798" t="s">
        <v>754</v>
      </c>
      <c r="G3798" t="s">
        <v>793</v>
      </c>
      <c r="H3798" t="s">
        <v>32</v>
      </c>
      <c r="I3798" s="28" t="s">
        <v>26</v>
      </c>
    </row>
    <row r="3799" spans="1:9" x14ac:dyDescent="0.3">
      <c r="A3799" s="26">
        <v>45343</v>
      </c>
      <c r="B3799" t="s">
        <v>792</v>
      </c>
      <c r="C3799" t="s">
        <v>753</v>
      </c>
      <c r="D3799">
        <v>5.2</v>
      </c>
      <c r="E3799" t="s">
        <v>790</v>
      </c>
      <c r="F3799" t="s">
        <v>754</v>
      </c>
      <c r="G3799" t="s">
        <v>3463</v>
      </c>
      <c r="H3799" t="s">
        <v>32</v>
      </c>
      <c r="I3799" s="28" t="s">
        <v>26</v>
      </c>
    </row>
    <row r="3800" spans="1:9" x14ac:dyDescent="0.3">
      <c r="A3800" s="26">
        <v>45343</v>
      </c>
      <c r="B3800" t="s">
        <v>801</v>
      </c>
      <c r="C3800" t="s">
        <v>802</v>
      </c>
      <c r="D3800">
        <v>11.23</v>
      </c>
      <c r="E3800" t="s">
        <v>7</v>
      </c>
      <c r="F3800" t="s">
        <v>772</v>
      </c>
      <c r="H3800" t="s">
        <v>32</v>
      </c>
      <c r="I3800" s="28" t="s">
        <v>26</v>
      </c>
    </row>
    <row r="3801" spans="1:9" x14ac:dyDescent="0.3">
      <c r="A3801" s="26">
        <v>45343</v>
      </c>
      <c r="B3801" t="s">
        <v>808</v>
      </c>
      <c r="C3801" t="s">
        <v>802</v>
      </c>
      <c r="D3801">
        <v>9.0299999999999994</v>
      </c>
      <c r="E3801" t="s">
        <v>7</v>
      </c>
      <c r="F3801" t="s">
        <v>772</v>
      </c>
      <c r="G3801" t="s">
        <v>3135</v>
      </c>
      <c r="H3801" t="s">
        <v>32</v>
      </c>
      <c r="I3801" s="28" t="s">
        <v>26</v>
      </c>
    </row>
    <row r="3802" spans="1:9" x14ac:dyDescent="0.3">
      <c r="A3802" s="26">
        <v>45343</v>
      </c>
      <c r="B3802" t="s">
        <v>810</v>
      </c>
      <c r="C3802" t="s">
        <v>753</v>
      </c>
      <c r="D3802">
        <v>0.17</v>
      </c>
      <c r="E3802" t="s">
        <v>516</v>
      </c>
      <c r="F3802" t="s">
        <v>772</v>
      </c>
      <c r="G3802" t="s">
        <v>3464</v>
      </c>
      <c r="H3802" t="s">
        <v>32</v>
      </c>
      <c r="I3802" s="28" t="s">
        <v>26</v>
      </c>
    </row>
    <row r="3803" spans="1:9" x14ac:dyDescent="0.3">
      <c r="A3803" s="26">
        <v>45343</v>
      </c>
      <c r="B3803" t="s">
        <v>810</v>
      </c>
      <c r="C3803" t="s">
        <v>753</v>
      </c>
      <c r="D3803">
        <v>0.25</v>
      </c>
      <c r="E3803" t="s">
        <v>814</v>
      </c>
      <c r="F3803" t="s">
        <v>754</v>
      </c>
      <c r="G3803" t="s">
        <v>3465</v>
      </c>
      <c r="H3803" t="s">
        <v>32</v>
      </c>
      <c r="I3803" s="28" t="s">
        <v>26</v>
      </c>
    </row>
    <row r="3804" spans="1:9" x14ac:dyDescent="0.3">
      <c r="A3804" s="26">
        <v>45343</v>
      </c>
      <c r="B3804" t="s">
        <v>810</v>
      </c>
      <c r="C3804" t="s">
        <v>753</v>
      </c>
      <c r="D3804">
        <v>0.25</v>
      </c>
      <c r="E3804" t="s">
        <v>898</v>
      </c>
      <c r="F3804" t="s">
        <v>772</v>
      </c>
      <c r="G3804" t="s">
        <v>3464</v>
      </c>
      <c r="H3804" t="s">
        <v>32</v>
      </c>
      <c r="I3804" s="28" t="s">
        <v>26</v>
      </c>
    </row>
    <row r="3805" spans="1:9" x14ac:dyDescent="0.3">
      <c r="A3805" s="26">
        <v>45343</v>
      </c>
      <c r="B3805" t="s">
        <v>810</v>
      </c>
      <c r="C3805" t="s">
        <v>753</v>
      </c>
      <c r="D3805">
        <v>0.75</v>
      </c>
      <c r="E3805" t="s">
        <v>898</v>
      </c>
      <c r="F3805" t="s">
        <v>754</v>
      </c>
      <c r="G3805" t="s">
        <v>3466</v>
      </c>
      <c r="H3805" t="s">
        <v>32</v>
      </c>
      <c r="I3805" s="28" t="s">
        <v>26</v>
      </c>
    </row>
    <row r="3806" spans="1:9" x14ac:dyDescent="0.3">
      <c r="A3806" s="26">
        <v>45343</v>
      </c>
      <c r="B3806" t="s">
        <v>810</v>
      </c>
      <c r="C3806" t="s">
        <v>753</v>
      </c>
      <c r="D3806">
        <v>0.83</v>
      </c>
      <c r="E3806" t="s">
        <v>628</v>
      </c>
      <c r="F3806" t="s">
        <v>772</v>
      </c>
      <c r="G3806" t="s">
        <v>3467</v>
      </c>
      <c r="H3806" t="s">
        <v>32</v>
      </c>
      <c r="I3806" s="28" t="s">
        <v>26</v>
      </c>
    </row>
    <row r="3807" spans="1:9" x14ac:dyDescent="0.3">
      <c r="A3807" s="26">
        <v>45343</v>
      </c>
      <c r="B3807" t="s">
        <v>810</v>
      </c>
      <c r="C3807" t="s">
        <v>753</v>
      </c>
      <c r="D3807">
        <v>1.58</v>
      </c>
      <c r="E3807" t="s">
        <v>687</v>
      </c>
      <c r="F3807" t="s">
        <v>754</v>
      </c>
      <c r="G3807" t="s">
        <v>1549</v>
      </c>
      <c r="H3807" t="s">
        <v>32</v>
      </c>
      <c r="I3807" s="28" t="s">
        <v>26</v>
      </c>
    </row>
    <row r="3808" spans="1:9" x14ac:dyDescent="0.3">
      <c r="A3808" s="26">
        <v>45343</v>
      </c>
      <c r="B3808" t="s">
        <v>810</v>
      </c>
      <c r="C3808" t="s">
        <v>753</v>
      </c>
      <c r="D3808">
        <v>2.83</v>
      </c>
      <c r="E3808" t="s">
        <v>516</v>
      </c>
      <c r="F3808" t="s">
        <v>754</v>
      </c>
      <c r="G3808" t="s">
        <v>3466</v>
      </c>
      <c r="H3808" t="s">
        <v>32</v>
      </c>
      <c r="I3808" s="28" t="s">
        <v>26</v>
      </c>
    </row>
    <row r="3809" spans="1:9" x14ac:dyDescent="0.3">
      <c r="A3809" s="26">
        <v>45343</v>
      </c>
      <c r="B3809" t="s">
        <v>810</v>
      </c>
      <c r="C3809" t="s">
        <v>771</v>
      </c>
      <c r="D3809">
        <v>0.5</v>
      </c>
      <c r="E3809" t="s">
        <v>7</v>
      </c>
      <c r="F3809" t="s">
        <v>772</v>
      </c>
      <c r="G3809" t="s">
        <v>781</v>
      </c>
      <c r="H3809" t="s">
        <v>32</v>
      </c>
      <c r="I3809" s="28" t="s">
        <v>26</v>
      </c>
    </row>
    <row r="3810" spans="1:9" x14ac:dyDescent="0.3">
      <c r="A3810" s="26">
        <v>45343</v>
      </c>
      <c r="B3810" t="s">
        <v>810</v>
      </c>
      <c r="C3810" t="s">
        <v>874</v>
      </c>
      <c r="D3810">
        <v>0.57999999999999996</v>
      </c>
      <c r="E3810" t="s">
        <v>7</v>
      </c>
      <c r="F3810" t="s">
        <v>772</v>
      </c>
      <c r="G3810" t="s">
        <v>2070</v>
      </c>
      <c r="H3810" t="s">
        <v>32</v>
      </c>
      <c r="I3810" s="28" t="s">
        <v>26</v>
      </c>
    </row>
    <row r="3811" spans="1:9" x14ac:dyDescent="0.3">
      <c r="A3811" s="26">
        <v>45343</v>
      </c>
      <c r="B3811" t="s">
        <v>810</v>
      </c>
      <c r="C3811" t="s">
        <v>776</v>
      </c>
      <c r="D3811">
        <v>0.25</v>
      </c>
      <c r="E3811" t="s">
        <v>898</v>
      </c>
      <c r="F3811" t="s">
        <v>754</v>
      </c>
      <c r="G3811" t="s">
        <v>1764</v>
      </c>
      <c r="H3811" t="s">
        <v>32</v>
      </c>
      <c r="I3811" s="28" t="s">
        <v>26</v>
      </c>
    </row>
    <row r="3812" spans="1:9" x14ac:dyDescent="0.3">
      <c r="A3812" s="26">
        <v>45343</v>
      </c>
      <c r="B3812" t="s">
        <v>829</v>
      </c>
      <c r="C3812" t="s">
        <v>753</v>
      </c>
      <c r="D3812">
        <v>0.08</v>
      </c>
      <c r="E3812" t="s">
        <v>985</v>
      </c>
      <c r="F3812" t="s">
        <v>772</v>
      </c>
      <c r="G3812" t="s">
        <v>3468</v>
      </c>
      <c r="H3812" t="s">
        <v>32</v>
      </c>
      <c r="I3812" s="28" t="s">
        <v>26</v>
      </c>
    </row>
    <row r="3813" spans="1:9" x14ac:dyDescent="0.3">
      <c r="A3813" s="26">
        <v>45343</v>
      </c>
      <c r="B3813" t="s">
        <v>829</v>
      </c>
      <c r="C3813" t="s">
        <v>753</v>
      </c>
      <c r="D3813">
        <v>0.53</v>
      </c>
      <c r="E3813" t="s">
        <v>857</v>
      </c>
      <c r="F3813" t="s">
        <v>754</v>
      </c>
      <c r="G3813" t="s">
        <v>1127</v>
      </c>
      <c r="H3813" t="s">
        <v>32</v>
      </c>
      <c r="I3813" s="28" t="s">
        <v>26</v>
      </c>
    </row>
    <row r="3814" spans="1:9" x14ac:dyDescent="0.3">
      <c r="A3814" s="26">
        <v>45343</v>
      </c>
      <c r="B3814" t="s">
        <v>829</v>
      </c>
      <c r="C3814" t="s">
        <v>753</v>
      </c>
      <c r="D3814">
        <v>0.55000000000000004</v>
      </c>
      <c r="E3814" t="s">
        <v>375</v>
      </c>
      <c r="F3814" t="s">
        <v>754</v>
      </c>
      <c r="G3814" t="s">
        <v>3469</v>
      </c>
      <c r="H3814" t="s">
        <v>32</v>
      </c>
      <c r="I3814" s="28" t="s">
        <v>26</v>
      </c>
    </row>
    <row r="3815" spans="1:9" x14ac:dyDescent="0.3">
      <c r="A3815" s="26">
        <v>45343</v>
      </c>
      <c r="B3815" t="s">
        <v>829</v>
      </c>
      <c r="C3815" t="s">
        <v>753</v>
      </c>
      <c r="D3815">
        <v>0.98</v>
      </c>
      <c r="E3815" t="s">
        <v>2613</v>
      </c>
      <c r="F3815" t="s">
        <v>754</v>
      </c>
      <c r="G3815" t="s">
        <v>3470</v>
      </c>
      <c r="H3815" t="s">
        <v>32</v>
      </c>
      <c r="I3815" s="28" t="s">
        <v>26</v>
      </c>
    </row>
    <row r="3816" spans="1:9" x14ac:dyDescent="0.3">
      <c r="A3816" s="26">
        <v>45343</v>
      </c>
      <c r="B3816" t="s">
        <v>829</v>
      </c>
      <c r="C3816" t="s">
        <v>771</v>
      </c>
      <c r="D3816">
        <v>0.32</v>
      </c>
      <c r="E3816" t="s">
        <v>7</v>
      </c>
      <c r="F3816" t="s">
        <v>772</v>
      </c>
      <c r="G3816" t="s">
        <v>3471</v>
      </c>
      <c r="H3816" t="s">
        <v>32</v>
      </c>
      <c r="I3816" s="28" t="s">
        <v>26</v>
      </c>
    </row>
    <row r="3817" spans="1:9" x14ac:dyDescent="0.3">
      <c r="A3817" s="26">
        <v>45343</v>
      </c>
      <c r="B3817" t="s">
        <v>829</v>
      </c>
      <c r="C3817" t="s">
        <v>771</v>
      </c>
      <c r="D3817">
        <v>0.5</v>
      </c>
      <c r="E3817" t="s">
        <v>7</v>
      </c>
      <c r="F3817" t="s">
        <v>772</v>
      </c>
      <c r="G3817" t="s">
        <v>781</v>
      </c>
      <c r="H3817" t="s">
        <v>32</v>
      </c>
      <c r="I3817" s="28" t="s">
        <v>26</v>
      </c>
    </row>
    <row r="3818" spans="1:9" x14ac:dyDescent="0.3">
      <c r="A3818" s="26">
        <v>45343</v>
      </c>
      <c r="B3818" t="s">
        <v>829</v>
      </c>
      <c r="C3818" t="s">
        <v>771</v>
      </c>
      <c r="D3818">
        <v>0.56999999999999995</v>
      </c>
      <c r="E3818" t="s">
        <v>7</v>
      </c>
      <c r="F3818" t="s">
        <v>772</v>
      </c>
      <c r="G3818" t="s">
        <v>3472</v>
      </c>
      <c r="H3818" t="s">
        <v>32</v>
      </c>
      <c r="I3818" s="28" t="s">
        <v>26</v>
      </c>
    </row>
    <row r="3819" spans="1:9" x14ac:dyDescent="0.3">
      <c r="A3819" s="26">
        <v>45343</v>
      </c>
      <c r="B3819" t="s">
        <v>829</v>
      </c>
      <c r="C3819" t="s">
        <v>874</v>
      </c>
      <c r="D3819">
        <v>0.55000000000000004</v>
      </c>
      <c r="E3819" t="s">
        <v>7</v>
      </c>
      <c r="F3819" t="s">
        <v>772</v>
      </c>
      <c r="G3819" t="s">
        <v>3473</v>
      </c>
      <c r="H3819" t="s">
        <v>32</v>
      </c>
      <c r="I3819" s="28" t="s">
        <v>26</v>
      </c>
    </row>
    <row r="3820" spans="1:9" x14ac:dyDescent="0.3">
      <c r="A3820" s="26">
        <v>45343</v>
      </c>
      <c r="B3820" t="s">
        <v>829</v>
      </c>
      <c r="C3820" t="s">
        <v>776</v>
      </c>
      <c r="D3820">
        <v>0.8</v>
      </c>
      <c r="E3820" t="s">
        <v>790</v>
      </c>
      <c r="F3820" t="s">
        <v>772</v>
      </c>
      <c r="G3820" t="s">
        <v>3474</v>
      </c>
      <c r="H3820" t="s">
        <v>32</v>
      </c>
      <c r="I3820" s="28" t="s">
        <v>26</v>
      </c>
    </row>
    <row r="3821" spans="1:9" x14ac:dyDescent="0.3">
      <c r="A3821" s="26">
        <v>45343</v>
      </c>
      <c r="B3821" t="s">
        <v>829</v>
      </c>
      <c r="C3821" t="s">
        <v>776</v>
      </c>
      <c r="D3821">
        <v>3.12</v>
      </c>
      <c r="E3821" t="s">
        <v>790</v>
      </c>
      <c r="F3821" t="s">
        <v>754</v>
      </c>
      <c r="H3821" t="s">
        <v>32</v>
      </c>
      <c r="I3821" s="28" t="s">
        <v>26</v>
      </c>
    </row>
    <row r="3822" spans="1:9" x14ac:dyDescent="0.3">
      <c r="A3822" s="26">
        <v>45343</v>
      </c>
      <c r="B3822" t="s">
        <v>840</v>
      </c>
      <c r="C3822" t="s">
        <v>771</v>
      </c>
      <c r="D3822">
        <v>10.02</v>
      </c>
      <c r="E3822" t="s">
        <v>7</v>
      </c>
      <c r="F3822" t="s">
        <v>772</v>
      </c>
      <c r="G3822" t="e">
        <f>- Arranged the Meeting schedules of the Team with Nick, Ali and Shalini. - Boardroom requirement finalization. - ASIC - ATO - Arranged the delivery Angel Ibanez Mouse and Keyboard. - Charm Dequito work Anniversary Poster.</f>
        <v>#NAME?</v>
      </c>
      <c r="H3822" t="s">
        <v>32</v>
      </c>
      <c r="I3822" s="28" t="s">
        <v>26</v>
      </c>
    </row>
    <row r="3823" spans="1:9" x14ac:dyDescent="0.3">
      <c r="A3823" s="26">
        <v>45343</v>
      </c>
      <c r="B3823" t="s">
        <v>843</v>
      </c>
      <c r="C3823" t="s">
        <v>753</v>
      </c>
      <c r="D3823">
        <v>0.5</v>
      </c>
      <c r="E3823" t="s">
        <v>563</v>
      </c>
      <c r="F3823" t="s">
        <v>754</v>
      </c>
      <c r="G3823" t="s">
        <v>3475</v>
      </c>
      <c r="H3823" t="s">
        <v>32</v>
      </c>
      <c r="I3823" s="28" t="s">
        <v>26</v>
      </c>
    </row>
    <row r="3824" spans="1:9" x14ac:dyDescent="0.3">
      <c r="A3824" s="26">
        <v>45343</v>
      </c>
      <c r="B3824" t="s">
        <v>843</v>
      </c>
      <c r="C3824" t="s">
        <v>753</v>
      </c>
      <c r="D3824">
        <v>0.56999999999999995</v>
      </c>
      <c r="E3824" t="s">
        <v>628</v>
      </c>
      <c r="F3824" t="s">
        <v>754</v>
      </c>
      <c r="G3824" t="s">
        <v>3476</v>
      </c>
      <c r="H3824" t="s">
        <v>32</v>
      </c>
      <c r="I3824" s="28" t="s">
        <v>26</v>
      </c>
    </row>
    <row r="3825" spans="1:9" x14ac:dyDescent="0.3">
      <c r="A3825" s="26">
        <v>45343</v>
      </c>
      <c r="B3825" t="s">
        <v>843</v>
      </c>
      <c r="C3825" t="s">
        <v>753</v>
      </c>
      <c r="D3825">
        <v>0.62</v>
      </c>
      <c r="E3825" t="s">
        <v>234</v>
      </c>
      <c r="F3825" t="s">
        <v>754</v>
      </c>
      <c r="G3825" t="s">
        <v>3029</v>
      </c>
      <c r="H3825" t="s">
        <v>32</v>
      </c>
      <c r="I3825" s="28" t="s">
        <v>26</v>
      </c>
    </row>
    <row r="3826" spans="1:9" x14ac:dyDescent="0.3">
      <c r="A3826" s="26">
        <v>45343</v>
      </c>
      <c r="B3826" t="s">
        <v>843</v>
      </c>
      <c r="C3826" t="s">
        <v>753</v>
      </c>
      <c r="D3826">
        <v>0.65</v>
      </c>
      <c r="E3826" t="s">
        <v>564</v>
      </c>
      <c r="F3826" t="s">
        <v>772</v>
      </c>
      <c r="G3826" t="s">
        <v>3477</v>
      </c>
      <c r="H3826" t="s">
        <v>32</v>
      </c>
      <c r="I3826" s="28" t="s">
        <v>26</v>
      </c>
    </row>
    <row r="3827" spans="1:9" x14ac:dyDescent="0.3">
      <c r="A3827" s="26">
        <v>45343</v>
      </c>
      <c r="B3827" t="s">
        <v>843</v>
      </c>
      <c r="C3827" t="s">
        <v>753</v>
      </c>
      <c r="D3827">
        <v>0.7</v>
      </c>
      <c r="E3827" t="s">
        <v>845</v>
      </c>
      <c r="F3827" t="s">
        <v>754</v>
      </c>
      <c r="G3827" t="s">
        <v>2278</v>
      </c>
      <c r="H3827" t="s">
        <v>32</v>
      </c>
      <c r="I3827" s="28" t="s">
        <v>26</v>
      </c>
    </row>
    <row r="3828" spans="1:9" x14ac:dyDescent="0.3">
      <c r="A3828" s="26">
        <v>45343</v>
      </c>
      <c r="B3828" t="s">
        <v>843</v>
      </c>
      <c r="C3828" t="s">
        <v>753</v>
      </c>
      <c r="D3828">
        <v>0.93</v>
      </c>
      <c r="E3828" t="s">
        <v>628</v>
      </c>
      <c r="F3828" t="s">
        <v>754</v>
      </c>
      <c r="G3828" t="s">
        <v>3478</v>
      </c>
      <c r="H3828" t="s">
        <v>32</v>
      </c>
      <c r="I3828" s="28" t="s">
        <v>26</v>
      </c>
    </row>
    <row r="3829" spans="1:9" x14ac:dyDescent="0.3">
      <c r="A3829" s="26">
        <v>45343</v>
      </c>
      <c r="B3829" t="s">
        <v>843</v>
      </c>
      <c r="C3829" t="s">
        <v>753</v>
      </c>
      <c r="D3829">
        <v>1.4</v>
      </c>
      <c r="E3829" t="s">
        <v>628</v>
      </c>
      <c r="F3829" t="s">
        <v>754</v>
      </c>
      <c r="G3829" t="s">
        <v>3479</v>
      </c>
      <c r="H3829" t="s">
        <v>32</v>
      </c>
      <c r="I3829" s="28" t="s">
        <v>26</v>
      </c>
    </row>
    <row r="3830" spans="1:9" x14ac:dyDescent="0.3">
      <c r="A3830" s="26">
        <v>45343</v>
      </c>
      <c r="B3830" t="s">
        <v>843</v>
      </c>
      <c r="C3830" t="s">
        <v>753</v>
      </c>
      <c r="D3830">
        <v>1.7</v>
      </c>
      <c r="E3830" t="s">
        <v>845</v>
      </c>
      <c r="F3830" t="s">
        <v>754</v>
      </c>
      <c r="G3830" t="s">
        <v>3480</v>
      </c>
      <c r="H3830" t="s">
        <v>32</v>
      </c>
      <c r="I3830" s="28" t="s">
        <v>26</v>
      </c>
    </row>
    <row r="3831" spans="1:9" x14ac:dyDescent="0.3">
      <c r="A3831" s="26">
        <v>45343</v>
      </c>
      <c r="B3831" t="s">
        <v>843</v>
      </c>
      <c r="C3831" t="s">
        <v>771</v>
      </c>
      <c r="D3831">
        <v>0.52</v>
      </c>
      <c r="E3831" t="s">
        <v>7</v>
      </c>
      <c r="F3831" t="s">
        <v>772</v>
      </c>
      <c r="G3831" t="s">
        <v>2072</v>
      </c>
      <c r="H3831" t="s">
        <v>32</v>
      </c>
      <c r="I3831" s="28" t="s">
        <v>26</v>
      </c>
    </row>
    <row r="3832" spans="1:9" x14ac:dyDescent="0.3">
      <c r="A3832" s="26">
        <v>45343</v>
      </c>
      <c r="B3832" t="s">
        <v>843</v>
      </c>
      <c r="C3832" t="s">
        <v>874</v>
      </c>
      <c r="D3832">
        <v>0.42</v>
      </c>
      <c r="E3832" t="s">
        <v>7</v>
      </c>
      <c r="F3832" t="s">
        <v>772</v>
      </c>
      <c r="G3832" t="s">
        <v>2072</v>
      </c>
      <c r="H3832" t="s">
        <v>32</v>
      </c>
      <c r="I3832" s="28" t="s">
        <v>26</v>
      </c>
    </row>
    <row r="3833" spans="1:9" x14ac:dyDescent="0.3">
      <c r="A3833" s="26">
        <v>45343</v>
      </c>
      <c r="B3833" t="s">
        <v>856</v>
      </c>
      <c r="C3833" t="s">
        <v>753</v>
      </c>
      <c r="D3833">
        <v>0.25</v>
      </c>
      <c r="E3833" t="s">
        <v>857</v>
      </c>
      <c r="F3833" t="s">
        <v>754</v>
      </c>
      <c r="G3833" t="s">
        <v>3481</v>
      </c>
      <c r="H3833" t="s">
        <v>32</v>
      </c>
      <c r="I3833" s="28" t="s">
        <v>26</v>
      </c>
    </row>
    <row r="3834" spans="1:9" x14ac:dyDescent="0.3">
      <c r="A3834" s="26">
        <v>45343</v>
      </c>
      <c r="B3834" t="s">
        <v>856</v>
      </c>
      <c r="C3834" t="s">
        <v>753</v>
      </c>
      <c r="D3834">
        <v>0.6</v>
      </c>
      <c r="E3834" t="s">
        <v>173</v>
      </c>
      <c r="F3834" t="s">
        <v>754</v>
      </c>
      <c r="G3834" t="s">
        <v>3482</v>
      </c>
      <c r="H3834" t="s">
        <v>32</v>
      </c>
      <c r="I3834" s="28" t="s">
        <v>26</v>
      </c>
    </row>
    <row r="3835" spans="1:9" x14ac:dyDescent="0.3">
      <c r="A3835" s="26">
        <v>45343</v>
      </c>
      <c r="B3835" t="s">
        <v>856</v>
      </c>
      <c r="C3835" t="s">
        <v>753</v>
      </c>
      <c r="D3835">
        <v>0.6</v>
      </c>
      <c r="E3835" t="s">
        <v>226</v>
      </c>
      <c r="F3835" t="s">
        <v>754</v>
      </c>
      <c r="G3835" t="s">
        <v>1990</v>
      </c>
      <c r="H3835" t="s">
        <v>32</v>
      </c>
      <c r="I3835" s="28" t="s">
        <v>26</v>
      </c>
    </row>
    <row r="3836" spans="1:9" x14ac:dyDescent="0.3">
      <c r="A3836" s="26">
        <v>45343</v>
      </c>
      <c r="B3836" t="s">
        <v>856</v>
      </c>
      <c r="C3836" t="s">
        <v>753</v>
      </c>
      <c r="D3836">
        <v>0.75</v>
      </c>
      <c r="E3836" t="s">
        <v>857</v>
      </c>
      <c r="F3836" t="s">
        <v>754</v>
      </c>
      <c r="G3836" t="s">
        <v>3483</v>
      </c>
      <c r="H3836" t="s">
        <v>32</v>
      </c>
      <c r="I3836" s="28" t="s">
        <v>26</v>
      </c>
    </row>
    <row r="3837" spans="1:9" x14ac:dyDescent="0.3">
      <c r="A3837" s="26">
        <v>45343</v>
      </c>
      <c r="B3837" t="s">
        <v>856</v>
      </c>
      <c r="C3837" t="s">
        <v>753</v>
      </c>
      <c r="D3837">
        <v>4.33</v>
      </c>
      <c r="E3837" t="s">
        <v>583</v>
      </c>
      <c r="F3837" t="s">
        <v>772</v>
      </c>
      <c r="G3837" t="s">
        <v>3484</v>
      </c>
      <c r="H3837" t="s">
        <v>32</v>
      </c>
      <c r="I3837" s="28" t="s">
        <v>26</v>
      </c>
    </row>
    <row r="3838" spans="1:9" x14ac:dyDescent="0.3">
      <c r="A3838" s="26">
        <v>45343</v>
      </c>
      <c r="B3838" t="s">
        <v>856</v>
      </c>
      <c r="C3838" t="s">
        <v>874</v>
      </c>
      <c r="D3838">
        <v>0.48</v>
      </c>
      <c r="E3838" t="s">
        <v>7</v>
      </c>
      <c r="F3838" t="s">
        <v>772</v>
      </c>
      <c r="G3838" t="s">
        <v>3485</v>
      </c>
      <c r="H3838" t="s">
        <v>32</v>
      </c>
      <c r="I3838" s="28" t="s">
        <v>26</v>
      </c>
    </row>
    <row r="3839" spans="1:9" x14ac:dyDescent="0.3">
      <c r="A3839" s="26">
        <v>45343</v>
      </c>
      <c r="B3839" t="s">
        <v>856</v>
      </c>
      <c r="C3839" t="s">
        <v>874</v>
      </c>
      <c r="D3839">
        <v>0.53</v>
      </c>
      <c r="E3839" t="s">
        <v>7</v>
      </c>
      <c r="F3839" t="s">
        <v>772</v>
      </c>
      <c r="G3839" t="s">
        <v>2070</v>
      </c>
      <c r="H3839" t="s">
        <v>32</v>
      </c>
      <c r="I3839" s="28" t="s">
        <v>26</v>
      </c>
    </row>
    <row r="3840" spans="1:9" x14ac:dyDescent="0.3">
      <c r="A3840" s="26">
        <v>45343</v>
      </c>
      <c r="B3840" t="s">
        <v>856</v>
      </c>
      <c r="C3840" t="s">
        <v>776</v>
      </c>
      <c r="D3840">
        <v>0.13</v>
      </c>
      <c r="E3840" t="s">
        <v>879</v>
      </c>
      <c r="F3840" t="s">
        <v>754</v>
      </c>
      <c r="G3840" t="s">
        <v>3486</v>
      </c>
      <c r="H3840" t="s">
        <v>32</v>
      </c>
      <c r="I3840" s="28" t="s">
        <v>26</v>
      </c>
    </row>
    <row r="3841" spans="1:9" x14ac:dyDescent="0.3">
      <c r="A3841" s="26">
        <v>45343</v>
      </c>
      <c r="B3841" t="s">
        <v>856</v>
      </c>
      <c r="C3841" t="s">
        <v>776</v>
      </c>
      <c r="D3841">
        <v>0.23</v>
      </c>
      <c r="E3841" t="s">
        <v>879</v>
      </c>
      <c r="F3841" t="s">
        <v>754</v>
      </c>
      <c r="G3841" t="s">
        <v>3487</v>
      </c>
      <c r="H3841" t="s">
        <v>32</v>
      </c>
      <c r="I3841" s="28" t="s">
        <v>26</v>
      </c>
    </row>
    <row r="3842" spans="1:9" x14ac:dyDescent="0.3">
      <c r="A3842" s="26">
        <v>45343</v>
      </c>
      <c r="B3842" t="s">
        <v>856</v>
      </c>
      <c r="C3842" t="s">
        <v>776</v>
      </c>
      <c r="D3842">
        <v>0.25</v>
      </c>
      <c r="E3842" t="s">
        <v>879</v>
      </c>
      <c r="F3842" t="s">
        <v>754</v>
      </c>
      <c r="G3842" t="s">
        <v>3488</v>
      </c>
      <c r="H3842" t="s">
        <v>32</v>
      </c>
      <c r="I3842" s="28" t="s">
        <v>26</v>
      </c>
    </row>
    <row r="3843" spans="1:9" x14ac:dyDescent="0.3">
      <c r="A3843" s="26">
        <v>45343</v>
      </c>
      <c r="B3843" t="s">
        <v>33</v>
      </c>
      <c r="C3843" t="s">
        <v>753</v>
      </c>
      <c r="D3843">
        <v>0.17</v>
      </c>
      <c r="E3843" t="s">
        <v>646</v>
      </c>
      <c r="F3843" t="s">
        <v>754</v>
      </c>
      <c r="G3843" t="s">
        <v>3489</v>
      </c>
      <c r="H3843" t="s">
        <v>32</v>
      </c>
      <c r="I3843" s="28" t="s">
        <v>26</v>
      </c>
    </row>
    <row r="3844" spans="1:9" x14ac:dyDescent="0.3">
      <c r="A3844" s="26">
        <v>45343</v>
      </c>
      <c r="B3844" t="s">
        <v>33</v>
      </c>
      <c r="C3844" t="s">
        <v>789</v>
      </c>
      <c r="D3844">
        <v>0.53</v>
      </c>
      <c r="E3844" t="s">
        <v>2496</v>
      </c>
      <c r="F3844" t="s">
        <v>754</v>
      </c>
      <c r="G3844" t="s">
        <v>3490</v>
      </c>
      <c r="H3844" t="s">
        <v>32</v>
      </c>
      <c r="I3844" s="28" t="s">
        <v>26</v>
      </c>
    </row>
    <row r="3845" spans="1:9" x14ac:dyDescent="0.3">
      <c r="A3845" s="26">
        <v>45343</v>
      </c>
      <c r="B3845" t="s">
        <v>33</v>
      </c>
      <c r="C3845" t="s">
        <v>789</v>
      </c>
      <c r="D3845">
        <v>0.78</v>
      </c>
      <c r="E3845" t="s">
        <v>2496</v>
      </c>
      <c r="F3845" t="s">
        <v>754</v>
      </c>
      <c r="G3845" t="s">
        <v>3491</v>
      </c>
      <c r="H3845" t="s">
        <v>32</v>
      </c>
      <c r="I3845" s="28" t="s">
        <v>26</v>
      </c>
    </row>
    <row r="3846" spans="1:9" x14ac:dyDescent="0.3">
      <c r="A3846" s="26">
        <v>45343</v>
      </c>
      <c r="B3846" t="s">
        <v>33</v>
      </c>
      <c r="C3846" t="s">
        <v>1973</v>
      </c>
      <c r="D3846">
        <v>1.52</v>
      </c>
      <c r="E3846" t="s">
        <v>336</v>
      </c>
      <c r="F3846" t="s">
        <v>754</v>
      </c>
      <c r="G3846" t="s">
        <v>3492</v>
      </c>
      <c r="H3846" t="s">
        <v>32</v>
      </c>
      <c r="I3846" s="28" t="s">
        <v>26</v>
      </c>
    </row>
    <row r="3847" spans="1:9" x14ac:dyDescent="0.3">
      <c r="A3847" s="26">
        <v>45343</v>
      </c>
      <c r="B3847" t="s">
        <v>33</v>
      </c>
      <c r="C3847" t="s">
        <v>771</v>
      </c>
      <c r="D3847">
        <v>0.35</v>
      </c>
      <c r="E3847" t="s">
        <v>7</v>
      </c>
      <c r="F3847" t="s">
        <v>772</v>
      </c>
      <c r="G3847" t="s">
        <v>3493</v>
      </c>
      <c r="H3847" t="s">
        <v>32</v>
      </c>
      <c r="I3847" s="28" t="s">
        <v>26</v>
      </c>
    </row>
    <row r="3848" spans="1:9" x14ac:dyDescent="0.3">
      <c r="A3848" s="26">
        <v>45343</v>
      </c>
      <c r="B3848" t="s">
        <v>33</v>
      </c>
      <c r="C3848" t="s">
        <v>771</v>
      </c>
      <c r="D3848">
        <v>0.85</v>
      </c>
      <c r="E3848" t="s">
        <v>7</v>
      </c>
      <c r="F3848" t="s">
        <v>772</v>
      </c>
      <c r="G3848" t="s">
        <v>3494</v>
      </c>
      <c r="H3848" t="s">
        <v>32</v>
      </c>
      <c r="I3848" s="28" t="s">
        <v>26</v>
      </c>
    </row>
    <row r="3849" spans="1:9" x14ac:dyDescent="0.3">
      <c r="A3849" s="26">
        <v>45343</v>
      </c>
      <c r="B3849" t="s">
        <v>33</v>
      </c>
      <c r="C3849" t="s">
        <v>835</v>
      </c>
      <c r="D3849">
        <v>0.56999999999999995</v>
      </c>
      <c r="E3849" t="s">
        <v>2525</v>
      </c>
      <c r="F3849" t="s">
        <v>754</v>
      </c>
      <c r="G3849" t="s">
        <v>3495</v>
      </c>
      <c r="H3849" t="s">
        <v>32</v>
      </c>
      <c r="I3849" s="28" t="s">
        <v>26</v>
      </c>
    </row>
    <row r="3850" spans="1:9" x14ac:dyDescent="0.3">
      <c r="A3850" s="26">
        <v>45343</v>
      </c>
      <c r="B3850" t="s">
        <v>33</v>
      </c>
      <c r="C3850" t="s">
        <v>835</v>
      </c>
      <c r="D3850">
        <v>1.17</v>
      </c>
      <c r="E3850" t="s">
        <v>563</v>
      </c>
      <c r="F3850" t="s">
        <v>772</v>
      </c>
      <c r="G3850" t="s">
        <v>3496</v>
      </c>
      <c r="H3850" t="s">
        <v>32</v>
      </c>
      <c r="I3850" s="28" t="s">
        <v>26</v>
      </c>
    </row>
    <row r="3851" spans="1:9" x14ac:dyDescent="0.3">
      <c r="A3851" s="26">
        <v>45343</v>
      </c>
      <c r="B3851" t="s">
        <v>33</v>
      </c>
      <c r="C3851" t="s">
        <v>835</v>
      </c>
      <c r="D3851">
        <v>1.52</v>
      </c>
      <c r="E3851" t="s">
        <v>563</v>
      </c>
      <c r="F3851" t="s">
        <v>754</v>
      </c>
      <c r="G3851" t="s">
        <v>3497</v>
      </c>
      <c r="H3851" t="s">
        <v>32</v>
      </c>
      <c r="I3851" s="28" t="s">
        <v>26</v>
      </c>
    </row>
    <row r="3852" spans="1:9" x14ac:dyDescent="0.3">
      <c r="A3852" s="26">
        <v>45343</v>
      </c>
      <c r="B3852" t="s">
        <v>33</v>
      </c>
      <c r="C3852" t="s">
        <v>874</v>
      </c>
      <c r="D3852">
        <v>0.57999999999999996</v>
      </c>
      <c r="E3852" t="s">
        <v>7</v>
      </c>
      <c r="F3852" t="s">
        <v>772</v>
      </c>
      <c r="G3852" t="s">
        <v>3498</v>
      </c>
      <c r="H3852" t="s">
        <v>32</v>
      </c>
      <c r="I3852" s="28" t="s">
        <v>26</v>
      </c>
    </row>
    <row r="3853" spans="1:9" x14ac:dyDescent="0.3">
      <c r="A3853" s="26">
        <v>45343</v>
      </c>
      <c r="B3853" t="s">
        <v>876</v>
      </c>
      <c r="C3853" t="s">
        <v>753</v>
      </c>
      <c r="D3853">
        <v>0.25</v>
      </c>
      <c r="E3853" t="s">
        <v>664</v>
      </c>
      <c r="F3853" t="s">
        <v>754</v>
      </c>
      <c r="G3853" t="s">
        <v>3499</v>
      </c>
      <c r="H3853" t="s">
        <v>32</v>
      </c>
      <c r="I3853" s="28" t="s">
        <v>26</v>
      </c>
    </row>
    <row r="3854" spans="1:9" x14ac:dyDescent="0.3">
      <c r="A3854" s="26">
        <v>45343</v>
      </c>
      <c r="B3854" t="s">
        <v>876</v>
      </c>
      <c r="C3854" t="s">
        <v>753</v>
      </c>
      <c r="D3854">
        <v>1.18</v>
      </c>
      <c r="E3854" t="s">
        <v>11</v>
      </c>
      <c r="F3854" t="s">
        <v>754</v>
      </c>
      <c r="H3854" t="s">
        <v>32</v>
      </c>
      <c r="I3854" s="28" t="s">
        <v>26</v>
      </c>
    </row>
    <row r="3855" spans="1:9" x14ac:dyDescent="0.3">
      <c r="A3855" s="26">
        <v>45343</v>
      </c>
      <c r="B3855" t="s">
        <v>876</v>
      </c>
      <c r="C3855" t="s">
        <v>776</v>
      </c>
      <c r="D3855">
        <v>6.57</v>
      </c>
      <c r="E3855" t="s">
        <v>664</v>
      </c>
      <c r="F3855" t="s">
        <v>754</v>
      </c>
      <c r="H3855" t="s">
        <v>32</v>
      </c>
      <c r="I3855" s="28" t="s">
        <v>26</v>
      </c>
    </row>
    <row r="3856" spans="1:9" x14ac:dyDescent="0.3">
      <c r="A3856" s="26">
        <v>45343</v>
      </c>
      <c r="B3856" t="s">
        <v>877</v>
      </c>
      <c r="C3856" t="s">
        <v>878</v>
      </c>
      <c r="D3856">
        <v>8</v>
      </c>
      <c r="E3856" t="s">
        <v>879</v>
      </c>
      <c r="F3856" t="s">
        <v>754</v>
      </c>
      <c r="G3856" t="s">
        <v>3500</v>
      </c>
      <c r="H3856" t="s">
        <v>32</v>
      </c>
      <c r="I3856" s="28" t="s">
        <v>26</v>
      </c>
    </row>
    <row r="3857" spans="1:9" x14ac:dyDescent="0.3">
      <c r="A3857" s="26">
        <v>45343</v>
      </c>
      <c r="B3857" t="s">
        <v>884</v>
      </c>
      <c r="C3857" t="s">
        <v>753</v>
      </c>
      <c r="D3857">
        <v>0.25</v>
      </c>
      <c r="E3857" t="s">
        <v>248</v>
      </c>
      <c r="F3857" t="s">
        <v>754</v>
      </c>
      <c r="H3857" t="s">
        <v>32</v>
      </c>
      <c r="I3857" s="28" t="s">
        <v>26</v>
      </c>
    </row>
    <row r="3858" spans="1:9" x14ac:dyDescent="0.3">
      <c r="A3858" s="26">
        <v>45343</v>
      </c>
      <c r="B3858" t="s">
        <v>884</v>
      </c>
      <c r="C3858" t="s">
        <v>753</v>
      </c>
      <c r="D3858">
        <v>0.32</v>
      </c>
      <c r="E3858" t="s">
        <v>316</v>
      </c>
      <c r="F3858" t="s">
        <v>754</v>
      </c>
      <c r="G3858" t="s">
        <v>3008</v>
      </c>
      <c r="H3858" t="s">
        <v>32</v>
      </c>
      <c r="I3858" s="28" t="s">
        <v>26</v>
      </c>
    </row>
    <row r="3859" spans="1:9" x14ac:dyDescent="0.3">
      <c r="A3859" s="26">
        <v>45343</v>
      </c>
      <c r="B3859" t="s">
        <v>884</v>
      </c>
      <c r="C3859" t="s">
        <v>753</v>
      </c>
      <c r="D3859">
        <v>0.42</v>
      </c>
      <c r="E3859" t="s">
        <v>375</v>
      </c>
      <c r="F3859" t="s">
        <v>754</v>
      </c>
      <c r="G3859" t="s">
        <v>3501</v>
      </c>
      <c r="H3859" t="s">
        <v>32</v>
      </c>
      <c r="I3859" s="28" t="s">
        <v>26</v>
      </c>
    </row>
    <row r="3860" spans="1:9" x14ac:dyDescent="0.3">
      <c r="A3860" s="26">
        <v>45343</v>
      </c>
      <c r="B3860" t="s">
        <v>884</v>
      </c>
      <c r="C3860" t="s">
        <v>753</v>
      </c>
      <c r="D3860">
        <v>0.5</v>
      </c>
      <c r="E3860" t="s">
        <v>562</v>
      </c>
      <c r="F3860" t="s">
        <v>754</v>
      </c>
      <c r="H3860" t="s">
        <v>32</v>
      </c>
      <c r="I3860" s="28" t="s">
        <v>26</v>
      </c>
    </row>
    <row r="3861" spans="1:9" x14ac:dyDescent="0.3">
      <c r="A3861" s="26">
        <v>45343</v>
      </c>
      <c r="B3861" t="s">
        <v>884</v>
      </c>
      <c r="C3861" t="s">
        <v>753</v>
      </c>
      <c r="D3861">
        <v>0.55000000000000004</v>
      </c>
      <c r="E3861" t="s">
        <v>375</v>
      </c>
      <c r="F3861" t="s">
        <v>754</v>
      </c>
      <c r="G3861" t="s">
        <v>3502</v>
      </c>
      <c r="H3861" t="s">
        <v>32</v>
      </c>
      <c r="I3861" s="28" t="s">
        <v>26</v>
      </c>
    </row>
    <row r="3862" spans="1:9" x14ac:dyDescent="0.3">
      <c r="A3862" s="26">
        <v>45343</v>
      </c>
      <c r="B3862" t="s">
        <v>884</v>
      </c>
      <c r="C3862" t="s">
        <v>753</v>
      </c>
      <c r="D3862">
        <v>0.65</v>
      </c>
      <c r="E3862" t="s">
        <v>885</v>
      </c>
      <c r="F3862" t="s">
        <v>754</v>
      </c>
      <c r="G3862" t="s">
        <v>3503</v>
      </c>
      <c r="H3862" t="s">
        <v>32</v>
      </c>
      <c r="I3862" s="28" t="s">
        <v>26</v>
      </c>
    </row>
    <row r="3863" spans="1:9" x14ac:dyDescent="0.3">
      <c r="A3863" s="26">
        <v>45343</v>
      </c>
      <c r="B3863" t="s">
        <v>884</v>
      </c>
      <c r="C3863" t="s">
        <v>753</v>
      </c>
      <c r="D3863">
        <v>0.75</v>
      </c>
      <c r="E3863" t="s">
        <v>375</v>
      </c>
      <c r="F3863" t="s">
        <v>754</v>
      </c>
      <c r="H3863" t="s">
        <v>32</v>
      </c>
      <c r="I3863" s="28" t="s">
        <v>26</v>
      </c>
    </row>
    <row r="3864" spans="1:9" x14ac:dyDescent="0.3">
      <c r="A3864" s="26">
        <v>45343</v>
      </c>
      <c r="B3864" t="s">
        <v>884</v>
      </c>
      <c r="C3864" t="s">
        <v>753</v>
      </c>
      <c r="D3864">
        <v>0.8</v>
      </c>
      <c r="E3864" t="s">
        <v>375</v>
      </c>
      <c r="F3864" t="s">
        <v>754</v>
      </c>
      <c r="G3864" t="s">
        <v>3504</v>
      </c>
      <c r="H3864" t="s">
        <v>32</v>
      </c>
      <c r="I3864" s="28" t="s">
        <v>26</v>
      </c>
    </row>
    <row r="3865" spans="1:9" x14ac:dyDescent="0.3">
      <c r="A3865" s="26">
        <v>45343</v>
      </c>
      <c r="B3865" t="s">
        <v>884</v>
      </c>
      <c r="C3865" t="s">
        <v>753</v>
      </c>
      <c r="D3865">
        <v>0.83</v>
      </c>
      <c r="E3865" t="s">
        <v>11</v>
      </c>
      <c r="F3865" t="s">
        <v>754</v>
      </c>
      <c r="G3865" t="s">
        <v>2639</v>
      </c>
      <c r="H3865" t="s">
        <v>32</v>
      </c>
      <c r="I3865" s="28" t="s">
        <v>26</v>
      </c>
    </row>
    <row r="3866" spans="1:9" x14ac:dyDescent="0.3">
      <c r="A3866" s="26">
        <v>45343</v>
      </c>
      <c r="B3866" t="s">
        <v>884</v>
      </c>
      <c r="C3866" t="s">
        <v>753</v>
      </c>
      <c r="D3866">
        <v>1.1499999999999999</v>
      </c>
      <c r="E3866" t="s">
        <v>885</v>
      </c>
      <c r="F3866" t="s">
        <v>754</v>
      </c>
      <c r="G3866" t="s">
        <v>3505</v>
      </c>
      <c r="H3866" t="s">
        <v>32</v>
      </c>
      <c r="I3866" s="28" t="s">
        <v>26</v>
      </c>
    </row>
    <row r="3867" spans="1:9" x14ac:dyDescent="0.3">
      <c r="A3867" s="26">
        <v>45343</v>
      </c>
      <c r="B3867" t="s">
        <v>884</v>
      </c>
      <c r="C3867" t="s">
        <v>753</v>
      </c>
      <c r="D3867">
        <v>1.38</v>
      </c>
      <c r="E3867" t="s">
        <v>375</v>
      </c>
      <c r="F3867" t="s">
        <v>754</v>
      </c>
      <c r="G3867" t="s">
        <v>3506</v>
      </c>
      <c r="H3867" t="s">
        <v>32</v>
      </c>
      <c r="I3867" s="28" t="s">
        <v>26</v>
      </c>
    </row>
    <row r="3868" spans="1:9" x14ac:dyDescent="0.3">
      <c r="A3868" s="26">
        <v>45343</v>
      </c>
      <c r="B3868" t="s">
        <v>884</v>
      </c>
      <c r="C3868" t="s">
        <v>776</v>
      </c>
      <c r="D3868">
        <v>0.4</v>
      </c>
      <c r="E3868" t="s">
        <v>562</v>
      </c>
      <c r="F3868" t="s">
        <v>754</v>
      </c>
      <c r="H3868" t="s">
        <v>32</v>
      </c>
      <c r="I3868" s="28" t="s">
        <v>26</v>
      </c>
    </row>
    <row r="3869" spans="1:9" x14ac:dyDescent="0.3">
      <c r="A3869" s="26">
        <v>45343</v>
      </c>
      <c r="B3869" t="s">
        <v>891</v>
      </c>
      <c r="C3869" t="s">
        <v>3169</v>
      </c>
      <c r="D3869">
        <v>8</v>
      </c>
      <c r="E3869" t="s">
        <v>7</v>
      </c>
      <c r="F3869" t="s">
        <v>772</v>
      </c>
      <c r="G3869" t="s">
        <v>3170</v>
      </c>
      <c r="H3869" t="s">
        <v>32</v>
      </c>
      <c r="I3869" s="28" t="s">
        <v>26</v>
      </c>
    </row>
    <row r="3870" spans="1:9" x14ac:dyDescent="0.3">
      <c r="A3870" s="26">
        <v>45343</v>
      </c>
      <c r="B3870" t="s">
        <v>34</v>
      </c>
      <c r="C3870" t="s">
        <v>802</v>
      </c>
      <c r="D3870">
        <v>4</v>
      </c>
      <c r="E3870" t="s">
        <v>7</v>
      </c>
      <c r="F3870" t="s">
        <v>772</v>
      </c>
      <c r="H3870" t="s">
        <v>32</v>
      </c>
      <c r="I3870" s="28" t="s">
        <v>26</v>
      </c>
    </row>
    <row r="3871" spans="1:9" x14ac:dyDescent="0.3">
      <c r="A3871" s="26">
        <v>45343</v>
      </c>
      <c r="B3871" t="s">
        <v>34</v>
      </c>
      <c r="C3871" t="s">
        <v>784</v>
      </c>
      <c r="D3871">
        <v>4</v>
      </c>
      <c r="E3871" t="s">
        <v>7</v>
      </c>
      <c r="F3871" t="s">
        <v>772</v>
      </c>
      <c r="H3871" t="s">
        <v>32</v>
      </c>
      <c r="I3871" s="28" t="s">
        <v>26</v>
      </c>
    </row>
    <row r="3872" spans="1:9" x14ac:dyDescent="0.3">
      <c r="A3872" s="26">
        <v>45343</v>
      </c>
      <c r="B3872" t="s">
        <v>893</v>
      </c>
      <c r="C3872" t="s">
        <v>802</v>
      </c>
      <c r="D3872">
        <v>8</v>
      </c>
      <c r="E3872" t="s">
        <v>7</v>
      </c>
      <c r="F3872" t="s">
        <v>772</v>
      </c>
      <c r="G3872" t="s">
        <v>2649</v>
      </c>
      <c r="H3872" t="s">
        <v>32</v>
      </c>
      <c r="I3872" s="28" t="s">
        <v>26</v>
      </c>
    </row>
    <row r="3873" spans="1:9" x14ac:dyDescent="0.3">
      <c r="A3873" s="26">
        <v>45343</v>
      </c>
      <c r="B3873" t="s">
        <v>895</v>
      </c>
      <c r="C3873" t="s">
        <v>753</v>
      </c>
      <c r="D3873">
        <v>0.05</v>
      </c>
      <c r="E3873" t="s">
        <v>898</v>
      </c>
      <c r="F3873" t="s">
        <v>754</v>
      </c>
      <c r="G3873" t="s">
        <v>3507</v>
      </c>
      <c r="H3873" t="s">
        <v>32</v>
      </c>
      <c r="I3873" s="28" t="s">
        <v>26</v>
      </c>
    </row>
    <row r="3874" spans="1:9" x14ac:dyDescent="0.3">
      <c r="A3874" s="26">
        <v>45343</v>
      </c>
      <c r="B3874" t="s">
        <v>895</v>
      </c>
      <c r="C3874" t="s">
        <v>753</v>
      </c>
      <c r="D3874">
        <v>7.0000000000000007E-2</v>
      </c>
      <c r="E3874" t="s">
        <v>770</v>
      </c>
      <c r="F3874" t="s">
        <v>772</v>
      </c>
      <c r="G3874" t="s">
        <v>3508</v>
      </c>
      <c r="H3874" t="s">
        <v>32</v>
      </c>
      <c r="I3874" s="28" t="s">
        <v>26</v>
      </c>
    </row>
    <row r="3875" spans="1:9" x14ac:dyDescent="0.3">
      <c r="A3875" s="26">
        <v>45343</v>
      </c>
      <c r="B3875" t="s">
        <v>895</v>
      </c>
      <c r="C3875" t="s">
        <v>753</v>
      </c>
      <c r="D3875">
        <v>0.17</v>
      </c>
      <c r="E3875" t="s">
        <v>910</v>
      </c>
      <c r="F3875" t="s">
        <v>754</v>
      </c>
      <c r="G3875" t="s">
        <v>3509</v>
      </c>
      <c r="H3875" t="s">
        <v>32</v>
      </c>
      <c r="I3875" s="28" t="s">
        <v>26</v>
      </c>
    </row>
    <row r="3876" spans="1:9" x14ac:dyDescent="0.3">
      <c r="A3876" s="26">
        <v>45343</v>
      </c>
      <c r="B3876" t="s">
        <v>895</v>
      </c>
      <c r="C3876" t="s">
        <v>753</v>
      </c>
      <c r="D3876">
        <v>0.27</v>
      </c>
      <c r="E3876" t="s">
        <v>811</v>
      </c>
      <c r="F3876" t="s">
        <v>754</v>
      </c>
      <c r="G3876" t="s">
        <v>3510</v>
      </c>
      <c r="H3876" t="s">
        <v>32</v>
      </c>
      <c r="I3876" s="28" t="s">
        <v>26</v>
      </c>
    </row>
    <row r="3877" spans="1:9" x14ac:dyDescent="0.3">
      <c r="A3877" s="26">
        <v>45343</v>
      </c>
      <c r="B3877" t="s">
        <v>895</v>
      </c>
      <c r="C3877" t="s">
        <v>753</v>
      </c>
      <c r="D3877">
        <v>0.53</v>
      </c>
      <c r="E3877" t="s">
        <v>815</v>
      </c>
      <c r="F3877" t="s">
        <v>754</v>
      </c>
      <c r="G3877" t="s">
        <v>3511</v>
      </c>
      <c r="H3877" t="s">
        <v>32</v>
      </c>
      <c r="I3877" s="28" t="s">
        <v>26</v>
      </c>
    </row>
    <row r="3878" spans="1:9" x14ac:dyDescent="0.3">
      <c r="A3878" s="26">
        <v>45343</v>
      </c>
      <c r="B3878" t="s">
        <v>895</v>
      </c>
      <c r="C3878" t="s">
        <v>753</v>
      </c>
      <c r="D3878">
        <v>1.2</v>
      </c>
      <c r="E3878" t="s">
        <v>910</v>
      </c>
      <c r="F3878" t="s">
        <v>754</v>
      </c>
      <c r="G3878" t="s">
        <v>3512</v>
      </c>
      <c r="H3878" t="s">
        <v>32</v>
      </c>
      <c r="I3878" s="28" t="s">
        <v>26</v>
      </c>
    </row>
    <row r="3879" spans="1:9" x14ac:dyDescent="0.3">
      <c r="A3879" s="26">
        <v>45343</v>
      </c>
      <c r="B3879" t="s">
        <v>895</v>
      </c>
      <c r="C3879" t="s">
        <v>906</v>
      </c>
      <c r="D3879">
        <v>0.45</v>
      </c>
      <c r="E3879" t="s">
        <v>7</v>
      </c>
      <c r="F3879" t="s">
        <v>772</v>
      </c>
      <c r="G3879" t="s">
        <v>3513</v>
      </c>
      <c r="H3879" t="s">
        <v>32</v>
      </c>
      <c r="I3879" s="28" t="s">
        <v>26</v>
      </c>
    </row>
    <row r="3880" spans="1:9" x14ac:dyDescent="0.3">
      <c r="A3880" s="26">
        <v>45343</v>
      </c>
      <c r="B3880" t="s">
        <v>895</v>
      </c>
      <c r="C3880" t="s">
        <v>771</v>
      </c>
      <c r="D3880">
        <v>0.2</v>
      </c>
      <c r="E3880" t="s">
        <v>7</v>
      </c>
      <c r="F3880" t="s">
        <v>772</v>
      </c>
      <c r="G3880" t="s">
        <v>3514</v>
      </c>
      <c r="H3880" t="s">
        <v>32</v>
      </c>
      <c r="I3880" s="28" t="s">
        <v>26</v>
      </c>
    </row>
    <row r="3881" spans="1:9" x14ac:dyDescent="0.3">
      <c r="A3881" s="26">
        <v>45343</v>
      </c>
      <c r="B3881" t="s">
        <v>895</v>
      </c>
      <c r="C3881" t="s">
        <v>771</v>
      </c>
      <c r="D3881">
        <v>0.25</v>
      </c>
      <c r="E3881" t="s">
        <v>7</v>
      </c>
      <c r="F3881" t="s">
        <v>772</v>
      </c>
      <c r="G3881" t="s">
        <v>3515</v>
      </c>
      <c r="H3881" t="s">
        <v>32</v>
      </c>
      <c r="I3881" s="28" t="s">
        <v>26</v>
      </c>
    </row>
    <row r="3882" spans="1:9" x14ac:dyDescent="0.3">
      <c r="A3882" s="26">
        <v>45343</v>
      </c>
      <c r="B3882" t="s">
        <v>895</v>
      </c>
      <c r="C3882" t="s">
        <v>771</v>
      </c>
      <c r="D3882">
        <v>0.25</v>
      </c>
      <c r="E3882" t="s">
        <v>7</v>
      </c>
      <c r="F3882" t="s">
        <v>772</v>
      </c>
      <c r="G3882" t="s">
        <v>2182</v>
      </c>
      <c r="H3882" t="s">
        <v>32</v>
      </c>
      <c r="I3882" s="28" t="s">
        <v>26</v>
      </c>
    </row>
    <row r="3883" spans="1:9" x14ac:dyDescent="0.3">
      <c r="A3883" s="26">
        <v>45343</v>
      </c>
      <c r="B3883" t="s">
        <v>895</v>
      </c>
      <c r="C3883" t="s">
        <v>771</v>
      </c>
      <c r="D3883">
        <v>0.5</v>
      </c>
      <c r="E3883" t="s">
        <v>7</v>
      </c>
      <c r="F3883" t="s">
        <v>772</v>
      </c>
      <c r="G3883" t="s">
        <v>3516</v>
      </c>
      <c r="H3883" t="s">
        <v>32</v>
      </c>
      <c r="I3883" s="28" t="s">
        <v>26</v>
      </c>
    </row>
    <row r="3884" spans="1:9" x14ac:dyDescent="0.3">
      <c r="A3884" s="26">
        <v>45343</v>
      </c>
      <c r="B3884" t="s">
        <v>895</v>
      </c>
      <c r="C3884" t="s">
        <v>776</v>
      </c>
      <c r="D3884">
        <v>0.17</v>
      </c>
      <c r="E3884" t="s">
        <v>879</v>
      </c>
      <c r="F3884" t="s">
        <v>754</v>
      </c>
      <c r="G3884" t="s">
        <v>3517</v>
      </c>
      <c r="H3884" t="s">
        <v>32</v>
      </c>
      <c r="I3884" s="28" t="s">
        <v>26</v>
      </c>
    </row>
    <row r="3885" spans="1:9" x14ac:dyDescent="0.3">
      <c r="A3885" s="26">
        <v>45343</v>
      </c>
      <c r="B3885" t="s">
        <v>895</v>
      </c>
      <c r="C3885" t="s">
        <v>776</v>
      </c>
      <c r="D3885">
        <v>0.22</v>
      </c>
      <c r="E3885" t="s">
        <v>898</v>
      </c>
      <c r="F3885" t="s">
        <v>754</v>
      </c>
      <c r="G3885" t="s">
        <v>3518</v>
      </c>
      <c r="H3885" t="s">
        <v>32</v>
      </c>
      <c r="I3885" s="28" t="s">
        <v>26</v>
      </c>
    </row>
    <row r="3886" spans="1:9" x14ac:dyDescent="0.3">
      <c r="A3886" s="26">
        <v>45343</v>
      </c>
      <c r="B3886" t="s">
        <v>895</v>
      </c>
      <c r="C3886" t="s">
        <v>776</v>
      </c>
      <c r="D3886">
        <v>0.25</v>
      </c>
      <c r="E3886" t="s">
        <v>815</v>
      </c>
      <c r="F3886" t="s">
        <v>754</v>
      </c>
      <c r="G3886" t="s">
        <v>3519</v>
      </c>
      <c r="H3886" t="s">
        <v>32</v>
      </c>
      <c r="I3886" s="28" t="s">
        <v>26</v>
      </c>
    </row>
    <row r="3887" spans="1:9" x14ac:dyDescent="0.3">
      <c r="A3887" s="26">
        <v>45343</v>
      </c>
      <c r="B3887" t="s">
        <v>895</v>
      </c>
      <c r="C3887" t="s">
        <v>776</v>
      </c>
      <c r="D3887">
        <v>0.25</v>
      </c>
      <c r="E3887" t="s">
        <v>879</v>
      </c>
      <c r="F3887" t="s">
        <v>754</v>
      </c>
      <c r="G3887" t="s">
        <v>3520</v>
      </c>
      <c r="H3887" t="s">
        <v>32</v>
      </c>
      <c r="I3887" s="28" t="s">
        <v>26</v>
      </c>
    </row>
    <row r="3888" spans="1:9" x14ac:dyDescent="0.3">
      <c r="A3888" s="26">
        <v>45343</v>
      </c>
      <c r="B3888" t="s">
        <v>895</v>
      </c>
      <c r="C3888" t="s">
        <v>776</v>
      </c>
      <c r="D3888">
        <v>0.33</v>
      </c>
      <c r="E3888" t="s">
        <v>879</v>
      </c>
      <c r="F3888" t="s">
        <v>754</v>
      </c>
      <c r="G3888" t="s">
        <v>3521</v>
      </c>
      <c r="H3888" t="s">
        <v>32</v>
      </c>
      <c r="I3888" s="28" t="s">
        <v>26</v>
      </c>
    </row>
    <row r="3889" spans="1:9" x14ac:dyDescent="0.3">
      <c r="A3889" s="26">
        <v>45343</v>
      </c>
      <c r="B3889" t="s">
        <v>895</v>
      </c>
      <c r="C3889" t="s">
        <v>776</v>
      </c>
      <c r="D3889">
        <v>1.1499999999999999</v>
      </c>
      <c r="E3889" t="s">
        <v>903</v>
      </c>
      <c r="F3889" t="s">
        <v>754</v>
      </c>
      <c r="G3889" t="s">
        <v>3522</v>
      </c>
      <c r="H3889" t="s">
        <v>32</v>
      </c>
      <c r="I3889" s="28" t="s">
        <v>26</v>
      </c>
    </row>
    <row r="3890" spans="1:9" x14ac:dyDescent="0.3">
      <c r="A3890" s="26">
        <v>45343</v>
      </c>
      <c r="B3890" t="s">
        <v>895</v>
      </c>
      <c r="C3890" t="s">
        <v>776</v>
      </c>
      <c r="D3890">
        <v>2.2200000000000002</v>
      </c>
      <c r="E3890" t="s">
        <v>879</v>
      </c>
      <c r="F3890" t="s">
        <v>754</v>
      </c>
      <c r="G3890" t="s">
        <v>3523</v>
      </c>
      <c r="H3890" t="s">
        <v>32</v>
      </c>
      <c r="I3890" s="28" t="s">
        <v>26</v>
      </c>
    </row>
    <row r="3891" spans="1:9" x14ac:dyDescent="0.3">
      <c r="A3891" s="26">
        <v>45343</v>
      </c>
      <c r="B3891" t="s">
        <v>1391</v>
      </c>
      <c r="C3891" t="s">
        <v>874</v>
      </c>
      <c r="D3891">
        <v>0.25</v>
      </c>
      <c r="E3891" t="s">
        <v>7</v>
      </c>
      <c r="F3891" t="s">
        <v>772</v>
      </c>
      <c r="G3891" t="s">
        <v>3524</v>
      </c>
      <c r="H3891" t="s">
        <v>32</v>
      </c>
      <c r="I3891" s="28" t="s">
        <v>26</v>
      </c>
    </row>
    <row r="3892" spans="1:9" x14ac:dyDescent="0.3">
      <c r="A3892" s="26">
        <v>45343</v>
      </c>
      <c r="B3892" t="s">
        <v>1391</v>
      </c>
      <c r="C3892" t="s">
        <v>1094</v>
      </c>
      <c r="D3892">
        <v>0.17</v>
      </c>
      <c r="E3892" t="s">
        <v>455</v>
      </c>
      <c r="F3892" t="s">
        <v>754</v>
      </c>
      <c r="G3892" t="s">
        <v>3525</v>
      </c>
      <c r="H3892" t="s">
        <v>32</v>
      </c>
      <c r="I3892" s="28" t="s">
        <v>26</v>
      </c>
    </row>
    <row r="3893" spans="1:9" x14ac:dyDescent="0.3">
      <c r="A3893" s="26">
        <v>45343</v>
      </c>
      <c r="B3893" t="s">
        <v>1391</v>
      </c>
      <c r="C3893" t="s">
        <v>1094</v>
      </c>
      <c r="D3893">
        <v>0.5</v>
      </c>
      <c r="E3893" t="s">
        <v>455</v>
      </c>
      <c r="F3893" t="s">
        <v>754</v>
      </c>
      <c r="G3893" t="s">
        <v>3526</v>
      </c>
      <c r="H3893" t="s">
        <v>32</v>
      </c>
      <c r="I3893" s="28" t="s">
        <v>26</v>
      </c>
    </row>
    <row r="3894" spans="1:9" x14ac:dyDescent="0.3">
      <c r="A3894" s="26">
        <v>45343</v>
      </c>
      <c r="B3894" t="s">
        <v>929</v>
      </c>
      <c r="C3894" t="s">
        <v>786</v>
      </c>
      <c r="D3894">
        <v>0.17</v>
      </c>
      <c r="E3894" t="s">
        <v>7</v>
      </c>
      <c r="F3894" t="s">
        <v>772</v>
      </c>
      <c r="G3894" t="s">
        <v>3527</v>
      </c>
      <c r="H3894" t="s">
        <v>32</v>
      </c>
      <c r="I3894" s="28" t="s">
        <v>26</v>
      </c>
    </row>
    <row r="3895" spans="1:9" x14ac:dyDescent="0.3">
      <c r="A3895" s="26">
        <v>45343</v>
      </c>
      <c r="B3895" t="s">
        <v>929</v>
      </c>
      <c r="C3895" t="s">
        <v>789</v>
      </c>
      <c r="D3895">
        <v>0.23</v>
      </c>
      <c r="E3895" t="s">
        <v>234</v>
      </c>
      <c r="F3895" t="s">
        <v>754</v>
      </c>
      <c r="G3895" t="s">
        <v>3528</v>
      </c>
      <c r="H3895" t="s">
        <v>32</v>
      </c>
      <c r="I3895" s="28" t="s">
        <v>26</v>
      </c>
    </row>
    <row r="3896" spans="1:9" x14ac:dyDescent="0.3">
      <c r="A3896" s="26">
        <v>45343</v>
      </c>
      <c r="B3896" t="s">
        <v>929</v>
      </c>
      <c r="C3896" t="s">
        <v>789</v>
      </c>
      <c r="D3896">
        <v>0.27</v>
      </c>
      <c r="E3896" t="s">
        <v>1543</v>
      </c>
      <c r="F3896" t="s">
        <v>754</v>
      </c>
      <c r="G3896" t="s">
        <v>3529</v>
      </c>
      <c r="H3896" t="s">
        <v>32</v>
      </c>
      <c r="I3896" s="28" t="s">
        <v>26</v>
      </c>
    </row>
    <row r="3897" spans="1:9" x14ac:dyDescent="0.3">
      <c r="A3897" s="26">
        <v>45343</v>
      </c>
      <c r="B3897" t="s">
        <v>929</v>
      </c>
      <c r="C3897" t="s">
        <v>771</v>
      </c>
      <c r="D3897">
        <v>0.25</v>
      </c>
      <c r="E3897" t="s">
        <v>7</v>
      </c>
      <c r="F3897" t="s">
        <v>772</v>
      </c>
      <c r="G3897" t="s">
        <v>2053</v>
      </c>
      <c r="H3897" t="s">
        <v>32</v>
      </c>
      <c r="I3897" s="28" t="s">
        <v>26</v>
      </c>
    </row>
    <row r="3898" spans="1:9" x14ac:dyDescent="0.3">
      <c r="A3898" s="26">
        <v>45343</v>
      </c>
      <c r="B3898" t="s">
        <v>929</v>
      </c>
      <c r="C3898" t="s">
        <v>771</v>
      </c>
      <c r="D3898">
        <v>0.25</v>
      </c>
      <c r="E3898" t="s">
        <v>7</v>
      </c>
      <c r="F3898" t="s">
        <v>772</v>
      </c>
      <c r="G3898" t="s">
        <v>2054</v>
      </c>
      <c r="H3898" t="s">
        <v>32</v>
      </c>
      <c r="I3898" s="28" t="s">
        <v>26</v>
      </c>
    </row>
    <row r="3899" spans="1:9" x14ac:dyDescent="0.3">
      <c r="A3899" s="26">
        <v>45343</v>
      </c>
      <c r="B3899" t="s">
        <v>929</v>
      </c>
      <c r="C3899" t="s">
        <v>771</v>
      </c>
      <c r="D3899">
        <v>0.52</v>
      </c>
      <c r="E3899" t="s">
        <v>7</v>
      </c>
      <c r="F3899" t="s">
        <v>772</v>
      </c>
      <c r="G3899" t="s">
        <v>3530</v>
      </c>
      <c r="H3899" t="s">
        <v>32</v>
      </c>
      <c r="I3899" s="28" t="s">
        <v>26</v>
      </c>
    </row>
    <row r="3900" spans="1:9" x14ac:dyDescent="0.3">
      <c r="A3900" s="26">
        <v>45343</v>
      </c>
      <c r="B3900" t="s">
        <v>929</v>
      </c>
      <c r="C3900" t="s">
        <v>771</v>
      </c>
      <c r="D3900">
        <v>0.55000000000000004</v>
      </c>
      <c r="E3900" t="s">
        <v>7</v>
      </c>
      <c r="F3900" t="s">
        <v>772</v>
      </c>
      <c r="G3900" t="s">
        <v>1402</v>
      </c>
      <c r="H3900" t="s">
        <v>32</v>
      </c>
      <c r="I3900" s="28" t="s">
        <v>26</v>
      </c>
    </row>
    <row r="3901" spans="1:9" x14ac:dyDescent="0.3">
      <c r="A3901" s="26">
        <v>45343</v>
      </c>
      <c r="B3901" t="s">
        <v>929</v>
      </c>
      <c r="C3901" t="s">
        <v>916</v>
      </c>
      <c r="D3901">
        <v>0.48</v>
      </c>
      <c r="E3901" t="s">
        <v>1543</v>
      </c>
      <c r="F3901" t="s">
        <v>754</v>
      </c>
      <c r="H3901" t="s">
        <v>32</v>
      </c>
      <c r="I3901" s="28" t="s">
        <v>26</v>
      </c>
    </row>
    <row r="3902" spans="1:9" x14ac:dyDescent="0.3">
      <c r="A3902" s="26">
        <v>45343</v>
      </c>
      <c r="B3902" t="s">
        <v>929</v>
      </c>
      <c r="C3902" t="s">
        <v>916</v>
      </c>
      <c r="D3902">
        <v>0.52</v>
      </c>
      <c r="E3902" t="s">
        <v>624</v>
      </c>
      <c r="F3902" t="s">
        <v>754</v>
      </c>
      <c r="G3902" t="s">
        <v>2493</v>
      </c>
      <c r="H3902" t="s">
        <v>32</v>
      </c>
      <c r="I3902" s="28" t="s">
        <v>26</v>
      </c>
    </row>
    <row r="3903" spans="1:9" x14ac:dyDescent="0.3">
      <c r="A3903" s="26">
        <v>45343</v>
      </c>
      <c r="B3903" t="s">
        <v>929</v>
      </c>
      <c r="C3903" t="s">
        <v>916</v>
      </c>
      <c r="D3903">
        <v>0.63</v>
      </c>
      <c r="E3903" t="s">
        <v>2797</v>
      </c>
      <c r="F3903" t="s">
        <v>754</v>
      </c>
      <c r="H3903" t="s">
        <v>32</v>
      </c>
      <c r="I3903" s="28" t="s">
        <v>26</v>
      </c>
    </row>
    <row r="3904" spans="1:9" x14ac:dyDescent="0.3">
      <c r="A3904" s="26">
        <v>45343</v>
      </c>
      <c r="B3904" t="s">
        <v>929</v>
      </c>
      <c r="C3904" t="s">
        <v>916</v>
      </c>
      <c r="D3904">
        <v>0.97</v>
      </c>
      <c r="E3904" t="s">
        <v>813</v>
      </c>
      <c r="F3904" t="s">
        <v>754</v>
      </c>
      <c r="G3904" t="s">
        <v>3531</v>
      </c>
      <c r="H3904" t="s">
        <v>32</v>
      </c>
      <c r="I3904" s="28" t="s">
        <v>26</v>
      </c>
    </row>
    <row r="3905" spans="1:9" x14ac:dyDescent="0.3">
      <c r="A3905" s="26">
        <v>45343</v>
      </c>
      <c r="B3905" t="s">
        <v>929</v>
      </c>
      <c r="C3905" t="s">
        <v>916</v>
      </c>
      <c r="D3905">
        <v>1.42</v>
      </c>
      <c r="E3905" t="s">
        <v>1069</v>
      </c>
      <c r="F3905" t="s">
        <v>754</v>
      </c>
      <c r="G3905" t="s">
        <v>3532</v>
      </c>
      <c r="H3905" t="s">
        <v>32</v>
      </c>
      <c r="I3905" s="28" t="s">
        <v>26</v>
      </c>
    </row>
    <row r="3906" spans="1:9" x14ac:dyDescent="0.3">
      <c r="A3906" s="26">
        <v>45343</v>
      </c>
      <c r="B3906" t="s">
        <v>929</v>
      </c>
      <c r="C3906" t="s">
        <v>916</v>
      </c>
      <c r="D3906">
        <v>1.5</v>
      </c>
      <c r="E3906" t="s">
        <v>237</v>
      </c>
      <c r="F3906" t="s">
        <v>754</v>
      </c>
      <c r="G3906" t="s">
        <v>3533</v>
      </c>
      <c r="H3906" t="s">
        <v>32</v>
      </c>
      <c r="I3906" s="28" t="s">
        <v>26</v>
      </c>
    </row>
    <row r="3907" spans="1:9" x14ac:dyDescent="0.3">
      <c r="A3907" s="26">
        <v>45343</v>
      </c>
      <c r="B3907" t="s">
        <v>929</v>
      </c>
      <c r="C3907" t="s">
        <v>957</v>
      </c>
      <c r="D3907">
        <v>0.28000000000000003</v>
      </c>
      <c r="E3907" t="s">
        <v>7</v>
      </c>
      <c r="F3907" t="s">
        <v>772</v>
      </c>
      <c r="G3907" t="s">
        <v>3534</v>
      </c>
      <c r="H3907" t="s">
        <v>32</v>
      </c>
      <c r="I3907" s="28" t="s">
        <v>26</v>
      </c>
    </row>
    <row r="3908" spans="1:9" x14ac:dyDescent="0.3">
      <c r="A3908" s="26">
        <v>45343</v>
      </c>
      <c r="B3908" t="s">
        <v>959</v>
      </c>
      <c r="C3908" t="s">
        <v>942</v>
      </c>
      <c r="D3908">
        <v>0.25</v>
      </c>
      <c r="E3908" t="s">
        <v>7</v>
      </c>
      <c r="F3908" t="s">
        <v>772</v>
      </c>
      <c r="G3908" t="s">
        <v>3535</v>
      </c>
      <c r="H3908" t="s">
        <v>32</v>
      </c>
      <c r="I3908" s="28" t="s">
        <v>26</v>
      </c>
    </row>
    <row r="3909" spans="1:9" x14ac:dyDescent="0.3">
      <c r="A3909" s="26">
        <v>45343</v>
      </c>
      <c r="B3909" t="s">
        <v>959</v>
      </c>
      <c r="C3909" t="s">
        <v>878</v>
      </c>
      <c r="D3909">
        <v>7.75</v>
      </c>
      <c r="E3909" t="s">
        <v>430</v>
      </c>
      <c r="F3909" t="s">
        <v>754</v>
      </c>
      <c r="G3909" t="s">
        <v>3536</v>
      </c>
      <c r="H3909" t="s">
        <v>32</v>
      </c>
      <c r="I3909" s="28" t="s">
        <v>26</v>
      </c>
    </row>
    <row r="3910" spans="1:9" x14ac:dyDescent="0.3">
      <c r="A3910" s="26">
        <v>45343</v>
      </c>
      <c r="B3910" t="s">
        <v>961</v>
      </c>
      <c r="C3910" t="s">
        <v>753</v>
      </c>
      <c r="D3910">
        <v>1.08</v>
      </c>
      <c r="E3910" t="s">
        <v>717</v>
      </c>
      <c r="F3910" t="s">
        <v>754</v>
      </c>
      <c r="G3910" t="s">
        <v>3537</v>
      </c>
      <c r="H3910" t="s">
        <v>32</v>
      </c>
      <c r="I3910" s="28" t="s">
        <v>26</v>
      </c>
    </row>
    <row r="3911" spans="1:9" x14ac:dyDescent="0.3">
      <c r="A3911" s="26">
        <v>45343</v>
      </c>
      <c r="B3911" t="s">
        <v>961</v>
      </c>
      <c r="C3911" t="s">
        <v>753</v>
      </c>
      <c r="D3911">
        <v>1.83</v>
      </c>
      <c r="E3911" t="s">
        <v>655</v>
      </c>
      <c r="F3911" t="s">
        <v>754</v>
      </c>
      <c r="H3911" t="s">
        <v>32</v>
      </c>
      <c r="I3911" s="28" t="s">
        <v>26</v>
      </c>
    </row>
    <row r="3912" spans="1:9" x14ac:dyDescent="0.3">
      <c r="A3912" s="26">
        <v>45343</v>
      </c>
      <c r="B3912" t="s">
        <v>961</v>
      </c>
      <c r="C3912" t="s">
        <v>753</v>
      </c>
      <c r="D3912">
        <v>2.38</v>
      </c>
      <c r="E3912" t="s">
        <v>790</v>
      </c>
      <c r="F3912" t="s">
        <v>754</v>
      </c>
      <c r="H3912" t="s">
        <v>32</v>
      </c>
      <c r="I3912" s="28" t="s">
        <v>26</v>
      </c>
    </row>
    <row r="3913" spans="1:9" x14ac:dyDescent="0.3">
      <c r="A3913" s="26">
        <v>45343</v>
      </c>
      <c r="B3913" t="s">
        <v>961</v>
      </c>
      <c r="C3913" t="s">
        <v>776</v>
      </c>
      <c r="D3913">
        <v>0.63</v>
      </c>
      <c r="E3913" t="s">
        <v>234</v>
      </c>
      <c r="F3913" t="s">
        <v>754</v>
      </c>
      <c r="H3913" t="s">
        <v>32</v>
      </c>
      <c r="I3913" s="28" t="s">
        <v>26</v>
      </c>
    </row>
    <row r="3914" spans="1:9" x14ac:dyDescent="0.3">
      <c r="A3914" s="26">
        <v>45343</v>
      </c>
      <c r="B3914" t="s">
        <v>961</v>
      </c>
      <c r="C3914" t="s">
        <v>776</v>
      </c>
      <c r="D3914">
        <v>0.93</v>
      </c>
      <c r="E3914" t="s">
        <v>655</v>
      </c>
      <c r="F3914" t="s">
        <v>754</v>
      </c>
      <c r="G3914" t="s">
        <v>3538</v>
      </c>
      <c r="H3914" t="s">
        <v>32</v>
      </c>
      <c r="I3914" s="28" t="s">
        <v>26</v>
      </c>
    </row>
    <row r="3915" spans="1:9" x14ac:dyDescent="0.3">
      <c r="A3915" s="26">
        <v>45343</v>
      </c>
      <c r="B3915" t="s">
        <v>961</v>
      </c>
      <c r="C3915" t="s">
        <v>776</v>
      </c>
      <c r="D3915">
        <v>1.23</v>
      </c>
      <c r="E3915" t="s">
        <v>234</v>
      </c>
      <c r="F3915" t="s">
        <v>754</v>
      </c>
      <c r="G3915" t="s">
        <v>3539</v>
      </c>
      <c r="H3915" t="s">
        <v>32</v>
      </c>
      <c r="I3915" s="28" t="s">
        <v>26</v>
      </c>
    </row>
    <row r="3916" spans="1:9" x14ac:dyDescent="0.3">
      <c r="A3916" s="26">
        <v>45343</v>
      </c>
      <c r="B3916" t="s">
        <v>962</v>
      </c>
      <c r="C3916" t="s">
        <v>753</v>
      </c>
      <c r="D3916">
        <v>1.25</v>
      </c>
      <c r="E3916" t="s">
        <v>717</v>
      </c>
      <c r="F3916" t="s">
        <v>754</v>
      </c>
      <c r="G3916" t="s">
        <v>3540</v>
      </c>
      <c r="H3916" t="s">
        <v>32</v>
      </c>
      <c r="I3916" s="28" t="s">
        <v>26</v>
      </c>
    </row>
    <row r="3917" spans="1:9" x14ac:dyDescent="0.3">
      <c r="A3917" s="26">
        <v>45343</v>
      </c>
      <c r="B3917" t="s">
        <v>966</v>
      </c>
      <c r="C3917" t="s">
        <v>970</v>
      </c>
      <c r="D3917">
        <v>0.75</v>
      </c>
      <c r="E3917" t="s">
        <v>790</v>
      </c>
      <c r="F3917" t="s">
        <v>772</v>
      </c>
      <c r="G3917" t="s">
        <v>3541</v>
      </c>
      <c r="H3917" t="s">
        <v>32</v>
      </c>
      <c r="I3917" s="28" t="s">
        <v>26</v>
      </c>
    </row>
    <row r="3918" spans="1:9" x14ac:dyDescent="0.3">
      <c r="A3918" s="26">
        <v>45343</v>
      </c>
      <c r="B3918" t="s">
        <v>966</v>
      </c>
      <c r="C3918" t="s">
        <v>967</v>
      </c>
      <c r="D3918">
        <v>2.73</v>
      </c>
      <c r="E3918" t="s">
        <v>7</v>
      </c>
      <c r="F3918" t="s">
        <v>772</v>
      </c>
      <c r="H3918" t="s">
        <v>32</v>
      </c>
      <c r="I3918" s="28" t="s">
        <v>26</v>
      </c>
    </row>
    <row r="3919" spans="1:9" x14ac:dyDescent="0.3">
      <c r="A3919" s="26">
        <v>45343</v>
      </c>
      <c r="B3919" t="s">
        <v>966</v>
      </c>
      <c r="C3919" t="s">
        <v>967</v>
      </c>
      <c r="D3919">
        <v>3.5</v>
      </c>
      <c r="E3919" t="s">
        <v>790</v>
      </c>
      <c r="F3919" t="s">
        <v>754</v>
      </c>
      <c r="H3919" t="s">
        <v>32</v>
      </c>
      <c r="I3919" s="28" t="s">
        <v>26</v>
      </c>
    </row>
    <row r="3920" spans="1:9" x14ac:dyDescent="0.3">
      <c r="A3920" s="26">
        <v>45343</v>
      </c>
      <c r="B3920" t="s">
        <v>966</v>
      </c>
      <c r="C3920" t="s">
        <v>771</v>
      </c>
      <c r="D3920">
        <v>0.5</v>
      </c>
      <c r="E3920" t="s">
        <v>7</v>
      </c>
      <c r="F3920" t="s">
        <v>772</v>
      </c>
      <c r="G3920" t="s">
        <v>781</v>
      </c>
      <c r="H3920" t="s">
        <v>32</v>
      </c>
      <c r="I3920" s="28" t="s">
        <v>26</v>
      </c>
    </row>
    <row r="3921" spans="1:9" x14ac:dyDescent="0.3">
      <c r="A3921" s="26">
        <v>45343</v>
      </c>
      <c r="B3921" t="s">
        <v>966</v>
      </c>
      <c r="C3921" t="s">
        <v>874</v>
      </c>
      <c r="D3921">
        <v>0.52</v>
      </c>
      <c r="E3921" t="s">
        <v>7</v>
      </c>
      <c r="F3921" t="s">
        <v>772</v>
      </c>
      <c r="G3921" t="s">
        <v>2072</v>
      </c>
      <c r="H3921" t="s">
        <v>32</v>
      </c>
      <c r="I3921" s="28" t="s">
        <v>26</v>
      </c>
    </row>
    <row r="3922" spans="1:9" x14ac:dyDescent="0.3">
      <c r="A3922" s="26">
        <v>45343</v>
      </c>
      <c r="B3922" t="s">
        <v>969</v>
      </c>
      <c r="C3922" t="s">
        <v>789</v>
      </c>
      <c r="D3922">
        <v>0.43</v>
      </c>
      <c r="E3922" t="s">
        <v>7</v>
      </c>
      <c r="F3922" t="s">
        <v>772</v>
      </c>
      <c r="G3922" t="s">
        <v>1012</v>
      </c>
      <c r="H3922" t="s">
        <v>32</v>
      </c>
      <c r="I3922" s="28" t="s">
        <v>26</v>
      </c>
    </row>
    <row r="3923" spans="1:9" x14ac:dyDescent="0.3">
      <c r="A3923" s="26">
        <v>45343</v>
      </c>
      <c r="B3923" t="s">
        <v>969</v>
      </c>
      <c r="C3923" t="s">
        <v>789</v>
      </c>
      <c r="D3923">
        <v>1.4</v>
      </c>
      <c r="E3923" t="s">
        <v>7</v>
      </c>
      <c r="F3923" t="s">
        <v>772</v>
      </c>
      <c r="G3923" t="s">
        <v>3542</v>
      </c>
      <c r="H3923" t="s">
        <v>32</v>
      </c>
      <c r="I3923" s="28" t="s">
        <v>26</v>
      </c>
    </row>
    <row r="3924" spans="1:9" x14ac:dyDescent="0.3">
      <c r="A3924" s="26">
        <v>45343</v>
      </c>
      <c r="B3924" t="s">
        <v>969</v>
      </c>
      <c r="C3924" t="s">
        <v>835</v>
      </c>
      <c r="D3924">
        <v>0.43</v>
      </c>
      <c r="E3924" t="s">
        <v>790</v>
      </c>
      <c r="F3924" t="s">
        <v>754</v>
      </c>
      <c r="G3924" t="s">
        <v>3543</v>
      </c>
      <c r="H3924" t="s">
        <v>32</v>
      </c>
      <c r="I3924" s="28" t="s">
        <v>26</v>
      </c>
    </row>
    <row r="3925" spans="1:9" x14ac:dyDescent="0.3">
      <c r="A3925" s="26">
        <v>45343</v>
      </c>
      <c r="B3925" t="s">
        <v>969</v>
      </c>
      <c r="C3925" t="s">
        <v>835</v>
      </c>
      <c r="D3925">
        <v>0.72</v>
      </c>
      <c r="E3925" t="s">
        <v>790</v>
      </c>
      <c r="F3925" t="s">
        <v>754</v>
      </c>
      <c r="G3925" t="s">
        <v>3544</v>
      </c>
      <c r="H3925" t="s">
        <v>32</v>
      </c>
      <c r="I3925" s="28" t="s">
        <v>26</v>
      </c>
    </row>
    <row r="3926" spans="1:9" x14ac:dyDescent="0.3">
      <c r="A3926" s="26">
        <v>45343</v>
      </c>
      <c r="B3926" t="s">
        <v>969</v>
      </c>
      <c r="C3926" t="s">
        <v>835</v>
      </c>
      <c r="D3926">
        <v>2.4300000000000002</v>
      </c>
      <c r="E3926" t="s">
        <v>790</v>
      </c>
      <c r="F3926" t="s">
        <v>754</v>
      </c>
      <c r="G3926" t="s">
        <v>3545</v>
      </c>
      <c r="H3926" t="s">
        <v>32</v>
      </c>
      <c r="I3926" s="28" t="s">
        <v>26</v>
      </c>
    </row>
    <row r="3927" spans="1:9" x14ac:dyDescent="0.3">
      <c r="A3927" s="26">
        <v>45343</v>
      </c>
      <c r="B3927" t="s">
        <v>969</v>
      </c>
      <c r="C3927" t="s">
        <v>835</v>
      </c>
      <c r="D3927">
        <v>3.2</v>
      </c>
      <c r="E3927" t="s">
        <v>790</v>
      </c>
      <c r="F3927" t="s">
        <v>754</v>
      </c>
      <c r="G3927" t="s">
        <v>3546</v>
      </c>
      <c r="H3927" t="s">
        <v>32</v>
      </c>
      <c r="I3927" s="28" t="s">
        <v>26</v>
      </c>
    </row>
    <row r="3928" spans="1:9" x14ac:dyDescent="0.3">
      <c r="A3928" s="26">
        <v>45343</v>
      </c>
      <c r="B3928" t="s">
        <v>977</v>
      </c>
      <c r="C3928" t="s">
        <v>753</v>
      </c>
      <c r="D3928">
        <v>2.2200000000000002</v>
      </c>
      <c r="E3928" t="s">
        <v>978</v>
      </c>
      <c r="F3928" t="s">
        <v>754</v>
      </c>
      <c r="G3928" t="s">
        <v>3547</v>
      </c>
      <c r="H3928" t="s">
        <v>32</v>
      </c>
      <c r="I3928" s="28" t="s">
        <v>26</v>
      </c>
    </row>
    <row r="3929" spans="1:9" x14ac:dyDescent="0.3">
      <c r="A3929" s="26">
        <v>45343</v>
      </c>
      <c r="B3929" t="s">
        <v>977</v>
      </c>
      <c r="C3929" t="s">
        <v>753</v>
      </c>
      <c r="D3929">
        <v>5.28</v>
      </c>
      <c r="E3929" t="s">
        <v>978</v>
      </c>
      <c r="F3929" t="s">
        <v>754</v>
      </c>
      <c r="G3929" t="s">
        <v>3548</v>
      </c>
      <c r="H3929" t="s">
        <v>32</v>
      </c>
      <c r="I3929" s="28" t="s">
        <v>26</v>
      </c>
    </row>
    <row r="3930" spans="1:9" x14ac:dyDescent="0.3">
      <c r="A3930" s="26">
        <v>45343</v>
      </c>
      <c r="B3930" t="s">
        <v>977</v>
      </c>
      <c r="C3930" t="s">
        <v>771</v>
      </c>
      <c r="D3930">
        <v>0.5</v>
      </c>
      <c r="E3930" t="s">
        <v>7</v>
      </c>
      <c r="F3930" t="s">
        <v>772</v>
      </c>
      <c r="G3930" t="s">
        <v>820</v>
      </c>
      <c r="H3930" t="s">
        <v>32</v>
      </c>
      <c r="I3930" s="28" t="s">
        <v>26</v>
      </c>
    </row>
    <row r="3931" spans="1:9" x14ac:dyDescent="0.3">
      <c r="A3931" s="26">
        <v>45343</v>
      </c>
      <c r="B3931" t="s">
        <v>981</v>
      </c>
      <c r="C3931" t="s">
        <v>982</v>
      </c>
      <c r="D3931">
        <v>9</v>
      </c>
      <c r="E3931" t="s">
        <v>7</v>
      </c>
      <c r="F3931" t="s">
        <v>772</v>
      </c>
      <c r="G3931" t="s">
        <v>983</v>
      </c>
      <c r="H3931" t="s">
        <v>32</v>
      </c>
      <c r="I3931" s="28" t="s">
        <v>26</v>
      </c>
    </row>
    <row r="3932" spans="1:9" x14ac:dyDescent="0.3">
      <c r="A3932" s="26">
        <v>45343</v>
      </c>
      <c r="B3932" t="s">
        <v>984</v>
      </c>
      <c r="C3932" t="s">
        <v>753</v>
      </c>
      <c r="D3932">
        <v>0.72</v>
      </c>
      <c r="E3932" t="s">
        <v>917</v>
      </c>
      <c r="F3932" t="s">
        <v>754</v>
      </c>
      <c r="G3932" t="s">
        <v>3549</v>
      </c>
      <c r="H3932" t="s">
        <v>32</v>
      </c>
      <c r="I3932" s="28" t="s">
        <v>26</v>
      </c>
    </row>
    <row r="3933" spans="1:9" x14ac:dyDescent="0.3">
      <c r="A3933" s="26">
        <v>45343</v>
      </c>
      <c r="B3933" t="s">
        <v>984</v>
      </c>
      <c r="C3933" t="s">
        <v>753</v>
      </c>
      <c r="D3933">
        <v>1.87</v>
      </c>
      <c r="E3933" t="s">
        <v>903</v>
      </c>
      <c r="F3933" t="s">
        <v>754</v>
      </c>
      <c r="G3933" t="s">
        <v>3550</v>
      </c>
      <c r="H3933" t="s">
        <v>32</v>
      </c>
      <c r="I3933" s="28" t="s">
        <v>26</v>
      </c>
    </row>
    <row r="3934" spans="1:9" x14ac:dyDescent="0.3">
      <c r="A3934" s="26">
        <v>45343</v>
      </c>
      <c r="B3934" t="s">
        <v>984</v>
      </c>
      <c r="C3934" t="s">
        <v>753</v>
      </c>
      <c r="D3934">
        <v>2.87</v>
      </c>
      <c r="E3934" t="s">
        <v>13</v>
      </c>
      <c r="F3934" t="s">
        <v>754</v>
      </c>
      <c r="G3934" t="s">
        <v>3551</v>
      </c>
      <c r="H3934" t="s">
        <v>32</v>
      </c>
      <c r="I3934" s="28" t="s">
        <v>26</v>
      </c>
    </row>
    <row r="3935" spans="1:9" x14ac:dyDescent="0.3">
      <c r="A3935" s="26">
        <v>45343</v>
      </c>
      <c r="B3935" t="s">
        <v>984</v>
      </c>
      <c r="C3935" t="s">
        <v>771</v>
      </c>
      <c r="D3935">
        <v>0.63</v>
      </c>
      <c r="E3935" t="s">
        <v>7</v>
      </c>
      <c r="F3935" t="s">
        <v>772</v>
      </c>
      <c r="G3935" t="s">
        <v>3552</v>
      </c>
      <c r="H3935" t="s">
        <v>32</v>
      </c>
      <c r="I3935" s="28" t="s">
        <v>26</v>
      </c>
    </row>
    <row r="3936" spans="1:9" x14ac:dyDescent="0.3">
      <c r="A3936" s="26">
        <v>45343</v>
      </c>
      <c r="B3936" t="s">
        <v>984</v>
      </c>
      <c r="C3936" t="s">
        <v>771</v>
      </c>
      <c r="D3936">
        <v>0.72</v>
      </c>
      <c r="E3936" t="s">
        <v>7</v>
      </c>
      <c r="F3936" t="s">
        <v>772</v>
      </c>
      <c r="H3936" t="s">
        <v>32</v>
      </c>
      <c r="I3936" s="28" t="s">
        <v>26</v>
      </c>
    </row>
    <row r="3937" spans="1:9" x14ac:dyDescent="0.3">
      <c r="A3937" s="26">
        <v>45343</v>
      </c>
      <c r="B3937" t="s">
        <v>984</v>
      </c>
      <c r="C3937" t="s">
        <v>776</v>
      </c>
      <c r="D3937">
        <v>0.28000000000000003</v>
      </c>
      <c r="E3937" t="s">
        <v>903</v>
      </c>
      <c r="F3937" t="s">
        <v>772</v>
      </c>
      <c r="H3937" t="s">
        <v>32</v>
      </c>
      <c r="I3937" s="28" t="s">
        <v>26</v>
      </c>
    </row>
    <row r="3938" spans="1:9" x14ac:dyDescent="0.3">
      <c r="A3938" s="26">
        <v>45343</v>
      </c>
      <c r="B3938" t="s">
        <v>984</v>
      </c>
      <c r="C3938" t="s">
        <v>776</v>
      </c>
      <c r="D3938">
        <v>0.28000000000000003</v>
      </c>
      <c r="E3938" t="s">
        <v>903</v>
      </c>
      <c r="F3938" t="s">
        <v>772</v>
      </c>
      <c r="G3938" t="s">
        <v>3553</v>
      </c>
      <c r="H3938" t="s">
        <v>32</v>
      </c>
      <c r="I3938" s="28" t="s">
        <v>26</v>
      </c>
    </row>
    <row r="3939" spans="1:9" x14ac:dyDescent="0.3">
      <c r="A3939" s="26">
        <v>45343</v>
      </c>
      <c r="B3939" t="s">
        <v>984</v>
      </c>
      <c r="C3939" t="s">
        <v>776</v>
      </c>
      <c r="D3939">
        <v>0.72</v>
      </c>
      <c r="E3939" t="s">
        <v>903</v>
      </c>
      <c r="F3939" t="s">
        <v>754</v>
      </c>
      <c r="H3939" t="s">
        <v>32</v>
      </c>
      <c r="I3939" s="28" t="s">
        <v>26</v>
      </c>
    </row>
    <row r="3940" spans="1:9" x14ac:dyDescent="0.3">
      <c r="A3940" s="26">
        <v>45343</v>
      </c>
      <c r="B3940" t="s">
        <v>991</v>
      </c>
      <c r="C3940" t="s">
        <v>992</v>
      </c>
      <c r="D3940">
        <v>0.13</v>
      </c>
      <c r="E3940" t="s">
        <v>7</v>
      </c>
      <c r="F3940" t="s">
        <v>772</v>
      </c>
      <c r="G3940" t="s">
        <v>3554</v>
      </c>
      <c r="H3940" t="s">
        <v>32</v>
      </c>
      <c r="I3940" s="28" t="s">
        <v>26</v>
      </c>
    </row>
    <row r="3941" spans="1:9" x14ac:dyDescent="0.3">
      <c r="A3941" s="26">
        <v>45343</v>
      </c>
      <c r="B3941" t="s">
        <v>991</v>
      </c>
      <c r="C3941" t="s">
        <v>992</v>
      </c>
      <c r="D3941">
        <v>0.82</v>
      </c>
      <c r="E3941" t="s">
        <v>7</v>
      </c>
      <c r="F3941" t="s">
        <v>772</v>
      </c>
      <c r="G3941" t="s">
        <v>3555</v>
      </c>
      <c r="H3941" t="s">
        <v>32</v>
      </c>
      <c r="I3941" s="28" t="s">
        <v>26</v>
      </c>
    </row>
    <row r="3942" spans="1:9" x14ac:dyDescent="0.3">
      <c r="A3942" s="26">
        <v>45343</v>
      </c>
      <c r="B3942" t="s">
        <v>991</v>
      </c>
      <c r="C3942" t="s">
        <v>992</v>
      </c>
      <c r="D3942">
        <v>1.27</v>
      </c>
      <c r="E3942" t="s">
        <v>7</v>
      </c>
      <c r="F3942" t="s">
        <v>772</v>
      </c>
      <c r="G3942" t="s">
        <v>3556</v>
      </c>
      <c r="H3942" t="s">
        <v>32</v>
      </c>
      <c r="I3942" s="28" t="s">
        <v>26</v>
      </c>
    </row>
    <row r="3943" spans="1:9" x14ac:dyDescent="0.3">
      <c r="A3943" s="26">
        <v>45343</v>
      </c>
      <c r="B3943" t="s">
        <v>991</v>
      </c>
      <c r="C3943" t="s">
        <v>1870</v>
      </c>
      <c r="D3943">
        <v>0.53</v>
      </c>
      <c r="E3943" t="s">
        <v>999</v>
      </c>
      <c r="F3943" t="s">
        <v>772</v>
      </c>
      <c r="G3943" t="s">
        <v>3557</v>
      </c>
      <c r="H3943" t="s">
        <v>32</v>
      </c>
      <c r="I3943" s="28" t="s">
        <v>26</v>
      </c>
    </row>
    <row r="3944" spans="1:9" x14ac:dyDescent="0.3">
      <c r="A3944" s="26">
        <v>45343</v>
      </c>
      <c r="B3944" t="s">
        <v>991</v>
      </c>
      <c r="C3944" t="s">
        <v>1870</v>
      </c>
      <c r="D3944">
        <v>0.93</v>
      </c>
      <c r="E3944" t="s">
        <v>999</v>
      </c>
      <c r="F3944" t="s">
        <v>772</v>
      </c>
      <c r="G3944" t="s">
        <v>3558</v>
      </c>
      <c r="H3944" t="s">
        <v>32</v>
      </c>
      <c r="I3944" s="28" t="s">
        <v>26</v>
      </c>
    </row>
    <row r="3945" spans="1:9" x14ac:dyDescent="0.3">
      <c r="A3945" s="26">
        <v>45343</v>
      </c>
      <c r="B3945" t="s">
        <v>991</v>
      </c>
      <c r="C3945" t="s">
        <v>1870</v>
      </c>
      <c r="D3945">
        <v>1.67</v>
      </c>
      <c r="E3945" t="s">
        <v>206</v>
      </c>
      <c r="F3945" t="s">
        <v>772</v>
      </c>
      <c r="G3945" t="s">
        <v>3559</v>
      </c>
      <c r="H3945" t="s">
        <v>32</v>
      </c>
      <c r="I3945" s="28" t="s">
        <v>26</v>
      </c>
    </row>
    <row r="3946" spans="1:9" x14ac:dyDescent="0.3">
      <c r="A3946" s="26">
        <v>45343</v>
      </c>
      <c r="B3946" t="s">
        <v>991</v>
      </c>
      <c r="C3946" t="s">
        <v>874</v>
      </c>
      <c r="D3946">
        <v>1.4</v>
      </c>
      <c r="E3946" t="s">
        <v>999</v>
      </c>
      <c r="F3946" t="s">
        <v>772</v>
      </c>
      <c r="G3946" t="s">
        <v>3560</v>
      </c>
      <c r="H3946" t="s">
        <v>32</v>
      </c>
      <c r="I3946" s="28" t="s">
        <v>26</v>
      </c>
    </row>
    <row r="3947" spans="1:9" x14ac:dyDescent="0.3">
      <c r="A3947" s="26">
        <v>45343</v>
      </c>
      <c r="B3947" t="s">
        <v>991</v>
      </c>
      <c r="C3947" t="s">
        <v>776</v>
      </c>
      <c r="D3947">
        <v>1.85</v>
      </c>
      <c r="E3947" t="s">
        <v>999</v>
      </c>
      <c r="F3947" t="s">
        <v>772</v>
      </c>
      <c r="G3947" t="s">
        <v>3561</v>
      </c>
      <c r="H3947" t="s">
        <v>32</v>
      </c>
      <c r="I3947" s="28" t="s">
        <v>26</v>
      </c>
    </row>
    <row r="3948" spans="1:9" x14ac:dyDescent="0.3">
      <c r="A3948" s="26">
        <v>45343</v>
      </c>
      <c r="B3948" t="s">
        <v>1002</v>
      </c>
      <c r="C3948" t="s">
        <v>1003</v>
      </c>
      <c r="D3948">
        <v>10</v>
      </c>
      <c r="E3948" t="s">
        <v>7</v>
      </c>
      <c r="F3948" t="s">
        <v>772</v>
      </c>
      <c r="G3948" t="s">
        <v>3562</v>
      </c>
      <c r="H3948" t="s">
        <v>32</v>
      </c>
      <c r="I3948" s="28" t="s">
        <v>26</v>
      </c>
    </row>
    <row r="3949" spans="1:9" x14ac:dyDescent="0.3">
      <c r="A3949" s="26">
        <v>45343</v>
      </c>
      <c r="B3949" t="s">
        <v>1005</v>
      </c>
      <c r="C3949" t="s">
        <v>753</v>
      </c>
      <c r="D3949">
        <v>0.5</v>
      </c>
      <c r="E3949" t="s">
        <v>1438</v>
      </c>
      <c r="F3949" t="s">
        <v>754</v>
      </c>
      <c r="G3949" t="s">
        <v>3563</v>
      </c>
      <c r="H3949" t="s">
        <v>32</v>
      </c>
      <c r="I3949" s="28" t="s">
        <v>26</v>
      </c>
    </row>
    <row r="3950" spans="1:9" x14ac:dyDescent="0.3">
      <c r="A3950" s="26">
        <v>45343</v>
      </c>
      <c r="B3950" t="s">
        <v>1005</v>
      </c>
      <c r="C3950" t="s">
        <v>753</v>
      </c>
      <c r="D3950">
        <v>0.5</v>
      </c>
      <c r="E3950" t="s">
        <v>201</v>
      </c>
      <c r="F3950" t="s">
        <v>754</v>
      </c>
      <c r="H3950" t="s">
        <v>32</v>
      </c>
      <c r="I3950" s="28" t="s">
        <v>26</v>
      </c>
    </row>
    <row r="3951" spans="1:9" x14ac:dyDescent="0.3">
      <c r="A3951" s="26">
        <v>45343</v>
      </c>
      <c r="B3951" t="s">
        <v>1005</v>
      </c>
      <c r="C3951" t="s">
        <v>753</v>
      </c>
      <c r="D3951">
        <v>0.5</v>
      </c>
      <c r="E3951" t="s">
        <v>471</v>
      </c>
      <c r="F3951" t="s">
        <v>754</v>
      </c>
      <c r="H3951" t="s">
        <v>32</v>
      </c>
      <c r="I3951" s="28" t="s">
        <v>26</v>
      </c>
    </row>
    <row r="3952" spans="1:9" x14ac:dyDescent="0.3">
      <c r="A3952" s="26">
        <v>45343</v>
      </c>
      <c r="B3952" t="s">
        <v>1005</v>
      </c>
      <c r="C3952" t="s">
        <v>753</v>
      </c>
      <c r="D3952">
        <v>0.75</v>
      </c>
      <c r="E3952" t="s">
        <v>1438</v>
      </c>
      <c r="F3952" t="s">
        <v>754</v>
      </c>
      <c r="G3952" t="s">
        <v>3564</v>
      </c>
      <c r="H3952" t="s">
        <v>32</v>
      </c>
      <c r="I3952" s="28" t="s">
        <v>26</v>
      </c>
    </row>
    <row r="3953" spans="1:9" x14ac:dyDescent="0.3">
      <c r="A3953" s="26">
        <v>45343</v>
      </c>
      <c r="B3953" t="s">
        <v>1005</v>
      </c>
      <c r="C3953" t="s">
        <v>753</v>
      </c>
      <c r="D3953">
        <v>2.5</v>
      </c>
      <c r="E3953" t="s">
        <v>430</v>
      </c>
      <c r="F3953" t="s">
        <v>754</v>
      </c>
      <c r="H3953" t="s">
        <v>32</v>
      </c>
      <c r="I3953" s="28" t="s">
        <v>26</v>
      </c>
    </row>
    <row r="3954" spans="1:9" x14ac:dyDescent="0.3">
      <c r="A3954" s="26">
        <v>45343</v>
      </c>
      <c r="B3954" t="s">
        <v>1005</v>
      </c>
      <c r="C3954" t="s">
        <v>776</v>
      </c>
      <c r="D3954">
        <v>0.25</v>
      </c>
      <c r="E3954" t="s">
        <v>1438</v>
      </c>
      <c r="F3954" t="s">
        <v>754</v>
      </c>
      <c r="G3954" t="s">
        <v>3565</v>
      </c>
      <c r="H3954" t="s">
        <v>32</v>
      </c>
      <c r="I3954" s="28" t="s">
        <v>26</v>
      </c>
    </row>
    <row r="3955" spans="1:9" x14ac:dyDescent="0.3">
      <c r="A3955" s="26">
        <v>45343</v>
      </c>
      <c r="B3955" t="s">
        <v>1005</v>
      </c>
      <c r="C3955" t="s">
        <v>776</v>
      </c>
      <c r="D3955">
        <v>0.5</v>
      </c>
      <c r="E3955" t="s">
        <v>161</v>
      </c>
      <c r="F3955" t="s">
        <v>754</v>
      </c>
      <c r="H3955" t="s">
        <v>32</v>
      </c>
      <c r="I3955" s="28" t="s">
        <v>26</v>
      </c>
    </row>
    <row r="3956" spans="1:9" x14ac:dyDescent="0.3">
      <c r="A3956" s="26">
        <v>45343</v>
      </c>
      <c r="B3956" t="s">
        <v>1006</v>
      </c>
      <c r="C3956" t="s">
        <v>909</v>
      </c>
      <c r="D3956">
        <v>7.0000000000000007E-2</v>
      </c>
      <c r="E3956" t="s">
        <v>757</v>
      </c>
      <c r="F3956" t="s">
        <v>754</v>
      </c>
      <c r="G3956" t="s">
        <v>1010</v>
      </c>
      <c r="H3956" t="s">
        <v>32</v>
      </c>
      <c r="I3956" s="28" t="s">
        <v>26</v>
      </c>
    </row>
    <row r="3957" spans="1:9" x14ac:dyDescent="0.3">
      <c r="A3957" s="26">
        <v>45343</v>
      </c>
      <c r="B3957" t="s">
        <v>1006</v>
      </c>
      <c r="C3957" t="s">
        <v>909</v>
      </c>
      <c r="D3957">
        <v>0.08</v>
      </c>
      <c r="E3957" t="s">
        <v>964</v>
      </c>
      <c r="F3957" t="s">
        <v>772</v>
      </c>
      <c r="G3957" t="s">
        <v>3566</v>
      </c>
      <c r="H3957" t="s">
        <v>32</v>
      </c>
      <c r="I3957" s="28" t="s">
        <v>26</v>
      </c>
    </row>
    <row r="3958" spans="1:9" x14ac:dyDescent="0.3">
      <c r="A3958" s="26">
        <v>45343</v>
      </c>
      <c r="B3958" t="s">
        <v>1006</v>
      </c>
      <c r="C3958" t="s">
        <v>909</v>
      </c>
      <c r="D3958">
        <v>0.5</v>
      </c>
      <c r="E3958" t="s">
        <v>583</v>
      </c>
      <c r="F3958" t="s">
        <v>772</v>
      </c>
      <c r="G3958" t="s">
        <v>3567</v>
      </c>
      <c r="H3958" t="s">
        <v>32</v>
      </c>
      <c r="I3958" s="28" t="s">
        <v>26</v>
      </c>
    </row>
    <row r="3959" spans="1:9" x14ac:dyDescent="0.3">
      <c r="A3959" s="26">
        <v>45343</v>
      </c>
      <c r="B3959" t="s">
        <v>1006</v>
      </c>
      <c r="C3959" t="s">
        <v>909</v>
      </c>
      <c r="D3959">
        <v>1.82</v>
      </c>
      <c r="E3959" t="s">
        <v>583</v>
      </c>
      <c r="F3959" t="s">
        <v>754</v>
      </c>
      <c r="G3959" t="s">
        <v>3226</v>
      </c>
      <c r="H3959" t="s">
        <v>32</v>
      </c>
      <c r="I3959" s="28" t="s">
        <v>26</v>
      </c>
    </row>
    <row r="3960" spans="1:9" x14ac:dyDescent="0.3">
      <c r="A3960" s="26">
        <v>45343</v>
      </c>
      <c r="B3960" t="s">
        <v>1006</v>
      </c>
      <c r="C3960" t="s">
        <v>771</v>
      </c>
      <c r="D3960">
        <v>3.17</v>
      </c>
      <c r="E3960" t="s">
        <v>7</v>
      </c>
      <c r="F3960" t="s">
        <v>772</v>
      </c>
      <c r="G3960" t="s">
        <v>1010</v>
      </c>
      <c r="H3960" t="s">
        <v>32</v>
      </c>
      <c r="I3960" s="28" t="s">
        <v>26</v>
      </c>
    </row>
    <row r="3961" spans="1:9" x14ac:dyDescent="0.3">
      <c r="A3961" s="26">
        <v>45343</v>
      </c>
      <c r="B3961" t="s">
        <v>1011</v>
      </c>
      <c r="C3961" t="s">
        <v>753</v>
      </c>
      <c r="D3961">
        <v>0.47</v>
      </c>
      <c r="E3961" t="s">
        <v>589</v>
      </c>
      <c r="F3961" t="s">
        <v>754</v>
      </c>
      <c r="G3961" t="s">
        <v>3568</v>
      </c>
      <c r="H3961" t="s">
        <v>32</v>
      </c>
      <c r="I3961" s="28" t="s">
        <v>26</v>
      </c>
    </row>
    <row r="3962" spans="1:9" x14ac:dyDescent="0.3">
      <c r="A3962" s="26">
        <v>45343</v>
      </c>
      <c r="B3962" t="s">
        <v>1011</v>
      </c>
      <c r="C3962" t="s">
        <v>753</v>
      </c>
      <c r="D3962">
        <v>0.53</v>
      </c>
      <c r="E3962" t="s">
        <v>1013</v>
      </c>
      <c r="F3962" t="s">
        <v>754</v>
      </c>
      <c r="H3962" t="s">
        <v>32</v>
      </c>
      <c r="I3962" s="28" t="s">
        <v>26</v>
      </c>
    </row>
    <row r="3963" spans="1:9" x14ac:dyDescent="0.3">
      <c r="A3963" s="26">
        <v>45343</v>
      </c>
      <c r="B3963" t="s">
        <v>1011</v>
      </c>
      <c r="C3963" t="s">
        <v>753</v>
      </c>
      <c r="D3963">
        <v>0.68</v>
      </c>
      <c r="E3963" t="s">
        <v>1013</v>
      </c>
      <c r="F3963" t="s">
        <v>754</v>
      </c>
      <c r="G3963" t="s">
        <v>3569</v>
      </c>
      <c r="H3963" t="s">
        <v>32</v>
      </c>
      <c r="I3963" s="28" t="s">
        <v>26</v>
      </c>
    </row>
    <row r="3964" spans="1:9" x14ac:dyDescent="0.3">
      <c r="A3964" s="26">
        <v>45343</v>
      </c>
      <c r="B3964" t="s">
        <v>1011</v>
      </c>
      <c r="C3964" t="s">
        <v>753</v>
      </c>
      <c r="D3964">
        <v>1.2</v>
      </c>
      <c r="E3964" t="s">
        <v>1013</v>
      </c>
      <c r="F3964" t="s">
        <v>754</v>
      </c>
      <c r="G3964" t="s">
        <v>3570</v>
      </c>
      <c r="H3964" t="s">
        <v>32</v>
      </c>
      <c r="I3964" s="28" t="s">
        <v>26</v>
      </c>
    </row>
    <row r="3965" spans="1:9" x14ac:dyDescent="0.3">
      <c r="A3965" s="26">
        <v>45343</v>
      </c>
      <c r="B3965" t="s">
        <v>1011</v>
      </c>
      <c r="C3965" t="s">
        <v>753</v>
      </c>
      <c r="D3965">
        <v>1.2</v>
      </c>
      <c r="E3965" t="s">
        <v>589</v>
      </c>
      <c r="F3965" t="s">
        <v>754</v>
      </c>
      <c r="G3965" t="s">
        <v>1017</v>
      </c>
      <c r="H3965" t="s">
        <v>32</v>
      </c>
      <c r="I3965" s="28" t="s">
        <v>26</v>
      </c>
    </row>
    <row r="3966" spans="1:9" x14ac:dyDescent="0.3">
      <c r="A3966" s="26">
        <v>45343</v>
      </c>
      <c r="B3966" t="s">
        <v>1011</v>
      </c>
      <c r="C3966" t="s">
        <v>753</v>
      </c>
      <c r="D3966">
        <v>1.38</v>
      </c>
      <c r="E3966" t="s">
        <v>1013</v>
      </c>
      <c r="F3966" t="s">
        <v>772</v>
      </c>
      <c r="G3966" t="s">
        <v>3571</v>
      </c>
      <c r="H3966" t="s">
        <v>32</v>
      </c>
      <c r="I3966" s="28" t="s">
        <v>26</v>
      </c>
    </row>
    <row r="3967" spans="1:9" x14ac:dyDescent="0.3">
      <c r="A3967" s="26">
        <v>45343</v>
      </c>
      <c r="B3967" t="s">
        <v>1011</v>
      </c>
      <c r="C3967" t="s">
        <v>753</v>
      </c>
      <c r="D3967">
        <v>1.6</v>
      </c>
      <c r="E3967" t="s">
        <v>1013</v>
      </c>
      <c r="F3967" t="s">
        <v>754</v>
      </c>
      <c r="G3967" t="s">
        <v>3572</v>
      </c>
      <c r="H3967" t="s">
        <v>32</v>
      </c>
      <c r="I3967" s="28" t="s">
        <v>26</v>
      </c>
    </row>
    <row r="3968" spans="1:9" x14ac:dyDescent="0.3">
      <c r="A3968" s="26">
        <v>45343</v>
      </c>
      <c r="B3968" t="s">
        <v>1011</v>
      </c>
      <c r="C3968" t="s">
        <v>771</v>
      </c>
      <c r="D3968">
        <v>0.08</v>
      </c>
      <c r="E3968" t="s">
        <v>7</v>
      </c>
      <c r="F3968" t="s">
        <v>772</v>
      </c>
      <c r="G3968" t="s">
        <v>1243</v>
      </c>
      <c r="H3968" t="s">
        <v>32</v>
      </c>
      <c r="I3968" s="28" t="s">
        <v>26</v>
      </c>
    </row>
    <row r="3969" spans="1:9" x14ac:dyDescent="0.3">
      <c r="A3969" s="26">
        <v>45343</v>
      </c>
      <c r="B3969" t="s">
        <v>1011</v>
      </c>
      <c r="C3969" t="s">
        <v>771</v>
      </c>
      <c r="D3969">
        <v>0.13</v>
      </c>
      <c r="E3969" t="s">
        <v>7</v>
      </c>
      <c r="F3969" t="s">
        <v>772</v>
      </c>
      <c r="G3969" t="s">
        <v>3573</v>
      </c>
      <c r="H3969" t="s">
        <v>32</v>
      </c>
      <c r="I3969" s="28" t="s">
        <v>26</v>
      </c>
    </row>
    <row r="3970" spans="1:9" x14ac:dyDescent="0.3">
      <c r="A3970" s="26">
        <v>45343</v>
      </c>
      <c r="B3970" t="s">
        <v>1011</v>
      </c>
      <c r="C3970" t="s">
        <v>874</v>
      </c>
      <c r="D3970">
        <v>0.7</v>
      </c>
      <c r="E3970" t="s">
        <v>7</v>
      </c>
      <c r="F3970" t="s">
        <v>772</v>
      </c>
      <c r="G3970" t="s">
        <v>3574</v>
      </c>
      <c r="H3970" t="s">
        <v>32</v>
      </c>
      <c r="I3970" s="28" t="s">
        <v>26</v>
      </c>
    </row>
    <row r="3971" spans="1:9" x14ac:dyDescent="0.3">
      <c r="A3971" s="26">
        <v>45343</v>
      </c>
      <c r="B3971" t="s">
        <v>1020</v>
      </c>
      <c r="C3971" t="s">
        <v>753</v>
      </c>
      <c r="D3971">
        <v>0.53</v>
      </c>
      <c r="E3971" t="s">
        <v>964</v>
      </c>
      <c r="F3971" t="s">
        <v>754</v>
      </c>
      <c r="H3971" t="s">
        <v>32</v>
      </c>
      <c r="I3971" s="28" t="s">
        <v>26</v>
      </c>
    </row>
    <row r="3972" spans="1:9" x14ac:dyDescent="0.3">
      <c r="A3972" s="26">
        <v>45343</v>
      </c>
      <c r="B3972" t="s">
        <v>1020</v>
      </c>
      <c r="C3972" t="s">
        <v>753</v>
      </c>
      <c r="D3972">
        <v>2.7</v>
      </c>
      <c r="E3972" t="s">
        <v>964</v>
      </c>
      <c r="F3972" t="s">
        <v>754</v>
      </c>
      <c r="G3972" t="s">
        <v>3575</v>
      </c>
      <c r="H3972" t="s">
        <v>32</v>
      </c>
      <c r="I3972" s="28" t="s">
        <v>26</v>
      </c>
    </row>
    <row r="3973" spans="1:9" x14ac:dyDescent="0.3">
      <c r="A3973" s="26">
        <v>45343</v>
      </c>
      <c r="B3973" t="s">
        <v>1020</v>
      </c>
      <c r="C3973" t="s">
        <v>776</v>
      </c>
      <c r="D3973">
        <v>0.22</v>
      </c>
      <c r="E3973" t="s">
        <v>664</v>
      </c>
      <c r="F3973" t="s">
        <v>754</v>
      </c>
      <c r="G3973" t="s">
        <v>3576</v>
      </c>
      <c r="H3973" t="s">
        <v>32</v>
      </c>
      <c r="I3973" s="28" t="s">
        <v>26</v>
      </c>
    </row>
    <row r="3974" spans="1:9" x14ac:dyDescent="0.3">
      <c r="A3974" s="26">
        <v>45343</v>
      </c>
      <c r="B3974" t="s">
        <v>1020</v>
      </c>
      <c r="C3974" t="s">
        <v>776</v>
      </c>
      <c r="D3974">
        <v>0.52</v>
      </c>
      <c r="E3974" t="s">
        <v>664</v>
      </c>
      <c r="F3974" t="s">
        <v>754</v>
      </c>
      <c r="G3974" t="s">
        <v>1697</v>
      </c>
      <c r="H3974" t="s">
        <v>32</v>
      </c>
      <c r="I3974" s="28" t="s">
        <v>26</v>
      </c>
    </row>
    <row r="3975" spans="1:9" x14ac:dyDescent="0.3">
      <c r="A3975" s="26">
        <v>45343</v>
      </c>
      <c r="B3975" t="s">
        <v>1020</v>
      </c>
      <c r="C3975" t="s">
        <v>776</v>
      </c>
      <c r="D3975">
        <v>5.0999999999999996</v>
      </c>
      <c r="E3975" t="s">
        <v>11</v>
      </c>
      <c r="F3975" t="s">
        <v>754</v>
      </c>
      <c r="H3975" t="s">
        <v>32</v>
      </c>
      <c r="I3975" s="28" t="s">
        <v>26</v>
      </c>
    </row>
    <row r="3976" spans="1:9" x14ac:dyDescent="0.3">
      <c r="A3976" s="26">
        <v>45343</v>
      </c>
      <c r="B3976" t="s">
        <v>1026</v>
      </c>
      <c r="C3976" t="s">
        <v>771</v>
      </c>
      <c r="D3976">
        <v>0.28000000000000003</v>
      </c>
      <c r="E3976" t="s">
        <v>7</v>
      </c>
      <c r="F3976" t="s">
        <v>772</v>
      </c>
      <c r="G3976" t="s">
        <v>3577</v>
      </c>
      <c r="H3976" t="s">
        <v>32</v>
      </c>
      <c r="I3976" s="28" t="s">
        <v>26</v>
      </c>
    </row>
    <row r="3977" spans="1:9" x14ac:dyDescent="0.3">
      <c r="A3977" s="26">
        <v>45343</v>
      </c>
      <c r="B3977" t="s">
        <v>1026</v>
      </c>
      <c r="C3977" t="s">
        <v>771</v>
      </c>
      <c r="D3977">
        <v>0.93</v>
      </c>
      <c r="E3977" t="s">
        <v>7</v>
      </c>
      <c r="F3977" t="s">
        <v>772</v>
      </c>
      <c r="G3977" t="s">
        <v>3578</v>
      </c>
      <c r="H3977" t="s">
        <v>32</v>
      </c>
      <c r="I3977" s="28" t="s">
        <v>26</v>
      </c>
    </row>
    <row r="3978" spans="1:9" x14ac:dyDescent="0.3">
      <c r="A3978" s="26">
        <v>45343</v>
      </c>
      <c r="B3978" t="s">
        <v>1026</v>
      </c>
      <c r="C3978" t="s">
        <v>771</v>
      </c>
      <c r="D3978">
        <v>1.42</v>
      </c>
      <c r="E3978" t="s">
        <v>7</v>
      </c>
      <c r="F3978" t="s">
        <v>772</v>
      </c>
      <c r="G3978" t="s">
        <v>3579</v>
      </c>
      <c r="H3978" t="s">
        <v>32</v>
      </c>
      <c r="I3978" s="28" t="s">
        <v>26</v>
      </c>
    </row>
    <row r="3979" spans="1:9" x14ac:dyDescent="0.3">
      <c r="A3979" s="26">
        <v>45343</v>
      </c>
      <c r="B3979" t="s">
        <v>1026</v>
      </c>
      <c r="C3979" t="s">
        <v>771</v>
      </c>
      <c r="D3979">
        <v>1.93</v>
      </c>
      <c r="E3979" t="s">
        <v>7</v>
      </c>
      <c r="F3979" t="s">
        <v>772</v>
      </c>
      <c r="G3979" t="s">
        <v>3580</v>
      </c>
      <c r="H3979" t="s">
        <v>32</v>
      </c>
      <c r="I3979" s="28" t="s">
        <v>26</v>
      </c>
    </row>
    <row r="3980" spans="1:9" x14ac:dyDescent="0.3">
      <c r="A3980" s="26">
        <v>45343</v>
      </c>
      <c r="B3980" t="s">
        <v>1026</v>
      </c>
      <c r="C3980" t="s">
        <v>771</v>
      </c>
      <c r="D3980">
        <v>4.2300000000000004</v>
      </c>
      <c r="E3980" t="s">
        <v>7</v>
      </c>
      <c r="F3980" t="s">
        <v>772</v>
      </c>
      <c r="G3980" t="s">
        <v>3581</v>
      </c>
      <c r="H3980" t="s">
        <v>32</v>
      </c>
      <c r="I3980" s="28" t="s">
        <v>26</v>
      </c>
    </row>
    <row r="3981" spans="1:9" x14ac:dyDescent="0.3">
      <c r="A3981" s="26">
        <v>45343</v>
      </c>
      <c r="B3981" t="s">
        <v>1032</v>
      </c>
      <c r="C3981" t="s">
        <v>753</v>
      </c>
      <c r="D3981">
        <v>8.1300000000000008</v>
      </c>
      <c r="E3981" t="s">
        <v>790</v>
      </c>
      <c r="F3981" t="s">
        <v>754</v>
      </c>
      <c r="H3981" t="s">
        <v>32</v>
      </c>
      <c r="I3981" s="28" t="s">
        <v>26</v>
      </c>
    </row>
    <row r="3982" spans="1:9" x14ac:dyDescent="0.3">
      <c r="A3982" s="26">
        <v>45343</v>
      </c>
      <c r="B3982" t="s">
        <v>1032</v>
      </c>
      <c r="C3982" t="s">
        <v>789</v>
      </c>
      <c r="D3982">
        <v>0.47</v>
      </c>
      <c r="E3982" t="s">
        <v>790</v>
      </c>
      <c r="F3982" t="s">
        <v>754</v>
      </c>
      <c r="H3982" t="s">
        <v>32</v>
      </c>
      <c r="I3982" s="28" t="s">
        <v>26</v>
      </c>
    </row>
    <row r="3983" spans="1:9" x14ac:dyDescent="0.3">
      <c r="A3983" s="26">
        <v>45343</v>
      </c>
      <c r="B3983" t="s">
        <v>1034</v>
      </c>
      <c r="C3983" t="s">
        <v>753</v>
      </c>
      <c r="D3983">
        <v>0.25</v>
      </c>
      <c r="E3983" t="s">
        <v>234</v>
      </c>
      <c r="F3983" t="s">
        <v>754</v>
      </c>
      <c r="G3983" t="s">
        <v>3582</v>
      </c>
      <c r="H3983" t="s">
        <v>32</v>
      </c>
      <c r="I3983" s="28" t="s">
        <v>26</v>
      </c>
    </row>
    <row r="3984" spans="1:9" x14ac:dyDescent="0.3">
      <c r="A3984" s="26">
        <v>45343</v>
      </c>
      <c r="B3984" t="s">
        <v>1034</v>
      </c>
      <c r="C3984" t="s">
        <v>753</v>
      </c>
      <c r="D3984">
        <v>0.27</v>
      </c>
      <c r="E3984" t="s">
        <v>234</v>
      </c>
      <c r="F3984" t="s">
        <v>754</v>
      </c>
      <c r="G3984" t="s">
        <v>3583</v>
      </c>
      <c r="H3984" t="s">
        <v>32</v>
      </c>
      <c r="I3984" s="28" t="s">
        <v>26</v>
      </c>
    </row>
    <row r="3985" spans="1:9" x14ac:dyDescent="0.3">
      <c r="A3985" s="26">
        <v>45343</v>
      </c>
      <c r="B3985" t="s">
        <v>1034</v>
      </c>
      <c r="C3985" t="s">
        <v>753</v>
      </c>
      <c r="D3985">
        <v>0.4</v>
      </c>
      <c r="E3985" t="s">
        <v>1013</v>
      </c>
      <c r="F3985" t="s">
        <v>754</v>
      </c>
      <c r="G3985" t="s">
        <v>3584</v>
      </c>
      <c r="H3985" t="s">
        <v>32</v>
      </c>
      <c r="I3985" s="28" t="s">
        <v>26</v>
      </c>
    </row>
    <row r="3986" spans="1:9" x14ac:dyDescent="0.3">
      <c r="A3986" s="26">
        <v>45343</v>
      </c>
      <c r="B3986" t="s">
        <v>1034</v>
      </c>
      <c r="C3986" t="s">
        <v>753</v>
      </c>
      <c r="D3986">
        <v>0.56999999999999995</v>
      </c>
      <c r="E3986" t="s">
        <v>1013</v>
      </c>
      <c r="F3986" t="s">
        <v>754</v>
      </c>
      <c r="G3986" t="s">
        <v>3585</v>
      </c>
      <c r="H3986" t="s">
        <v>32</v>
      </c>
      <c r="I3986" s="28" t="s">
        <v>26</v>
      </c>
    </row>
    <row r="3987" spans="1:9" x14ac:dyDescent="0.3">
      <c r="A3987" s="26">
        <v>45343</v>
      </c>
      <c r="B3987" t="s">
        <v>1034</v>
      </c>
      <c r="C3987" t="s">
        <v>753</v>
      </c>
      <c r="D3987">
        <v>0.62</v>
      </c>
      <c r="E3987" t="s">
        <v>690</v>
      </c>
      <c r="F3987" t="s">
        <v>754</v>
      </c>
      <c r="G3987" t="s">
        <v>3586</v>
      </c>
      <c r="H3987" t="s">
        <v>32</v>
      </c>
      <c r="I3987" s="28" t="s">
        <v>26</v>
      </c>
    </row>
    <row r="3988" spans="1:9" x14ac:dyDescent="0.3">
      <c r="A3988" s="26">
        <v>45343</v>
      </c>
      <c r="B3988" t="s">
        <v>1034</v>
      </c>
      <c r="C3988" t="s">
        <v>753</v>
      </c>
      <c r="D3988">
        <v>0.93</v>
      </c>
      <c r="E3988" t="s">
        <v>564</v>
      </c>
      <c r="F3988" t="s">
        <v>754</v>
      </c>
      <c r="G3988" t="s">
        <v>3587</v>
      </c>
      <c r="H3988" t="s">
        <v>32</v>
      </c>
      <c r="I3988" s="28" t="s">
        <v>26</v>
      </c>
    </row>
    <row r="3989" spans="1:9" x14ac:dyDescent="0.3">
      <c r="A3989" s="26">
        <v>45343</v>
      </c>
      <c r="B3989" t="s">
        <v>1034</v>
      </c>
      <c r="C3989" t="s">
        <v>789</v>
      </c>
      <c r="D3989">
        <v>0.95</v>
      </c>
      <c r="E3989" t="s">
        <v>790</v>
      </c>
      <c r="F3989" t="s">
        <v>754</v>
      </c>
      <c r="G3989" t="s">
        <v>3588</v>
      </c>
      <c r="H3989" t="s">
        <v>32</v>
      </c>
      <c r="I3989" s="28" t="s">
        <v>26</v>
      </c>
    </row>
    <row r="3990" spans="1:9" x14ac:dyDescent="0.3">
      <c r="A3990" s="26">
        <v>45343</v>
      </c>
      <c r="B3990" t="s">
        <v>1034</v>
      </c>
      <c r="C3990" t="s">
        <v>771</v>
      </c>
      <c r="D3990">
        <v>0.08</v>
      </c>
      <c r="E3990" t="s">
        <v>7</v>
      </c>
      <c r="F3990" t="s">
        <v>772</v>
      </c>
      <c r="G3990" t="s">
        <v>3589</v>
      </c>
      <c r="H3990" t="s">
        <v>32</v>
      </c>
      <c r="I3990" s="28" t="s">
        <v>26</v>
      </c>
    </row>
    <row r="3991" spans="1:9" x14ac:dyDescent="0.3">
      <c r="A3991" s="26">
        <v>45343</v>
      </c>
      <c r="B3991" t="s">
        <v>1034</v>
      </c>
      <c r="C3991" t="s">
        <v>771</v>
      </c>
      <c r="D3991">
        <v>0.38</v>
      </c>
      <c r="E3991" t="s">
        <v>7</v>
      </c>
      <c r="F3991" t="s">
        <v>772</v>
      </c>
      <c r="G3991" t="s">
        <v>3590</v>
      </c>
      <c r="H3991" t="s">
        <v>32</v>
      </c>
      <c r="I3991" s="28" t="s">
        <v>26</v>
      </c>
    </row>
    <row r="3992" spans="1:9" x14ac:dyDescent="0.3">
      <c r="A3992" s="26">
        <v>45343</v>
      </c>
      <c r="B3992" t="s">
        <v>1034</v>
      </c>
      <c r="C3992" t="s">
        <v>771</v>
      </c>
      <c r="D3992">
        <v>0.5</v>
      </c>
      <c r="E3992" t="s">
        <v>7</v>
      </c>
      <c r="F3992" t="s">
        <v>772</v>
      </c>
      <c r="G3992" t="s">
        <v>820</v>
      </c>
      <c r="H3992" t="s">
        <v>32</v>
      </c>
      <c r="I3992" s="28" t="s">
        <v>26</v>
      </c>
    </row>
    <row r="3993" spans="1:9" x14ac:dyDescent="0.3">
      <c r="A3993" s="26">
        <v>45343</v>
      </c>
      <c r="B3993" t="s">
        <v>1034</v>
      </c>
      <c r="C3993" t="s">
        <v>916</v>
      </c>
      <c r="D3993">
        <v>0.08</v>
      </c>
      <c r="E3993" t="s">
        <v>237</v>
      </c>
      <c r="F3993" t="s">
        <v>754</v>
      </c>
      <c r="G3993" t="s">
        <v>3591</v>
      </c>
      <c r="H3993" t="s">
        <v>32</v>
      </c>
      <c r="I3993" s="28" t="s">
        <v>26</v>
      </c>
    </row>
    <row r="3994" spans="1:9" x14ac:dyDescent="0.3">
      <c r="A3994" s="26">
        <v>45343</v>
      </c>
      <c r="B3994" t="s">
        <v>1034</v>
      </c>
      <c r="C3994" t="s">
        <v>919</v>
      </c>
      <c r="D3994">
        <v>0.18</v>
      </c>
      <c r="E3994" t="s">
        <v>1695</v>
      </c>
      <c r="F3994" t="s">
        <v>754</v>
      </c>
      <c r="G3994" t="s">
        <v>3592</v>
      </c>
      <c r="H3994" t="s">
        <v>32</v>
      </c>
      <c r="I3994" s="28" t="s">
        <v>26</v>
      </c>
    </row>
    <row r="3995" spans="1:9" x14ac:dyDescent="0.3">
      <c r="A3995" s="26">
        <v>45343</v>
      </c>
      <c r="B3995" t="s">
        <v>1034</v>
      </c>
      <c r="C3995" t="s">
        <v>776</v>
      </c>
      <c r="D3995">
        <v>0.2</v>
      </c>
      <c r="E3995" t="s">
        <v>727</v>
      </c>
      <c r="F3995" t="s">
        <v>754</v>
      </c>
      <c r="G3995" t="s">
        <v>1466</v>
      </c>
      <c r="H3995" t="s">
        <v>32</v>
      </c>
      <c r="I3995" s="28" t="s">
        <v>26</v>
      </c>
    </row>
    <row r="3996" spans="1:9" x14ac:dyDescent="0.3">
      <c r="A3996" s="26">
        <v>45343</v>
      </c>
      <c r="B3996" t="s">
        <v>1034</v>
      </c>
      <c r="C3996" t="s">
        <v>776</v>
      </c>
      <c r="D3996">
        <v>0.3</v>
      </c>
      <c r="E3996" t="s">
        <v>790</v>
      </c>
      <c r="F3996" t="s">
        <v>754</v>
      </c>
      <c r="G3996" t="s">
        <v>3593</v>
      </c>
      <c r="H3996" t="s">
        <v>32</v>
      </c>
      <c r="I3996" s="28" t="s">
        <v>26</v>
      </c>
    </row>
    <row r="3997" spans="1:9" x14ac:dyDescent="0.3">
      <c r="A3997" s="26">
        <v>45343</v>
      </c>
      <c r="B3997" t="s">
        <v>1034</v>
      </c>
      <c r="C3997" t="s">
        <v>776</v>
      </c>
      <c r="D3997">
        <v>0.7</v>
      </c>
      <c r="E3997" t="s">
        <v>790</v>
      </c>
      <c r="F3997" t="s">
        <v>754</v>
      </c>
      <c r="G3997" t="s">
        <v>3594</v>
      </c>
      <c r="H3997" t="s">
        <v>32</v>
      </c>
      <c r="I3997" s="28" t="s">
        <v>26</v>
      </c>
    </row>
    <row r="3998" spans="1:9" x14ac:dyDescent="0.3">
      <c r="A3998" s="26">
        <v>45343</v>
      </c>
      <c r="B3998" t="s">
        <v>1034</v>
      </c>
      <c r="C3998" t="s">
        <v>776</v>
      </c>
      <c r="D3998">
        <v>1.62</v>
      </c>
      <c r="E3998" t="s">
        <v>790</v>
      </c>
      <c r="F3998" t="s">
        <v>754</v>
      </c>
      <c r="G3998" t="s">
        <v>1042</v>
      </c>
      <c r="H3998" t="s">
        <v>32</v>
      </c>
      <c r="I3998" s="28" t="s">
        <v>26</v>
      </c>
    </row>
    <row r="3999" spans="1:9" x14ac:dyDescent="0.3">
      <c r="A3999" s="26">
        <v>45343</v>
      </c>
      <c r="B3999" t="s">
        <v>1043</v>
      </c>
      <c r="C3999" t="s">
        <v>826</v>
      </c>
      <c r="D3999">
        <v>0.7</v>
      </c>
      <c r="E3999" t="s">
        <v>964</v>
      </c>
      <c r="F3999" t="s">
        <v>754</v>
      </c>
      <c r="G3999" t="s">
        <v>3595</v>
      </c>
      <c r="H3999" t="s">
        <v>32</v>
      </c>
      <c r="I3999" s="28" t="s">
        <v>26</v>
      </c>
    </row>
    <row r="4000" spans="1:9" x14ac:dyDescent="0.3">
      <c r="A4000" s="26">
        <v>45343</v>
      </c>
      <c r="B4000" t="s">
        <v>1049</v>
      </c>
      <c r="C4000" t="s">
        <v>753</v>
      </c>
      <c r="D4000">
        <v>0.13</v>
      </c>
      <c r="E4000" t="s">
        <v>964</v>
      </c>
      <c r="F4000" t="s">
        <v>754</v>
      </c>
      <c r="G4000" t="s">
        <v>3596</v>
      </c>
      <c r="H4000" t="s">
        <v>32</v>
      </c>
      <c r="I4000" s="28" t="s">
        <v>26</v>
      </c>
    </row>
    <row r="4001" spans="1:9" x14ac:dyDescent="0.3">
      <c r="A4001" s="26">
        <v>45343</v>
      </c>
      <c r="B4001" t="s">
        <v>1049</v>
      </c>
      <c r="C4001" t="s">
        <v>753</v>
      </c>
      <c r="D4001">
        <v>0.15</v>
      </c>
      <c r="E4001" t="s">
        <v>10</v>
      </c>
      <c r="F4001" t="s">
        <v>754</v>
      </c>
      <c r="G4001" t="s">
        <v>3597</v>
      </c>
      <c r="H4001" t="s">
        <v>32</v>
      </c>
      <c r="I4001" s="28" t="s">
        <v>26</v>
      </c>
    </row>
    <row r="4002" spans="1:9" x14ac:dyDescent="0.3">
      <c r="A4002" s="26">
        <v>45343</v>
      </c>
      <c r="B4002" t="s">
        <v>1049</v>
      </c>
      <c r="C4002" t="s">
        <v>753</v>
      </c>
      <c r="D4002">
        <v>0.18</v>
      </c>
      <c r="E4002" t="s">
        <v>562</v>
      </c>
      <c r="F4002" t="s">
        <v>754</v>
      </c>
      <c r="G4002" t="s">
        <v>1906</v>
      </c>
      <c r="H4002" t="s">
        <v>32</v>
      </c>
      <c r="I4002" s="28" t="s">
        <v>26</v>
      </c>
    </row>
    <row r="4003" spans="1:9" x14ac:dyDescent="0.3">
      <c r="A4003" s="26">
        <v>45343</v>
      </c>
      <c r="B4003" t="s">
        <v>1049</v>
      </c>
      <c r="C4003" t="s">
        <v>753</v>
      </c>
      <c r="D4003">
        <v>0.28000000000000003</v>
      </c>
      <c r="E4003" t="s">
        <v>964</v>
      </c>
      <c r="F4003" t="s">
        <v>754</v>
      </c>
      <c r="G4003" t="s">
        <v>1052</v>
      </c>
      <c r="H4003" t="s">
        <v>32</v>
      </c>
      <c r="I4003" s="28" t="s">
        <v>26</v>
      </c>
    </row>
    <row r="4004" spans="1:9" x14ac:dyDescent="0.3">
      <c r="A4004" s="26">
        <v>45343</v>
      </c>
      <c r="B4004" t="s">
        <v>1049</v>
      </c>
      <c r="C4004" t="s">
        <v>753</v>
      </c>
      <c r="D4004">
        <v>0.28000000000000003</v>
      </c>
      <c r="E4004" t="s">
        <v>964</v>
      </c>
      <c r="F4004" t="s">
        <v>754</v>
      </c>
      <c r="G4004" t="s">
        <v>3598</v>
      </c>
      <c r="H4004" t="s">
        <v>32</v>
      </c>
      <c r="I4004" s="28" t="s">
        <v>26</v>
      </c>
    </row>
    <row r="4005" spans="1:9" x14ac:dyDescent="0.3">
      <c r="A4005" s="26">
        <v>45343</v>
      </c>
      <c r="B4005" t="s">
        <v>1049</v>
      </c>
      <c r="C4005" t="s">
        <v>753</v>
      </c>
      <c r="D4005">
        <v>0.62</v>
      </c>
      <c r="E4005" t="s">
        <v>964</v>
      </c>
      <c r="F4005" t="s">
        <v>754</v>
      </c>
      <c r="G4005" t="s">
        <v>3599</v>
      </c>
      <c r="H4005" t="s">
        <v>32</v>
      </c>
      <c r="I4005" s="28" t="s">
        <v>26</v>
      </c>
    </row>
    <row r="4006" spans="1:9" x14ac:dyDescent="0.3">
      <c r="A4006" s="26">
        <v>45343</v>
      </c>
      <c r="B4006" t="s">
        <v>1049</v>
      </c>
      <c r="C4006" t="s">
        <v>753</v>
      </c>
      <c r="D4006">
        <v>0.73</v>
      </c>
      <c r="E4006" t="s">
        <v>964</v>
      </c>
      <c r="F4006" t="s">
        <v>754</v>
      </c>
      <c r="G4006" t="s">
        <v>3600</v>
      </c>
      <c r="H4006" t="s">
        <v>32</v>
      </c>
      <c r="I4006" s="28" t="s">
        <v>26</v>
      </c>
    </row>
    <row r="4007" spans="1:9" x14ac:dyDescent="0.3">
      <c r="A4007" s="26">
        <v>45343</v>
      </c>
      <c r="B4007" t="s">
        <v>1049</v>
      </c>
      <c r="C4007" t="s">
        <v>753</v>
      </c>
      <c r="D4007">
        <v>0.9</v>
      </c>
      <c r="E4007" t="s">
        <v>10</v>
      </c>
      <c r="F4007" t="s">
        <v>754</v>
      </c>
      <c r="G4007" t="s">
        <v>3601</v>
      </c>
      <c r="H4007" t="s">
        <v>32</v>
      </c>
      <c r="I4007" s="28" t="s">
        <v>26</v>
      </c>
    </row>
    <row r="4008" spans="1:9" x14ac:dyDescent="0.3">
      <c r="A4008" s="26">
        <v>45343</v>
      </c>
      <c r="B4008" t="s">
        <v>1049</v>
      </c>
      <c r="C4008" t="s">
        <v>753</v>
      </c>
      <c r="D4008">
        <v>1.23</v>
      </c>
      <c r="E4008" t="s">
        <v>316</v>
      </c>
      <c r="F4008" t="s">
        <v>754</v>
      </c>
      <c r="G4008" t="s">
        <v>3602</v>
      </c>
      <c r="H4008" t="s">
        <v>32</v>
      </c>
      <c r="I4008" s="28" t="s">
        <v>26</v>
      </c>
    </row>
    <row r="4009" spans="1:9" x14ac:dyDescent="0.3">
      <c r="A4009" s="26">
        <v>45343</v>
      </c>
      <c r="B4009" t="s">
        <v>1049</v>
      </c>
      <c r="C4009" t="s">
        <v>771</v>
      </c>
      <c r="D4009">
        <v>0.5</v>
      </c>
      <c r="E4009" t="s">
        <v>7</v>
      </c>
      <c r="F4009" t="s">
        <v>772</v>
      </c>
      <c r="G4009" t="s">
        <v>1058</v>
      </c>
      <c r="H4009" t="s">
        <v>32</v>
      </c>
      <c r="I4009" s="28" t="s">
        <v>26</v>
      </c>
    </row>
    <row r="4010" spans="1:9" x14ac:dyDescent="0.3">
      <c r="A4010" s="26">
        <v>45343</v>
      </c>
      <c r="B4010" t="s">
        <v>1049</v>
      </c>
      <c r="C4010" t="s">
        <v>834</v>
      </c>
      <c r="D4010">
        <v>1.75</v>
      </c>
      <c r="E4010" t="s">
        <v>7</v>
      </c>
      <c r="F4010" t="s">
        <v>772</v>
      </c>
      <c r="G4010" t="s">
        <v>2933</v>
      </c>
      <c r="H4010" t="s">
        <v>32</v>
      </c>
      <c r="I4010" s="28" t="s">
        <v>26</v>
      </c>
    </row>
    <row r="4011" spans="1:9" x14ac:dyDescent="0.3">
      <c r="A4011" s="26">
        <v>45343</v>
      </c>
      <c r="B4011" t="s">
        <v>1049</v>
      </c>
      <c r="C4011" t="s">
        <v>776</v>
      </c>
      <c r="D4011">
        <v>0.05</v>
      </c>
      <c r="E4011" t="s">
        <v>1069</v>
      </c>
      <c r="F4011" t="s">
        <v>754</v>
      </c>
      <c r="G4011" t="s">
        <v>1916</v>
      </c>
      <c r="H4011" t="s">
        <v>32</v>
      </c>
      <c r="I4011" s="28" t="s">
        <v>26</v>
      </c>
    </row>
    <row r="4012" spans="1:9" x14ac:dyDescent="0.3">
      <c r="A4012" s="26">
        <v>45343</v>
      </c>
      <c r="B4012" t="s">
        <v>1049</v>
      </c>
      <c r="C4012" t="s">
        <v>776</v>
      </c>
      <c r="D4012">
        <v>0.1</v>
      </c>
      <c r="E4012" t="s">
        <v>811</v>
      </c>
      <c r="F4012" t="s">
        <v>754</v>
      </c>
      <c r="G4012" t="s">
        <v>1916</v>
      </c>
      <c r="H4012" t="s">
        <v>32</v>
      </c>
      <c r="I4012" s="28" t="s">
        <v>26</v>
      </c>
    </row>
    <row r="4013" spans="1:9" x14ac:dyDescent="0.3">
      <c r="A4013" s="26">
        <v>45343</v>
      </c>
      <c r="B4013" t="s">
        <v>1049</v>
      </c>
      <c r="C4013" t="s">
        <v>776</v>
      </c>
      <c r="D4013">
        <v>0.18</v>
      </c>
      <c r="E4013" t="s">
        <v>813</v>
      </c>
      <c r="F4013" t="s">
        <v>754</v>
      </c>
      <c r="G4013" t="s">
        <v>3603</v>
      </c>
      <c r="H4013" t="s">
        <v>32</v>
      </c>
      <c r="I4013" s="28" t="s">
        <v>26</v>
      </c>
    </row>
    <row r="4014" spans="1:9" x14ac:dyDescent="0.3">
      <c r="A4014" s="26">
        <v>45343</v>
      </c>
      <c r="B4014" t="s">
        <v>1049</v>
      </c>
      <c r="C4014" t="s">
        <v>776</v>
      </c>
      <c r="D4014">
        <v>0.22</v>
      </c>
      <c r="E4014" t="s">
        <v>813</v>
      </c>
      <c r="F4014" t="s">
        <v>754</v>
      </c>
      <c r="G4014" t="s">
        <v>3604</v>
      </c>
      <c r="H4014" t="s">
        <v>32</v>
      </c>
      <c r="I4014" s="28" t="s">
        <v>26</v>
      </c>
    </row>
    <row r="4015" spans="1:9" x14ac:dyDescent="0.3">
      <c r="A4015" s="26">
        <v>45343</v>
      </c>
      <c r="B4015" t="s">
        <v>1049</v>
      </c>
      <c r="C4015" t="s">
        <v>776</v>
      </c>
      <c r="D4015">
        <v>0.27</v>
      </c>
      <c r="E4015" t="s">
        <v>811</v>
      </c>
      <c r="F4015" t="s">
        <v>754</v>
      </c>
      <c r="G4015" t="s">
        <v>3603</v>
      </c>
      <c r="H4015" t="s">
        <v>32</v>
      </c>
      <c r="I4015" s="28" t="s">
        <v>26</v>
      </c>
    </row>
    <row r="4016" spans="1:9" x14ac:dyDescent="0.3">
      <c r="A4016" s="26">
        <v>45343</v>
      </c>
      <c r="B4016" t="s">
        <v>1049</v>
      </c>
      <c r="C4016" t="s">
        <v>776</v>
      </c>
      <c r="D4016">
        <v>0.33</v>
      </c>
      <c r="E4016" t="s">
        <v>813</v>
      </c>
      <c r="F4016" t="s">
        <v>754</v>
      </c>
      <c r="G4016" t="s">
        <v>3605</v>
      </c>
      <c r="H4016" t="s">
        <v>32</v>
      </c>
      <c r="I4016" s="28" t="s">
        <v>26</v>
      </c>
    </row>
    <row r="4017" spans="1:9" x14ac:dyDescent="0.3">
      <c r="A4017" s="26">
        <v>45343</v>
      </c>
      <c r="B4017" t="s">
        <v>1049</v>
      </c>
      <c r="C4017" t="s">
        <v>1278</v>
      </c>
      <c r="D4017">
        <v>0.12</v>
      </c>
      <c r="E4017" t="s">
        <v>562</v>
      </c>
      <c r="F4017" t="s">
        <v>754</v>
      </c>
      <c r="G4017" t="s">
        <v>1466</v>
      </c>
      <c r="H4017" t="s">
        <v>32</v>
      </c>
      <c r="I4017" s="28" t="s">
        <v>26</v>
      </c>
    </row>
    <row r="4018" spans="1:9" x14ac:dyDescent="0.3">
      <c r="A4018" s="26">
        <v>45343</v>
      </c>
      <c r="B4018" t="s">
        <v>1060</v>
      </c>
      <c r="C4018" t="s">
        <v>909</v>
      </c>
      <c r="D4018">
        <v>0.33</v>
      </c>
      <c r="E4018" t="s">
        <v>1543</v>
      </c>
      <c r="F4018" t="s">
        <v>754</v>
      </c>
      <c r="G4018" t="s">
        <v>1071</v>
      </c>
      <c r="H4018" t="s">
        <v>32</v>
      </c>
      <c r="I4018" s="28" t="s">
        <v>26</v>
      </c>
    </row>
    <row r="4019" spans="1:9" x14ac:dyDescent="0.3">
      <c r="A4019" s="26">
        <v>45343</v>
      </c>
      <c r="B4019" t="s">
        <v>1060</v>
      </c>
      <c r="C4019" t="s">
        <v>909</v>
      </c>
      <c r="D4019">
        <v>0.33</v>
      </c>
      <c r="E4019" t="s">
        <v>210</v>
      </c>
      <c r="F4019" t="s">
        <v>754</v>
      </c>
      <c r="G4019" t="s">
        <v>1071</v>
      </c>
      <c r="H4019" t="s">
        <v>32</v>
      </c>
      <c r="I4019" s="28" t="s">
        <v>26</v>
      </c>
    </row>
    <row r="4020" spans="1:9" x14ac:dyDescent="0.3">
      <c r="A4020" s="26">
        <v>45343</v>
      </c>
      <c r="B4020" t="s">
        <v>1060</v>
      </c>
      <c r="C4020" t="s">
        <v>909</v>
      </c>
      <c r="D4020">
        <v>0.5</v>
      </c>
      <c r="E4020" t="s">
        <v>375</v>
      </c>
      <c r="F4020" t="s">
        <v>754</v>
      </c>
      <c r="G4020" t="s">
        <v>3606</v>
      </c>
      <c r="H4020" t="s">
        <v>32</v>
      </c>
      <c r="I4020" s="28" t="s">
        <v>26</v>
      </c>
    </row>
    <row r="4021" spans="1:9" x14ac:dyDescent="0.3">
      <c r="A4021" s="26">
        <v>45343</v>
      </c>
      <c r="B4021" t="s">
        <v>1060</v>
      </c>
      <c r="C4021" t="s">
        <v>909</v>
      </c>
      <c r="D4021">
        <v>0.5</v>
      </c>
      <c r="E4021" t="s">
        <v>623</v>
      </c>
      <c r="F4021" t="s">
        <v>754</v>
      </c>
      <c r="G4021" t="s">
        <v>3607</v>
      </c>
      <c r="H4021" t="s">
        <v>32</v>
      </c>
      <c r="I4021" s="28" t="s">
        <v>26</v>
      </c>
    </row>
    <row r="4022" spans="1:9" x14ac:dyDescent="0.3">
      <c r="A4022" s="26">
        <v>45343</v>
      </c>
      <c r="B4022" t="s">
        <v>1060</v>
      </c>
      <c r="C4022" t="s">
        <v>771</v>
      </c>
      <c r="D4022">
        <v>0.5</v>
      </c>
      <c r="E4022" t="s">
        <v>7</v>
      </c>
      <c r="F4022" t="s">
        <v>772</v>
      </c>
      <c r="G4022" t="s">
        <v>3608</v>
      </c>
      <c r="H4022" t="s">
        <v>32</v>
      </c>
      <c r="I4022" s="28" t="s">
        <v>26</v>
      </c>
    </row>
    <row r="4023" spans="1:9" x14ac:dyDescent="0.3">
      <c r="A4023" s="26">
        <v>45343</v>
      </c>
      <c r="B4023" t="s">
        <v>1060</v>
      </c>
      <c r="C4023" t="s">
        <v>771</v>
      </c>
      <c r="D4023">
        <v>0.5</v>
      </c>
      <c r="E4023" t="s">
        <v>7</v>
      </c>
      <c r="F4023" t="s">
        <v>772</v>
      </c>
      <c r="G4023" t="s">
        <v>3609</v>
      </c>
      <c r="H4023" t="s">
        <v>32</v>
      </c>
      <c r="I4023" s="28" t="s">
        <v>26</v>
      </c>
    </row>
    <row r="4024" spans="1:9" x14ac:dyDescent="0.3">
      <c r="A4024" s="26">
        <v>45343</v>
      </c>
      <c r="B4024" t="s">
        <v>1060</v>
      </c>
      <c r="C4024" t="s">
        <v>771</v>
      </c>
      <c r="D4024">
        <v>1</v>
      </c>
      <c r="E4024" t="s">
        <v>7</v>
      </c>
      <c r="F4024" t="s">
        <v>772</v>
      </c>
      <c r="G4024" t="s">
        <v>3610</v>
      </c>
      <c r="H4024" t="s">
        <v>32</v>
      </c>
      <c r="I4024" s="28" t="s">
        <v>26</v>
      </c>
    </row>
    <row r="4025" spans="1:9" x14ac:dyDescent="0.3">
      <c r="A4025" s="26">
        <v>45343</v>
      </c>
      <c r="B4025" t="s">
        <v>1060</v>
      </c>
      <c r="C4025" t="s">
        <v>771</v>
      </c>
      <c r="D4025">
        <v>1.5</v>
      </c>
      <c r="E4025" t="s">
        <v>7</v>
      </c>
      <c r="F4025" t="s">
        <v>772</v>
      </c>
      <c r="G4025" t="s">
        <v>3611</v>
      </c>
      <c r="H4025" t="s">
        <v>32</v>
      </c>
      <c r="I4025" s="28" t="s">
        <v>26</v>
      </c>
    </row>
    <row r="4026" spans="1:9" x14ac:dyDescent="0.3">
      <c r="A4026" s="26">
        <v>45343</v>
      </c>
      <c r="B4026" t="s">
        <v>1060</v>
      </c>
      <c r="C4026" t="s">
        <v>771</v>
      </c>
      <c r="D4026">
        <v>1.5</v>
      </c>
      <c r="E4026" t="s">
        <v>7</v>
      </c>
      <c r="F4026" t="s">
        <v>772</v>
      </c>
      <c r="G4026" t="s">
        <v>3612</v>
      </c>
      <c r="H4026" t="s">
        <v>32</v>
      </c>
      <c r="I4026" s="28" t="s">
        <v>26</v>
      </c>
    </row>
    <row r="4027" spans="1:9" x14ac:dyDescent="0.3">
      <c r="A4027" s="26">
        <v>45343</v>
      </c>
      <c r="B4027" t="s">
        <v>1060</v>
      </c>
      <c r="C4027" t="s">
        <v>916</v>
      </c>
      <c r="D4027">
        <v>0.33</v>
      </c>
      <c r="E4027" t="s">
        <v>813</v>
      </c>
      <c r="F4027" t="s">
        <v>754</v>
      </c>
      <c r="G4027" t="s">
        <v>1071</v>
      </c>
      <c r="H4027" t="s">
        <v>32</v>
      </c>
      <c r="I4027" s="28" t="s">
        <v>26</v>
      </c>
    </row>
    <row r="4028" spans="1:9" x14ac:dyDescent="0.3">
      <c r="A4028" s="26">
        <v>45343</v>
      </c>
      <c r="B4028" t="s">
        <v>1060</v>
      </c>
      <c r="C4028" t="s">
        <v>916</v>
      </c>
      <c r="D4028">
        <v>0.33</v>
      </c>
      <c r="E4028" t="s">
        <v>3357</v>
      </c>
      <c r="F4028" t="s">
        <v>754</v>
      </c>
      <c r="G4028" t="s">
        <v>1071</v>
      </c>
      <c r="H4028" t="s">
        <v>32</v>
      </c>
      <c r="I4028" s="28" t="s">
        <v>26</v>
      </c>
    </row>
    <row r="4029" spans="1:9" x14ac:dyDescent="0.3">
      <c r="A4029" s="26">
        <v>45343</v>
      </c>
      <c r="B4029" t="s">
        <v>1060</v>
      </c>
      <c r="C4029" t="s">
        <v>916</v>
      </c>
      <c r="D4029">
        <v>0.33</v>
      </c>
      <c r="E4029" t="s">
        <v>632</v>
      </c>
      <c r="F4029" t="s">
        <v>754</v>
      </c>
      <c r="G4029" t="s">
        <v>1071</v>
      </c>
      <c r="H4029" t="s">
        <v>32</v>
      </c>
      <c r="I4029" s="28" t="s">
        <v>26</v>
      </c>
    </row>
    <row r="4030" spans="1:9" x14ac:dyDescent="0.3">
      <c r="A4030" s="26">
        <v>45343</v>
      </c>
      <c r="B4030" t="s">
        <v>2945</v>
      </c>
      <c r="C4030" t="s">
        <v>771</v>
      </c>
      <c r="D4030">
        <v>8.1</v>
      </c>
      <c r="E4030" t="s">
        <v>7</v>
      </c>
      <c r="F4030" t="s">
        <v>772</v>
      </c>
      <c r="G4030" t="s">
        <v>3613</v>
      </c>
      <c r="H4030" t="s">
        <v>32</v>
      </c>
      <c r="I4030" s="28" t="s">
        <v>26</v>
      </c>
    </row>
    <row r="4031" spans="1:9" x14ac:dyDescent="0.3">
      <c r="A4031" s="26">
        <v>45343</v>
      </c>
      <c r="B4031" t="s">
        <v>1074</v>
      </c>
      <c r="C4031" t="s">
        <v>753</v>
      </c>
      <c r="D4031">
        <v>0.3</v>
      </c>
      <c r="E4031" t="s">
        <v>964</v>
      </c>
      <c r="F4031" t="s">
        <v>754</v>
      </c>
      <c r="G4031" t="s">
        <v>3614</v>
      </c>
      <c r="H4031" t="s">
        <v>32</v>
      </c>
      <c r="I4031" s="28" t="s">
        <v>26</v>
      </c>
    </row>
    <row r="4032" spans="1:9" x14ac:dyDescent="0.3">
      <c r="A4032" s="26">
        <v>45343</v>
      </c>
      <c r="B4032" t="s">
        <v>1074</v>
      </c>
      <c r="C4032" t="s">
        <v>753</v>
      </c>
      <c r="D4032">
        <v>0.4</v>
      </c>
      <c r="E4032" t="s">
        <v>964</v>
      </c>
      <c r="F4032" t="s">
        <v>754</v>
      </c>
      <c r="G4032" t="s">
        <v>3615</v>
      </c>
      <c r="H4032" t="s">
        <v>32</v>
      </c>
      <c r="I4032" s="28" t="s">
        <v>26</v>
      </c>
    </row>
    <row r="4033" spans="1:9" x14ac:dyDescent="0.3">
      <c r="A4033" s="26">
        <v>45343</v>
      </c>
      <c r="B4033" t="s">
        <v>1074</v>
      </c>
      <c r="C4033" t="s">
        <v>753</v>
      </c>
      <c r="D4033">
        <v>0.4</v>
      </c>
      <c r="E4033" t="s">
        <v>561</v>
      </c>
      <c r="F4033" t="s">
        <v>754</v>
      </c>
      <c r="G4033" t="s">
        <v>3616</v>
      </c>
      <c r="H4033" t="s">
        <v>32</v>
      </c>
      <c r="I4033" s="28" t="s">
        <v>26</v>
      </c>
    </row>
    <row r="4034" spans="1:9" x14ac:dyDescent="0.3">
      <c r="A4034" s="26">
        <v>45343</v>
      </c>
      <c r="B4034" t="s">
        <v>1074</v>
      </c>
      <c r="C4034" t="s">
        <v>753</v>
      </c>
      <c r="D4034">
        <v>0.5</v>
      </c>
      <c r="E4034" t="s">
        <v>964</v>
      </c>
      <c r="F4034" t="s">
        <v>754</v>
      </c>
      <c r="G4034" t="s">
        <v>3617</v>
      </c>
      <c r="H4034" t="s">
        <v>32</v>
      </c>
      <c r="I4034" s="28" t="s">
        <v>26</v>
      </c>
    </row>
    <row r="4035" spans="1:9" x14ac:dyDescent="0.3">
      <c r="A4035" s="26">
        <v>45343</v>
      </c>
      <c r="B4035" t="s">
        <v>1074</v>
      </c>
      <c r="C4035" t="s">
        <v>753</v>
      </c>
      <c r="D4035">
        <v>0.5</v>
      </c>
      <c r="E4035" t="s">
        <v>964</v>
      </c>
      <c r="F4035" t="s">
        <v>754</v>
      </c>
      <c r="G4035" t="s">
        <v>3618</v>
      </c>
      <c r="H4035" t="s">
        <v>32</v>
      </c>
      <c r="I4035" s="28" t="s">
        <v>26</v>
      </c>
    </row>
    <row r="4036" spans="1:9" x14ac:dyDescent="0.3">
      <c r="A4036" s="26">
        <v>45343</v>
      </c>
      <c r="B4036" t="s">
        <v>1074</v>
      </c>
      <c r="C4036" t="s">
        <v>753</v>
      </c>
      <c r="D4036">
        <v>0.7</v>
      </c>
      <c r="E4036" t="s">
        <v>964</v>
      </c>
      <c r="F4036" t="s">
        <v>754</v>
      </c>
      <c r="G4036" t="s">
        <v>3619</v>
      </c>
      <c r="H4036" t="s">
        <v>32</v>
      </c>
      <c r="I4036" s="28" t="s">
        <v>26</v>
      </c>
    </row>
    <row r="4037" spans="1:9" x14ac:dyDescent="0.3">
      <c r="A4037" s="26">
        <v>45343</v>
      </c>
      <c r="B4037" t="s">
        <v>1074</v>
      </c>
      <c r="C4037" t="s">
        <v>909</v>
      </c>
      <c r="D4037">
        <v>1.5</v>
      </c>
      <c r="E4037" t="s">
        <v>964</v>
      </c>
      <c r="F4037" t="s">
        <v>754</v>
      </c>
      <c r="G4037" t="s">
        <v>2400</v>
      </c>
      <c r="H4037" t="s">
        <v>32</v>
      </c>
      <c r="I4037" s="28" t="s">
        <v>26</v>
      </c>
    </row>
    <row r="4038" spans="1:9" x14ac:dyDescent="0.3">
      <c r="A4038" s="26">
        <v>45343</v>
      </c>
      <c r="B4038" t="s">
        <v>1074</v>
      </c>
      <c r="C4038" t="s">
        <v>1973</v>
      </c>
      <c r="D4038">
        <v>0.8</v>
      </c>
      <c r="E4038" t="s">
        <v>336</v>
      </c>
      <c r="F4038" t="s">
        <v>754</v>
      </c>
      <c r="G4038" t="s">
        <v>3620</v>
      </c>
      <c r="H4038" t="s">
        <v>32</v>
      </c>
      <c r="I4038" s="28" t="s">
        <v>26</v>
      </c>
    </row>
    <row r="4039" spans="1:9" x14ac:dyDescent="0.3">
      <c r="A4039" s="26">
        <v>45343</v>
      </c>
      <c r="B4039" t="s">
        <v>1074</v>
      </c>
      <c r="C4039" t="s">
        <v>771</v>
      </c>
      <c r="D4039">
        <v>0.6</v>
      </c>
      <c r="E4039" t="s">
        <v>7</v>
      </c>
      <c r="F4039" t="s">
        <v>772</v>
      </c>
      <c r="H4039" t="s">
        <v>32</v>
      </c>
      <c r="I4039" s="28" t="s">
        <v>26</v>
      </c>
    </row>
    <row r="4040" spans="1:9" x14ac:dyDescent="0.3">
      <c r="A4040" s="26">
        <v>45343</v>
      </c>
      <c r="B4040" t="s">
        <v>1074</v>
      </c>
      <c r="C4040" t="s">
        <v>835</v>
      </c>
      <c r="D4040">
        <v>1.3</v>
      </c>
      <c r="E4040" t="s">
        <v>964</v>
      </c>
      <c r="F4040" t="s">
        <v>754</v>
      </c>
      <c r="G4040" t="s">
        <v>3621</v>
      </c>
      <c r="H4040" t="s">
        <v>32</v>
      </c>
      <c r="I4040" s="28" t="s">
        <v>26</v>
      </c>
    </row>
    <row r="4041" spans="1:9" x14ac:dyDescent="0.3">
      <c r="A4041" s="26">
        <v>45343</v>
      </c>
      <c r="B4041" t="s">
        <v>1074</v>
      </c>
      <c r="C4041" t="s">
        <v>919</v>
      </c>
      <c r="D4041">
        <v>0.8</v>
      </c>
      <c r="E4041" t="s">
        <v>964</v>
      </c>
      <c r="F4041" t="s">
        <v>754</v>
      </c>
      <c r="G4041" t="s">
        <v>3622</v>
      </c>
      <c r="H4041" t="s">
        <v>32</v>
      </c>
      <c r="I4041" s="28" t="s">
        <v>26</v>
      </c>
    </row>
    <row r="4042" spans="1:9" x14ac:dyDescent="0.3">
      <c r="A4042" s="26">
        <v>45343</v>
      </c>
      <c r="B4042" t="s">
        <v>1505</v>
      </c>
      <c r="C4042" t="s">
        <v>802</v>
      </c>
      <c r="D4042">
        <v>2</v>
      </c>
      <c r="E4042" t="s">
        <v>7</v>
      </c>
      <c r="F4042" t="s">
        <v>772</v>
      </c>
      <c r="G4042" t="s">
        <v>1506</v>
      </c>
      <c r="H4042" t="s">
        <v>32</v>
      </c>
      <c r="I4042" s="28" t="s">
        <v>26</v>
      </c>
    </row>
    <row r="4043" spans="1:9" x14ac:dyDescent="0.3">
      <c r="A4043" s="26">
        <v>45343</v>
      </c>
      <c r="B4043" t="s">
        <v>1081</v>
      </c>
      <c r="C4043" t="s">
        <v>771</v>
      </c>
      <c r="D4043">
        <v>2</v>
      </c>
      <c r="E4043" t="s">
        <v>7</v>
      </c>
      <c r="F4043" t="s">
        <v>772</v>
      </c>
      <c r="G4043" t="e">
        <f>- identify pending and ongoing HR tasks</f>
        <v>#NAME?</v>
      </c>
      <c r="H4043" t="s">
        <v>32</v>
      </c>
      <c r="I4043" s="28" t="s">
        <v>26</v>
      </c>
    </row>
    <row r="4044" spans="1:9" x14ac:dyDescent="0.3">
      <c r="A4044" s="26">
        <v>45343</v>
      </c>
      <c r="B4044" t="s">
        <v>1081</v>
      </c>
      <c r="C4044" t="s">
        <v>942</v>
      </c>
      <c r="D4044">
        <v>3.5</v>
      </c>
      <c r="E4044" t="s">
        <v>7</v>
      </c>
      <c r="F4044" t="s">
        <v>772</v>
      </c>
      <c r="G4044" t="e">
        <f>- Resume Screening - phone interview</f>
        <v>#NAME?</v>
      </c>
      <c r="H4044" t="s">
        <v>32</v>
      </c>
      <c r="I4044" s="28" t="s">
        <v>26</v>
      </c>
    </row>
    <row r="4045" spans="1:9" x14ac:dyDescent="0.3">
      <c r="A4045" s="26">
        <v>45343</v>
      </c>
      <c r="B4045" t="s">
        <v>1081</v>
      </c>
      <c r="C4045" t="s">
        <v>874</v>
      </c>
      <c r="D4045">
        <v>0.5</v>
      </c>
      <c r="E4045" t="s">
        <v>7</v>
      </c>
      <c r="F4045" t="s">
        <v>772</v>
      </c>
      <c r="G4045" t="e">
        <f>- Exit interview with Kim</f>
        <v>#NAME?</v>
      </c>
      <c r="H4045" t="s">
        <v>32</v>
      </c>
      <c r="I4045" s="28" t="s">
        <v>26</v>
      </c>
    </row>
    <row r="4046" spans="1:9" x14ac:dyDescent="0.3">
      <c r="A4046" s="26">
        <v>45343</v>
      </c>
      <c r="B4046" t="s">
        <v>1081</v>
      </c>
      <c r="C4046" t="s">
        <v>874</v>
      </c>
      <c r="D4046">
        <v>1</v>
      </c>
      <c r="E4046" t="s">
        <v>7</v>
      </c>
      <c r="F4046" t="s">
        <v>772</v>
      </c>
      <c r="G4046" t="e">
        <f>- catch up with Ali</f>
        <v>#NAME?</v>
      </c>
      <c r="H4046" t="s">
        <v>32</v>
      </c>
      <c r="I4046" s="28" t="s">
        <v>26</v>
      </c>
    </row>
    <row r="4047" spans="1:9" x14ac:dyDescent="0.3">
      <c r="A4047" s="26">
        <v>45343</v>
      </c>
      <c r="B4047" t="s">
        <v>1081</v>
      </c>
      <c r="C4047" t="s">
        <v>874</v>
      </c>
      <c r="D4047">
        <v>1</v>
      </c>
      <c r="E4047" t="s">
        <v>7</v>
      </c>
      <c r="F4047" t="s">
        <v>772</v>
      </c>
      <c r="G4047" t="e">
        <f>- check with Bern the previous comms re Intellicare deletion of members</f>
        <v>#NAME?</v>
      </c>
      <c r="H4047" t="s">
        <v>32</v>
      </c>
      <c r="I4047" s="28" t="s">
        <v>26</v>
      </c>
    </row>
    <row r="4048" spans="1:9" x14ac:dyDescent="0.3">
      <c r="A4048" s="26">
        <v>45344</v>
      </c>
      <c r="B4048" t="s">
        <v>752</v>
      </c>
      <c r="C4048" t="s">
        <v>753</v>
      </c>
      <c r="D4048">
        <v>0.05</v>
      </c>
      <c r="E4048" t="s">
        <v>373</v>
      </c>
      <c r="F4048" t="s">
        <v>754</v>
      </c>
      <c r="G4048" t="s">
        <v>755</v>
      </c>
      <c r="H4048" t="s">
        <v>32</v>
      </c>
      <c r="I4048" s="28" t="s">
        <v>27</v>
      </c>
    </row>
    <row r="4049" spans="1:9" x14ac:dyDescent="0.3">
      <c r="A4049" s="26">
        <v>45344</v>
      </c>
      <c r="B4049" t="s">
        <v>752</v>
      </c>
      <c r="C4049" t="s">
        <v>753</v>
      </c>
      <c r="D4049">
        <v>7.0000000000000007E-2</v>
      </c>
      <c r="E4049" t="s">
        <v>1084</v>
      </c>
      <c r="F4049" t="s">
        <v>754</v>
      </c>
      <c r="G4049" t="s">
        <v>769</v>
      </c>
      <c r="H4049" t="s">
        <v>32</v>
      </c>
      <c r="I4049" s="28" t="s">
        <v>27</v>
      </c>
    </row>
    <row r="4050" spans="1:9" x14ac:dyDescent="0.3">
      <c r="A4050" s="26">
        <v>45344</v>
      </c>
      <c r="B4050" t="s">
        <v>752</v>
      </c>
      <c r="C4050" t="s">
        <v>753</v>
      </c>
      <c r="D4050">
        <v>0.1</v>
      </c>
      <c r="E4050" t="s">
        <v>664</v>
      </c>
      <c r="F4050" t="s">
        <v>754</v>
      </c>
      <c r="G4050" t="s">
        <v>755</v>
      </c>
      <c r="H4050" t="s">
        <v>32</v>
      </c>
      <c r="I4050" s="28" t="s">
        <v>27</v>
      </c>
    </row>
    <row r="4051" spans="1:9" x14ac:dyDescent="0.3">
      <c r="A4051" s="26">
        <v>45344</v>
      </c>
      <c r="B4051" t="s">
        <v>752</v>
      </c>
      <c r="C4051" t="s">
        <v>753</v>
      </c>
      <c r="D4051">
        <v>0.13</v>
      </c>
      <c r="E4051" t="s">
        <v>664</v>
      </c>
      <c r="F4051" t="s">
        <v>754</v>
      </c>
      <c r="G4051" t="s">
        <v>760</v>
      </c>
      <c r="H4051" t="s">
        <v>32</v>
      </c>
      <c r="I4051" s="28" t="s">
        <v>27</v>
      </c>
    </row>
    <row r="4052" spans="1:9" x14ac:dyDescent="0.3">
      <c r="A4052" s="26">
        <v>45344</v>
      </c>
      <c r="B4052" t="s">
        <v>752</v>
      </c>
      <c r="C4052" t="s">
        <v>753</v>
      </c>
      <c r="D4052">
        <v>0.13</v>
      </c>
      <c r="E4052" t="s">
        <v>664</v>
      </c>
      <c r="F4052" t="s">
        <v>754</v>
      </c>
      <c r="G4052" t="s">
        <v>2404</v>
      </c>
      <c r="H4052" t="s">
        <v>32</v>
      </c>
      <c r="I4052" s="28" t="s">
        <v>27</v>
      </c>
    </row>
    <row r="4053" spans="1:9" x14ac:dyDescent="0.3">
      <c r="A4053" s="26">
        <v>45344</v>
      </c>
      <c r="B4053" t="s">
        <v>752</v>
      </c>
      <c r="C4053" t="s">
        <v>753</v>
      </c>
      <c r="D4053">
        <v>0.17</v>
      </c>
      <c r="E4053" t="s">
        <v>561</v>
      </c>
      <c r="F4053" t="s">
        <v>754</v>
      </c>
      <c r="G4053" t="s">
        <v>758</v>
      </c>
      <c r="H4053" t="s">
        <v>32</v>
      </c>
      <c r="I4053" s="28" t="s">
        <v>27</v>
      </c>
    </row>
    <row r="4054" spans="1:9" x14ac:dyDescent="0.3">
      <c r="A4054" s="26">
        <v>45344</v>
      </c>
      <c r="B4054" t="s">
        <v>752</v>
      </c>
      <c r="C4054" t="s">
        <v>753</v>
      </c>
      <c r="D4054">
        <v>0.3</v>
      </c>
      <c r="E4054" t="s">
        <v>757</v>
      </c>
      <c r="F4054" t="s">
        <v>754</v>
      </c>
      <c r="G4054" t="s">
        <v>3623</v>
      </c>
      <c r="H4054" t="s">
        <v>32</v>
      </c>
      <c r="I4054" s="28" t="s">
        <v>27</v>
      </c>
    </row>
    <row r="4055" spans="1:9" x14ac:dyDescent="0.3">
      <c r="A4055" s="26">
        <v>45344</v>
      </c>
      <c r="B4055" t="s">
        <v>752</v>
      </c>
      <c r="C4055" t="s">
        <v>753</v>
      </c>
      <c r="D4055">
        <v>0.33</v>
      </c>
      <c r="E4055" t="s">
        <v>767</v>
      </c>
      <c r="F4055" t="s">
        <v>754</v>
      </c>
      <c r="G4055" t="s">
        <v>765</v>
      </c>
      <c r="H4055" t="s">
        <v>32</v>
      </c>
      <c r="I4055" s="28" t="s">
        <v>27</v>
      </c>
    </row>
    <row r="4056" spans="1:9" x14ac:dyDescent="0.3">
      <c r="A4056" s="26">
        <v>45344</v>
      </c>
      <c r="B4056" t="s">
        <v>752</v>
      </c>
      <c r="C4056" t="s">
        <v>753</v>
      </c>
      <c r="D4056">
        <v>0.4</v>
      </c>
      <c r="E4056" t="s">
        <v>561</v>
      </c>
      <c r="F4056" t="s">
        <v>754</v>
      </c>
      <c r="G4056" t="s">
        <v>769</v>
      </c>
      <c r="H4056" t="s">
        <v>32</v>
      </c>
      <c r="I4056" s="28" t="s">
        <v>27</v>
      </c>
    </row>
    <row r="4057" spans="1:9" x14ac:dyDescent="0.3">
      <c r="A4057" s="26">
        <v>45344</v>
      </c>
      <c r="B4057" t="s">
        <v>752</v>
      </c>
      <c r="C4057" t="s">
        <v>753</v>
      </c>
      <c r="D4057">
        <v>0.43</v>
      </c>
      <c r="E4057" t="s">
        <v>561</v>
      </c>
      <c r="F4057" t="s">
        <v>754</v>
      </c>
      <c r="G4057" t="s">
        <v>3624</v>
      </c>
      <c r="H4057" t="s">
        <v>32</v>
      </c>
      <c r="I4057" s="28" t="s">
        <v>27</v>
      </c>
    </row>
    <row r="4058" spans="1:9" x14ac:dyDescent="0.3">
      <c r="A4058" s="26">
        <v>45344</v>
      </c>
      <c r="B4058" t="s">
        <v>752</v>
      </c>
      <c r="C4058" t="s">
        <v>753</v>
      </c>
      <c r="D4058">
        <v>0.48</v>
      </c>
      <c r="E4058" t="s">
        <v>770</v>
      </c>
      <c r="F4058" t="s">
        <v>754</v>
      </c>
      <c r="G4058" t="s">
        <v>765</v>
      </c>
      <c r="H4058" t="s">
        <v>32</v>
      </c>
      <c r="I4058" s="28" t="s">
        <v>27</v>
      </c>
    </row>
    <row r="4059" spans="1:9" x14ac:dyDescent="0.3">
      <c r="A4059" s="26">
        <v>45344</v>
      </c>
      <c r="B4059" t="s">
        <v>752</v>
      </c>
      <c r="C4059" t="s">
        <v>753</v>
      </c>
      <c r="D4059">
        <v>0.7</v>
      </c>
      <c r="E4059" t="s">
        <v>602</v>
      </c>
      <c r="F4059" t="s">
        <v>754</v>
      </c>
      <c r="G4059" t="s">
        <v>766</v>
      </c>
      <c r="H4059" t="s">
        <v>32</v>
      </c>
      <c r="I4059" s="28" t="s">
        <v>27</v>
      </c>
    </row>
    <row r="4060" spans="1:9" x14ac:dyDescent="0.3">
      <c r="A4060" s="26">
        <v>45344</v>
      </c>
      <c r="B4060" t="s">
        <v>752</v>
      </c>
      <c r="C4060" t="s">
        <v>753</v>
      </c>
      <c r="D4060">
        <v>1.17</v>
      </c>
      <c r="E4060" t="s">
        <v>430</v>
      </c>
      <c r="F4060" t="s">
        <v>754</v>
      </c>
      <c r="G4060" t="s">
        <v>769</v>
      </c>
      <c r="H4060" t="s">
        <v>32</v>
      </c>
      <c r="I4060" s="28" t="s">
        <v>27</v>
      </c>
    </row>
    <row r="4061" spans="1:9" x14ac:dyDescent="0.3">
      <c r="A4061" s="26">
        <v>45344</v>
      </c>
      <c r="B4061" t="s">
        <v>752</v>
      </c>
      <c r="C4061" t="s">
        <v>753</v>
      </c>
      <c r="D4061">
        <v>1.2</v>
      </c>
      <c r="E4061" t="s">
        <v>430</v>
      </c>
      <c r="F4061" t="s">
        <v>754</v>
      </c>
      <c r="G4061" t="s">
        <v>766</v>
      </c>
      <c r="H4061" t="s">
        <v>32</v>
      </c>
      <c r="I4061" s="28" t="s">
        <v>27</v>
      </c>
    </row>
    <row r="4062" spans="1:9" x14ac:dyDescent="0.3">
      <c r="A4062" s="26">
        <v>45344</v>
      </c>
      <c r="B4062" t="s">
        <v>752</v>
      </c>
      <c r="C4062" t="s">
        <v>789</v>
      </c>
      <c r="D4062">
        <v>0.32</v>
      </c>
      <c r="E4062" t="s">
        <v>757</v>
      </c>
      <c r="F4062" t="s">
        <v>772</v>
      </c>
      <c r="G4062" t="s">
        <v>3625</v>
      </c>
      <c r="H4062" t="s">
        <v>32</v>
      </c>
      <c r="I4062" s="28" t="s">
        <v>27</v>
      </c>
    </row>
    <row r="4063" spans="1:9" x14ac:dyDescent="0.3">
      <c r="A4063" s="26">
        <v>45344</v>
      </c>
      <c r="B4063" t="s">
        <v>752</v>
      </c>
      <c r="C4063" t="s">
        <v>771</v>
      </c>
      <c r="D4063">
        <v>0.08</v>
      </c>
      <c r="E4063" t="s">
        <v>7</v>
      </c>
      <c r="F4063" t="s">
        <v>772</v>
      </c>
      <c r="G4063" t="s">
        <v>2410</v>
      </c>
      <c r="H4063" t="s">
        <v>32</v>
      </c>
      <c r="I4063" s="28" t="s">
        <v>27</v>
      </c>
    </row>
    <row r="4064" spans="1:9" x14ac:dyDescent="0.3">
      <c r="A4064" s="26">
        <v>45344</v>
      </c>
      <c r="B4064" t="s">
        <v>752</v>
      </c>
      <c r="C4064" t="s">
        <v>771</v>
      </c>
      <c r="D4064">
        <v>0.25</v>
      </c>
      <c r="E4064" t="s">
        <v>7</v>
      </c>
      <c r="F4064" t="s">
        <v>772</v>
      </c>
      <c r="G4064" t="s">
        <v>774</v>
      </c>
      <c r="H4064" t="s">
        <v>32</v>
      </c>
      <c r="I4064" s="28" t="s">
        <v>27</v>
      </c>
    </row>
    <row r="4065" spans="1:9" x14ac:dyDescent="0.3">
      <c r="A4065" s="26">
        <v>45344</v>
      </c>
      <c r="B4065" t="s">
        <v>752</v>
      </c>
      <c r="C4065" t="s">
        <v>771</v>
      </c>
      <c r="D4065">
        <v>0.25</v>
      </c>
      <c r="E4065" t="s">
        <v>7</v>
      </c>
      <c r="F4065" t="s">
        <v>772</v>
      </c>
      <c r="G4065" t="s">
        <v>775</v>
      </c>
      <c r="H4065" t="s">
        <v>32</v>
      </c>
      <c r="I4065" s="28" t="s">
        <v>27</v>
      </c>
    </row>
    <row r="4066" spans="1:9" x14ac:dyDescent="0.3">
      <c r="A4066" s="26">
        <v>45344</v>
      </c>
      <c r="B4066" t="s">
        <v>752</v>
      </c>
      <c r="C4066" t="s">
        <v>834</v>
      </c>
      <c r="D4066">
        <v>1.1000000000000001</v>
      </c>
      <c r="E4066" t="s">
        <v>7</v>
      </c>
      <c r="F4066" t="s">
        <v>772</v>
      </c>
      <c r="G4066" t="s">
        <v>3626</v>
      </c>
      <c r="H4066" t="s">
        <v>32</v>
      </c>
      <c r="I4066" s="28" t="s">
        <v>27</v>
      </c>
    </row>
    <row r="4067" spans="1:9" x14ac:dyDescent="0.3">
      <c r="A4067" s="26">
        <v>45344</v>
      </c>
      <c r="B4067" t="s">
        <v>752</v>
      </c>
      <c r="C4067" t="s">
        <v>776</v>
      </c>
      <c r="D4067">
        <v>0.33</v>
      </c>
      <c r="E4067" t="s">
        <v>458</v>
      </c>
      <c r="F4067" t="s">
        <v>772</v>
      </c>
      <c r="G4067" t="s">
        <v>3627</v>
      </c>
      <c r="H4067" t="s">
        <v>32</v>
      </c>
      <c r="I4067" s="28" t="s">
        <v>27</v>
      </c>
    </row>
    <row r="4068" spans="1:9" x14ac:dyDescent="0.3">
      <c r="A4068" s="26">
        <v>45344</v>
      </c>
      <c r="B4068" t="s">
        <v>1093</v>
      </c>
      <c r="C4068" t="s">
        <v>1522</v>
      </c>
      <c r="D4068">
        <v>2.25</v>
      </c>
      <c r="E4068" t="s">
        <v>455</v>
      </c>
      <c r="F4068" t="s">
        <v>754</v>
      </c>
      <c r="G4068" t="s">
        <v>3628</v>
      </c>
      <c r="H4068" t="s">
        <v>32</v>
      </c>
      <c r="I4068" s="28" t="s">
        <v>27</v>
      </c>
    </row>
    <row r="4069" spans="1:9" x14ac:dyDescent="0.3">
      <c r="A4069" s="26">
        <v>45344</v>
      </c>
      <c r="B4069" t="s">
        <v>1093</v>
      </c>
      <c r="C4069" t="s">
        <v>1309</v>
      </c>
      <c r="D4069">
        <v>0.5</v>
      </c>
      <c r="E4069" t="s">
        <v>455</v>
      </c>
      <c r="F4069" t="s">
        <v>754</v>
      </c>
      <c r="G4069" t="s">
        <v>3629</v>
      </c>
      <c r="H4069" t="s">
        <v>32</v>
      </c>
      <c r="I4069" s="28" t="s">
        <v>27</v>
      </c>
    </row>
    <row r="4070" spans="1:9" x14ac:dyDescent="0.3">
      <c r="A4070" s="26">
        <v>45344</v>
      </c>
      <c r="B4070" t="s">
        <v>1093</v>
      </c>
      <c r="C4070" t="s">
        <v>1094</v>
      </c>
      <c r="D4070">
        <v>0.25</v>
      </c>
      <c r="E4070" t="s">
        <v>455</v>
      </c>
      <c r="F4070" t="s">
        <v>754</v>
      </c>
      <c r="G4070" t="s">
        <v>3630</v>
      </c>
      <c r="H4070" t="s">
        <v>32</v>
      </c>
      <c r="I4070" s="28" t="s">
        <v>27</v>
      </c>
    </row>
    <row r="4071" spans="1:9" x14ac:dyDescent="0.3">
      <c r="A4071" s="26">
        <v>45344</v>
      </c>
      <c r="B4071" t="s">
        <v>21</v>
      </c>
      <c r="C4071" t="s">
        <v>753</v>
      </c>
      <c r="D4071">
        <v>0.2</v>
      </c>
      <c r="E4071" t="s">
        <v>1096</v>
      </c>
      <c r="F4071" t="s">
        <v>754</v>
      </c>
      <c r="G4071" t="s">
        <v>3631</v>
      </c>
      <c r="H4071" t="s">
        <v>32</v>
      </c>
      <c r="I4071" s="28" t="s">
        <v>27</v>
      </c>
    </row>
    <row r="4072" spans="1:9" x14ac:dyDescent="0.3">
      <c r="A4072" s="26">
        <v>45344</v>
      </c>
      <c r="B4072" t="s">
        <v>21</v>
      </c>
      <c r="C4072" t="s">
        <v>753</v>
      </c>
      <c r="D4072">
        <v>0.23</v>
      </c>
      <c r="E4072" t="s">
        <v>602</v>
      </c>
      <c r="F4072" t="s">
        <v>772</v>
      </c>
      <c r="G4072" t="s">
        <v>3632</v>
      </c>
      <c r="H4072" t="s">
        <v>32</v>
      </c>
      <c r="I4072" s="28" t="s">
        <v>27</v>
      </c>
    </row>
    <row r="4073" spans="1:9" x14ac:dyDescent="0.3">
      <c r="A4073" s="26">
        <v>45344</v>
      </c>
      <c r="B4073" t="s">
        <v>21</v>
      </c>
      <c r="C4073" t="s">
        <v>753</v>
      </c>
      <c r="D4073">
        <v>0.33</v>
      </c>
      <c r="E4073" t="s">
        <v>589</v>
      </c>
      <c r="F4073" t="s">
        <v>754</v>
      </c>
      <c r="H4073" t="s">
        <v>32</v>
      </c>
      <c r="I4073" s="28" t="s">
        <v>27</v>
      </c>
    </row>
    <row r="4074" spans="1:9" x14ac:dyDescent="0.3">
      <c r="A4074" s="26">
        <v>45344</v>
      </c>
      <c r="B4074" t="s">
        <v>21</v>
      </c>
      <c r="C4074" t="s">
        <v>753</v>
      </c>
      <c r="D4074">
        <v>0.37</v>
      </c>
      <c r="E4074" t="s">
        <v>1096</v>
      </c>
      <c r="F4074" t="s">
        <v>754</v>
      </c>
      <c r="G4074" t="s">
        <v>3633</v>
      </c>
      <c r="H4074" t="s">
        <v>32</v>
      </c>
      <c r="I4074" s="28" t="s">
        <v>27</v>
      </c>
    </row>
    <row r="4075" spans="1:9" x14ac:dyDescent="0.3">
      <c r="A4075" s="26">
        <v>45344</v>
      </c>
      <c r="B4075" t="s">
        <v>21</v>
      </c>
      <c r="C4075" t="s">
        <v>753</v>
      </c>
      <c r="D4075">
        <v>0.43</v>
      </c>
      <c r="E4075" t="s">
        <v>13</v>
      </c>
      <c r="F4075" t="s">
        <v>754</v>
      </c>
      <c r="H4075" t="s">
        <v>32</v>
      </c>
      <c r="I4075" s="28" t="s">
        <v>27</v>
      </c>
    </row>
    <row r="4076" spans="1:9" x14ac:dyDescent="0.3">
      <c r="A4076" s="26">
        <v>45344</v>
      </c>
      <c r="B4076" t="s">
        <v>21</v>
      </c>
      <c r="C4076" t="s">
        <v>753</v>
      </c>
      <c r="D4076">
        <v>0.73</v>
      </c>
      <c r="E4076" t="s">
        <v>1096</v>
      </c>
      <c r="F4076" t="s">
        <v>754</v>
      </c>
      <c r="G4076" t="s">
        <v>3634</v>
      </c>
      <c r="H4076" t="s">
        <v>32</v>
      </c>
      <c r="I4076" s="28" t="s">
        <v>27</v>
      </c>
    </row>
    <row r="4077" spans="1:9" x14ac:dyDescent="0.3">
      <c r="A4077" s="26">
        <v>45344</v>
      </c>
      <c r="B4077" t="s">
        <v>21</v>
      </c>
      <c r="C4077" t="s">
        <v>753</v>
      </c>
      <c r="D4077">
        <v>0.78</v>
      </c>
      <c r="E4077" t="s">
        <v>1096</v>
      </c>
      <c r="F4077" t="s">
        <v>754</v>
      </c>
      <c r="G4077" t="s">
        <v>3635</v>
      </c>
      <c r="H4077" t="s">
        <v>32</v>
      </c>
      <c r="I4077" s="28" t="s">
        <v>27</v>
      </c>
    </row>
    <row r="4078" spans="1:9" x14ac:dyDescent="0.3">
      <c r="A4078" s="26">
        <v>45344</v>
      </c>
      <c r="B4078" t="s">
        <v>21</v>
      </c>
      <c r="C4078" t="s">
        <v>771</v>
      </c>
      <c r="D4078">
        <v>0.22</v>
      </c>
      <c r="E4078" t="s">
        <v>7</v>
      </c>
      <c r="F4078" t="s">
        <v>772</v>
      </c>
      <c r="H4078" t="s">
        <v>32</v>
      </c>
      <c r="I4078" s="28" t="s">
        <v>27</v>
      </c>
    </row>
    <row r="4079" spans="1:9" x14ac:dyDescent="0.3">
      <c r="A4079" s="26">
        <v>45344</v>
      </c>
      <c r="B4079" t="s">
        <v>21</v>
      </c>
      <c r="C4079" t="s">
        <v>771</v>
      </c>
      <c r="D4079">
        <v>0.53</v>
      </c>
      <c r="E4079" t="s">
        <v>7</v>
      </c>
      <c r="F4079" t="s">
        <v>772</v>
      </c>
      <c r="G4079" t="s">
        <v>781</v>
      </c>
      <c r="H4079" t="s">
        <v>32</v>
      </c>
      <c r="I4079" s="28" t="s">
        <v>27</v>
      </c>
    </row>
    <row r="4080" spans="1:9" x14ac:dyDescent="0.3">
      <c r="A4080" s="26">
        <v>45344</v>
      </c>
      <c r="B4080" t="s">
        <v>21</v>
      </c>
      <c r="C4080" t="s">
        <v>771</v>
      </c>
      <c r="D4080">
        <v>0.87</v>
      </c>
      <c r="E4080" t="s">
        <v>7</v>
      </c>
      <c r="F4080" t="s">
        <v>772</v>
      </c>
      <c r="G4080" t="s">
        <v>3636</v>
      </c>
      <c r="H4080" t="s">
        <v>32</v>
      </c>
      <c r="I4080" s="28" t="s">
        <v>27</v>
      </c>
    </row>
    <row r="4081" spans="1:9" x14ac:dyDescent="0.3">
      <c r="A4081" s="26">
        <v>45344</v>
      </c>
      <c r="B4081" t="s">
        <v>21</v>
      </c>
      <c r="C4081" t="s">
        <v>771</v>
      </c>
      <c r="D4081">
        <v>1.83</v>
      </c>
      <c r="E4081" t="s">
        <v>7</v>
      </c>
      <c r="F4081" t="s">
        <v>772</v>
      </c>
      <c r="G4081" t="s">
        <v>3637</v>
      </c>
      <c r="H4081" t="s">
        <v>32</v>
      </c>
      <c r="I4081" s="28" t="s">
        <v>27</v>
      </c>
    </row>
    <row r="4082" spans="1:9" x14ac:dyDescent="0.3">
      <c r="A4082" s="26">
        <v>45344</v>
      </c>
      <c r="B4082" t="s">
        <v>21</v>
      </c>
      <c r="C4082" t="s">
        <v>874</v>
      </c>
      <c r="D4082">
        <v>1.22</v>
      </c>
      <c r="E4082" t="s">
        <v>7</v>
      </c>
      <c r="F4082" t="s">
        <v>772</v>
      </c>
      <c r="G4082" t="s">
        <v>3638</v>
      </c>
      <c r="H4082" t="s">
        <v>32</v>
      </c>
      <c r="I4082" s="28" t="s">
        <v>27</v>
      </c>
    </row>
    <row r="4083" spans="1:9" x14ac:dyDescent="0.3">
      <c r="A4083" s="26">
        <v>45344</v>
      </c>
      <c r="B4083" t="s">
        <v>21</v>
      </c>
      <c r="C4083" t="s">
        <v>2786</v>
      </c>
      <c r="D4083">
        <v>0.27</v>
      </c>
      <c r="E4083" t="s">
        <v>1096</v>
      </c>
      <c r="F4083" t="s">
        <v>754</v>
      </c>
      <c r="H4083" t="s">
        <v>32</v>
      </c>
      <c r="I4083" s="28" t="s">
        <v>27</v>
      </c>
    </row>
    <row r="4084" spans="1:9" x14ac:dyDescent="0.3">
      <c r="A4084" s="26">
        <v>45344</v>
      </c>
      <c r="B4084" t="s">
        <v>785</v>
      </c>
      <c r="C4084" t="s">
        <v>786</v>
      </c>
      <c r="D4084">
        <v>8</v>
      </c>
      <c r="E4084" t="s">
        <v>7</v>
      </c>
      <c r="F4084" t="s">
        <v>772</v>
      </c>
      <c r="G4084" t="s">
        <v>3639</v>
      </c>
      <c r="H4084" t="s">
        <v>32</v>
      </c>
      <c r="I4084" s="28" t="s">
        <v>27</v>
      </c>
    </row>
    <row r="4085" spans="1:9" x14ac:dyDescent="0.3">
      <c r="A4085" s="26">
        <v>45344</v>
      </c>
      <c r="B4085" t="s">
        <v>788</v>
      </c>
      <c r="C4085" t="s">
        <v>786</v>
      </c>
      <c r="D4085">
        <v>11</v>
      </c>
      <c r="E4085" t="s">
        <v>7</v>
      </c>
      <c r="F4085" t="s">
        <v>772</v>
      </c>
      <c r="H4085" t="s">
        <v>32</v>
      </c>
      <c r="I4085" s="28" t="s">
        <v>27</v>
      </c>
    </row>
    <row r="4086" spans="1:9" x14ac:dyDescent="0.3">
      <c r="A4086" s="26">
        <v>45344</v>
      </c>
      <c r="B4086" t="s">
        <v>792</v>
      </c>
      <c r="C4086" t="s">
        <v>753</v>
      </c>
      <c r="D4086">
        <v>1.8</v>
      </c>
      <c r="E4086" t="s">
        <v>790</v>
      </c>
      <c r="F4086" t="s">
        <v>754</v>
      </c>
      <c r="G4086" t="s">
        <v>793</v>
      </c>
      <c r="H4086" t="s">
        <v>32</v>
      </c>
      <c r="I4086" s="28" t="s">
        <v>27</v>
      </c>
    </row>
    <row r="4087" spans="1:9" x14ac:dyDescent="0.3">
      <c r="A4087" s="26">
        <v>45344</v>
      </c>
      <c r="B4087" t="s">
        <v>792</v>
      </c>
      <c r="C4087" t="s">
        <v>753</v>
      </c>
      <c r="D4087">
        <v>2.3199999999999998</v>
      </c>
      <c r="E4087" t="s">
        <v>790</v>
      </c>
      <c r="F4087" t="s">
        <v>754</v>
      </c>
      <c r="G4087" t="s">
        <v>794</v>
      </c>
      <c r="H4087" t="s">
        <v>32</v>
      </c>
      <c r="I4087" s="28" t="s">
        <v>27</v>
      </c>
    </row>
    <row r="4088" spans="1:9" x14ac:dyDescent="0.3">
      <c r="A4088" s="26">
        <v>45344</v>
      </c>
      <c r="B4088" t="s">
        <v>792</v>
      </c>
      <c r="C4088" t="s">
        <v>753</v>
      </c>
      <c r="D4088">
        <v>4.2</v>
      </c>
      <c r="E4088" t="s">
        <v>790</v>
      </c>
      <c r="F4088" t="s">
        <v>754</v>
      </c>
      <c r="G4088" t="s">
        <v>3304</v>
      </c>
      <c r="H4088" t="s">
        <v>32</v>
      </c>
      <c r="I4088" s="28" t="s">
        <v>27</v>
      </c>
    </row>
    <row r="4089" spans="1:9" x14ac:dyDescent="0.3">
      <c r="A4089" s="26">
        <v>45344</v>
      </c>
      <c r="B4089" t="s">
        <v>801</v>
      </c>
      <c r="C4089" t="s">
        <v>802</v>
      </c>
      <c r="D4089">
        <v>10.3</v>
      </c>
      <c r="E4089" t="s">
        <v>7</v>
      </c>
      <c r="F4089" t="s">
        <v>772</v>
      </c>
      <c r="H4089" t="s">
        <v>32</v>
      </c>
      <c r="I4089" s="28" t="s">
        <v>27</v>
      </c>
    </row>
    <row r="4090" spans="1:9" x14ac:dyDescent="0.3">
      <c r="A4090" s="26">
        <v>45344</v>
      </c>
      <c r="B4090" t="s">
        <v>806</v>
      </c>
      <c r="C4090" t="s">
        <v>802</v>
      </c>
      <c r="D4090">
        <v>3.5</v>
      </c>
      <c r="E4090" t="s">
        <v>7</v>
      </c>
      <c r="F4090" t="s">
        <v>772</v>
      </c>
      <c r="G4090" t="s">
        <v>3640</v>
      </c>
      <c r="H4090" t="s">
        <v>32</v>
      </c>
      <c r="I4090" s="28" t="s">
        <v>27</v>
      </c>
    </row>
    <row r="4091" spans="1:9" x14ac:dyDescent="0.3">
      <c r="A4091" s="26">
        <v>45344</v>
      </c>
      <c r="B4091" t="s">
        <v>808</v>
      </c>
      <c r="C4091" t="s">
        <v>802</v>
      </c>
      <c r="D4091">
        <v>9.02</v>
      </c>
      <c r="E4091" t="s">
        <v>7</v>
      </c>
      <c r="F4091" t="s">
        <v>772</v>
      </c>
      <c r="G4091" t="s">
        <v>3641</v>
      </c>
      <c r="H4091" t="s">
        <v>32</v>
      </c>
      <c r="I4091" s="28" t="s">
        <v>27</v>
      </c>
    </row>
    <row r="4092" spans="1:9" x14ac:dyDescent="0.3">
      <c r="A4092" s="26">
        <v>45344</v>
      </c>
      <c r="B4092" t="s">
        <v>810</v>
      </c>
      <c r="C4092" t="s">
        <v>753</v>
      </c>
      <c r="D4092">
        <v>0.25</v>
      </c>
      <c r="E4092" t="s">
        <v>815</v>
      </c>
      <c r="F4092" t="s">
        <v>754</v>
      </c>
      <c r="G4092" t="s">
        <v>849</v>
      </c>
      <c r="H4092" t="s">
        <v>32</v>
      </c>
      <c r="I4092" s="28" t="s">
        <v>27</v>
      </c>
    </row>
    <row r="4093" spans="1:9" x14ac:dyDescent="0.3">
      <c r="A4093" s="26">
        <v>45344</v>
      </c>
      <c r="B4093" t="s">
        <v>810</v>
      </c>
      <c r="C4093" t="s">
        <v>753</v>
      </c>
      <c r="D4093">
        <v>0.42</v>
      </c>
      <c r="E4093" t="s">
        <v>516</v>
      </c>
      <c r="F4093" t="s">
        <v>772</v>
      </c>
      <c r="G4093" t="s">
        <v>3642</v>
      </c>
      <c r="H4093" t="s">
        <v>32</v>
      </c>
      <c r="I4093" s="28" t="s">
        <v>27</v>
      </c>
    </row>
    <row r="4094" spans="1:9" x14ac:dyDescent="0.3">
      <c r="A4094" s="26">
        <v>45344</v>
      </c>
      <c r="B4094" t="s">
        <v>810</v>
      </c>
      <c r="C4094" t="s">
        <v>753</v>
      </c>
      <c r="D4094">
        <v>0.67</v>
      </c>
      <c r="E4094" t="s">
        <v>898</v>
      </c>
      <c r="F4094" t="s">
        <v>772</v>
      </c>
      <c r="G4094" t="s">
        <v>3643</v>
      </c>
      <c r="H4094" t="s">
        <v>32</v>
      </c>
      <c r="I4094" s="28" t="s">
        <v>27</v>
      </c>
    </row>
    <row r="4095" spans="1:9" x14ac:dyDescent="0.3">
      <c r="A4095" s="26">
        <v>45344</v>
      </c>
      <c r="B4095" t="s">
        <v>810</v>
      </c>
      <c r="C4095" t="s">
        <v>753</v>
      </c>
      <c r="D4095">
        <v>1.5</v>
      </c>
      <c r="E4095" t="s">
        <v>898</v>
      </c>
      <c r="F4095" t="s">
        <v>754</v>
      </c>
      <c r="G4095" t="s">
        <v>3644</v>
      </c>
      <c r="H4095" t="s">
        <v>32</v>
      </c>
      <c r="I4095" s="28" t="s">
        <v>27</v>
      </c>
    </row>
    <row r="4096" spans="1:9" x14ac:dyDescent="0.3">
      <c r="A4096" s="26">
        <v>45344</v>
      </c>
      <c r="B4096" t="s">
        <v>810</v>
      </c>
      <c r="C4096" t="s">
        <v>753</v>
      </c>
      <c r="D4096">
        <v>4.5</v>
      </c>
      <c r="E4096" t="s">
        <v>516</v>
      </c>
      <c r="F4096" t="s">
        <v>754</v>
      </c>
      <c r="G4096" t="s">
        <v>3645</v>
      </c>
      <c r="H4096" t="s">
        <v>32</v>
      </c>
      <c r="I4096" s="28" t="s">
        <v>27</v>
      </c>
    </row>
    <row r="4097" spans="1:9" x14ac:dyDescent="0.3">
      <c r="A4097" s="26">
        <v>45344</v>
      </c>
      <c r="B4097" t="s">
        <v>810</v>
      </c>
      <c r="C4097" t="s">
        <v>789</v>
      </c>
      <c r="D4097">
        <v>0.17</v>
      </c>
      <c r="E4097" t="s">
        <v>898</v>
      </c>
      <c r="F4097" t="s">
        <v>772</v>
      </c>
      <c r="G4097" t="s">
        <v>3646</v>
      </c>
      <c r="H4097" t="s">
        <v>32</v>
      </c>
      <c r="I4097" s="28" t="s">
        <v>27</v>
      </c>
    </row>
    <row r="4098" spans="1:9" x14ac:dyDescent="0.3">
      <c r="A4098" s="26">
        <v>45344</v>
      </c>
      <c r="B4098" t="s">
        <v>810</v>
      </c>
      <c r="C4098" t="s">
        <v>771</v>
      </c>
      <c r="D4098">
        <v>0.5</v>
      </c>
      <c r="E4098" t="s">
        <v>7</v>
      </c>
      <c r="F4098" t="s">
        <v>772</v>
      </c>
      <c r="G4098" t="s">
        <v>781</v>
      </c>
      <c r="H4098" t="s">
        <v>32</v>
      </c>
      <c r="I4098" s="28" t="s">
        <v>27</v>
      </c>
    </row>
    <row r="4099" spans="1:9" x14ac:dyDescent="0.3">
      <c r="A4099" s="26">
        <v>45344</v>
      </c>
      <c r="B4099" t="s">
        <v>225</v>
      </c>
      <c r="C4099" t="s">
        <v>821</v>
      </c>
      <c r="D4099">
        <v>0.25</v>
      </c>
      <c r="E4099" t="s">
        <v>857</v>
      </c>
      <c r="F4099" t="s">
        <v>772</v>
      </c>
      <c r="G4099" t="s">
        <v>3647</v>
      </c>
      <c r="H4099" t="s">
        <v>32</v>
      </c>
      <c r="I4099" s="28" t="s">
        <v>27</v>
      </c>
    </row>
    <row r="4100" spans="1:9" x14ac:dyDescent="0.3">
      <c r="A4100" s="26">
        <v>45344</v>
      </c>
      <c r="B4100" t="s">
        <v>225</v>
      </c>
      <c r="C4100" t="s">
        <v>821</v>
      </c>
      <c r="D4100">
        <v>0.5</v>
      </c>
      <c r="E4100" t="s">
        <v>630</v>
      </c>
      <c r="F4100" t="s">
        <v>754</v>
      </c>
      <c r="G4100" t="s">
        <v>3648</v>
      </c>
      <c r="H4100" t="s">
        <v>32</v>
      </c>
      <c r="I4100" s="28" t="s">
        <v>27</v>
      </c>
    </row>
    <row r="4101" spans="1:9" x14ac:dyDescent="0.3">
      <c r="A4101" s="26">
        <v>45344</v>
      </c>
      <c r="B4101" t="s">
        <v>225</v>
      </c>
      <c r="C4101" t="s">
        <v>823</v>
      </c>
      <c r="D4101">
        <v>0.5</v>
      </c>
      <c r="E4101" t="s">
        <v>602</v>
      </c>
      <c r="F4101" t="s">
        <v>754</v>
      </c>
      <c r="G4101" t="s">
        <v>3649</v>
      </c>
      <c r="H4101" t="s">
        <v>32</v>
      </c>
      <c r="I4101" s="28" t="s">
        <v>27</v>
      </c>
    </row>
    <row r="4102" spans="1:9" x14ac:dyDescent="0.3">
      <c r="A4102" s="26">
        <v>45344</v>
      </c>
      <c r="B4102" t="s">
        <v>829</v>
      </c>
      <c r="C4102" t="s">
        <v>753</v>
      </c>
      <c r="D4102">
        <v>0.37</v>
      </c>
      <c r="E4102" t="s">
        <v>458</v>
      </c>
      <c r="F4102" t="s">
        <v>754</v>
      </c>
      <c r="G4102" t="s">
        <v>1127</v>
      </c>
      <c r="H4102" t="s">
        <v>32</v>
      </c>
      <c r="I4102" s="28" t="s">
        <v>27</v>
      </c>
    </row>
    <row r="4103" spans="1:9" x14ac:dyDescent="0.3">
      <c r="A4103" s="26">
        <v>45344</v>
      </c>
      <c r="B4103" t="s">
        <v>829</v>
      </c>
      <c r="C4103" t="s">
        <v>753</v>
      </c>
      <c r="D4103">
        <v>0.5</v>
      </c>
      <c r="E4103" t="s">
        <v>375</v>
      </c>
      <c r="F4103" t="s">
        <v>754</v>
      </c>
      <c r="G4103" t="s">
        <v>2441</v>
      </c>
      <c r="H4103" t="s">
        <v>32</v>
      </c>
      <c r="I4103" s="28" t="s">
        <v>27</v>
      </c>
    </row>
    <row r="4104" spans="1:9" x14ac:dyDescent="0.3">
      <c r="A4104" s="26">
        <v>45344</v>
      </c>
      <c r="B4104" t="s">
        <v>829</v>
      </c>
      <c r="C4104" t="s">
        <v>753</v>
      </c>
      <c r="D4104">
        <v>0.5</v>
      </c>
      <c r="E4104" t="s">
        <v>458</v>
      </c>
      <c r="F4104" t="s">
        <v>754</v>
      </c>
      <c r="G4104" t="s">
        <v>3650</v>
      </c>
      <c r="H4104" t="s">
        <v>32</v>
      </c>
      <c r="I4104" s="28" t="s">
        <v>27</v>
      </c>
    </row>
    <row r="4105" spans="1:9" x14ac:dyDescent="0.3">
      <c r="A4105" s="26">
        <v>45344</v>
      </c>
      <c r="B4105" t="s">
        <v>829</v>
      </c>
      <c r="C4105" t="s">
        <v>753</v>
      </c>
      <c r="D4105">
        <v>0.62</v>
      </c>
      <c r="E4105" t="s">
        <v>898</v>
      </c>
      <c r="F4105" t="s">
        <v>754</v>
      </c>
      <c r="G4105" t="s">
        <v>3651</v>
      </c>
      <c r="H4105" t="s">
        <v>32</v>
      </c>
      <c r="I4105" s="28" t="s">
        <v>27</v>
      </c>
    </row>
    <row r="4106" spans="1:9" x14ac:dyDescent="0.3">
      <c r="A4106" s="26">
        <v>45344</v>
      </c>
      <c r="B4106" t="s">
        <v>829</v>
      </c>
      <c r="C4106" t="s">
        <v>753</v>
      </c>
      <c r="D4106">
        <v>1</v>
      </c>
      <c r="E4106" t="s">
        <v>985</v>
      </c>
      <c r="F4106" t="s">
        <v>754</v>
      </c>
      <c r="G4106" t="s">
        <v>867</v>
      </c>
      <c r="H4106" t="s">
        <v>32</v>
      </c>
      <c r="I4106" s="28" t="s">
        <v>27</v>
      </c>
    </row>
    <row r="4107" spans="1:9" x14ac:dyDescent="0.3">
      <c r="A4107" s="26">
        <v>45344</v>
      </c>
      <c r="B4107" t="s">
        <v>829</v>
      </c>
      <c r="C4107" t="s">
        <v>789</v>
      </c>
      <c r="D4107">
        <v>0.15</v>
      </c>
      <c r="E4107" t="s">
        <v>898</v>
      </c>
      <c r="F4107" t="s">
        <v>754</v>
      </c>
      <c r="G4107" t="s">
        <v>3652</v>
      </c>
      <c r="H4107" t="s">
        <v>32</v>
      </c>
      <c r="I4107" s="28" t="s">
        <v>27</v>
      </c>
    </row>
    <row r="4108" spans="1:9" x14ac:dyDescent="0.3">
      <c r="A4108" s="26">
        <v>45344</v>
      </c>
      <c r="B4108" t="s">
        <v>829</v>
      </c>
      <c r="C4108" t="s">
        <v>771</v>
      </c>
      <c r="D4108">
        <v>0.5</v>
      </c>
      <c r="E4108" t="s">
        <v>7</v>
      </c>
      <c r="F4108" t="s">
        <v>772</v>
      </c>
      <c r="G4108" t="s">
        <v>781</v>
      </c>
      <c r="H4108" t="s">
        <v>32</v>
      </c>
      <c r="I4108" s="28" t="s">
        <v>27</v>
      </c>
    </row>
    <row r="4109" spans="1:9" x14ac:dyDescent="0.3">
      <c r="A4109" s="26">
        <v>45344</v>
      </c>
      <c r="B4109" t="s">
        <v>829</v>
      </c>
      <c r="C4109" t="s">
        <v>771</v>
      </c>
      <c r="D4109">
        <v>0.56999999999999995</v>
      </c>
      <c r="E4109" t="s">
        <v>7</v>
      </c>
      <c r="F4109" t="s">
        <v>772</v>
      </c>
      <c r="G4109" t="s">
        <v>3653</v>
      </c>
      <c r="H4109" t="s">
        <v>32</v>
      </c>
      <c r="I4109" s="28" t="s">
        <v>27</v>
      </c>
    </row>
    <row r="4110" spans="1:9" x14ac:dyDescent="0.3">
      <c r="A4110" s="26">
        <v>45344</v>
      </c>
      <c r="B4110" t="s">
        <v>829</v>
      </c>
      <c r="C4110" t="s">
        <v>776</v>
      </c>
      <c r="D4110">
        <v>0.13</v>
      </c>
      <c r="E4110" t="s">
        <v>790</v>
      </c>
      <c r="F4110" t="s">
        <v>754</v>
      </c>
      <c r="G4110" t="s">
        <v>3654</v>
      </c>
      <c r="H4110" t="s">
        <v>32</v>
      </c>
      <c r="I4110" s="28" t="s">
        <v>27</v>
      </c>
    </row>
    <row r="4111" spans="1:9" x14ac:dyDescent="0.3">
      <c r="A4111" s="26">
        <v>45344</v>
      </c>
      <c r="B4111" t="s">
        <v>829</v>
      </c>
      <c r="C4111" t="s">
        <v>776</v>
      </c>
      <c r="D4111">
        <v>0.25</v>
      </c>
      <c r="E4111" t="s">
        <v>790</v>
      </c>
      <c r="F4111" t="s">
        <v>754</v>
      </c>
      <c r="G4111" t="s">
        <v>2805</v>
      </c>
      <c r="H4111" t="s">
        <v>32</v>
      </c>
      <c r="I4111" s="28" t="s">
        <v>27</v>
      </c>
    </row>
    <row r="4112" spans="1:9" x14ac:dyDescent="0.3">
      <c r="A4112" s="26">
        <v>45344</v>
      </c>
      <c r="B4112" t="s">
        <v>829</v>
      </c>
      <c r="C4112" t="s">
        <v>776</v>
      </c>
      <c r="D4112">
        <v>1.18</v>
      </c>
      <c r="E4112" t="s">
        <v>790</v>
      </c>
      <c r="F4112" t="s">
        <v>754</v>
      </c>
      <c r="G4112" t="s">
        <v>3655</v>
      </c>
      <c r="H4112" t="s">
        <v>32</v>
      </c>
      <c r="I4112" s="28" t="s">
        <v>27</v>
      </c>
    </row>
    <row r="4113" spans="1:9" x14ac:dyDescent="0.3">
      <c r="A4113" s="26">
        <v>45344</v>
      </c>
      <c r="B4113" t="s">
        <v>829</v>
      </c>
      <c r="C4113" t="s">
        <v>776</v>
      </c>
      <c r="D4113">
        <v>2.23</v>
      </c>
      <c r="E4113" t="s">
        <v>790</v>
      </c>
      <c r="F4113" t="s">
        <v>754</v>
      </c>
      <c r="G4113" t="s">
        <v>3656</v>
      </c>
      <c r="H4113" t="s">
        <v>32</v>
      </c>
      <c r="I4113" s="28" t="s">
        <v>27</v>
      </c>
    </row>
    <row r="4114" spans="1:9" x14ac:dyDescent="0.3">
      <c r="A4114" s="26">
        <v>45344</v>
      </c>
      <c r="B4114" t="s">
        <v>840</v>
      </c>
      <c r="C4114" t="s">
        <v>771</v>
      </c>
      <c r="D4114">
        <v>10.050000000000001</v>
      </c>
      <c r="E4114" t="s">
        <v>7</v>
      </c>
      <c r="F4114" t="s">
        <v>772</v>
      </c>
      <c r="G4114" t="e">
        <f>- ASIC - Poster for Charmie Dequito work Anniversary. -  calls to ATO    - Superfoods Australia Pty Ltd    - Atmosphere Property    - Emma Mulholland - Meeting with Jordan for Zoho Clean-up - Air BnB details for the BIT Team</f>
        <v>#NAME?</v>
      </c>
      <c r="H4114" t="s">
        <v>32</v>
      </c>
      <c r="I4114" s="28" t="s">
        <v>27</v>
      </c>
    </row>
    <row r="4115" spans="1:9" x14ac:dyDescent="0.3">
      <c r="A4115" s="26">
        <v>45344</v>
      </c>
      <c r="B4115" t="s">
        <v>843</v>
      </c>
      <c r="C4115" t="s">
        <v>753</v>
      </c>
      <c r="D4115">
        <v>0.22</v>
      </c>
      <c r="E4115" t="s">
        <v>234</v>
      </c>
      <c r="F4115" t="s">
        <v>754</v>
      </c>
      <c r="G4115" t="s">
        <v>849</v>
      </c>
      <c r="H4115" t="s">
        <v>32</v>
      </c>
      <c r="I4115" s="28" t="s">
        <v>27</v>
      </c>
    </row>
    <row r="4116" spans="1:9" x14ac:dyDescent="0.3">
      <c r="A4116" s="26">
        <v>45344</v>
      </c>
      <c r="B4116" t="s">
        <v>843</v>
      </c>
      <c r="C4116" t="s">
        <v>753</v>
      </c>
      <c r="D4116">
        <v>0.38</v>
      </c>
      <c r="E4116" t="s">
        <v>563</v>
      </c>
      <c r="F4116" t="s">
        <v>772</v>
      </c>
      <c r="G4116" t="s">
        <v>3657</v>
      </c>
      <c r="H4116" t="s">
        <v>32</v>
      </c>
      <c r="I4116" s="28" t="s">
        <v>27</v>
      </c>
    </row>
    <row r="4117" spans="1:9" x14ac:dyDescent="0.3">
      <c r="A4117" s="26">
        <v>45344</v>
      </c>
      <c r="B4117" t="s">
        <v>843</v>
      </c>
      <c r="C4117" t="s">
        <v>753</v>
      </c>
      <c r="D4117">
        <v>1.18</v>
      </c>
      <c r="E4117" t="s">
        <v>564</v>
      </c>
      <c r="F4117" t="s">
        <v>754</v>
      </c>
      <c r="G4117" t="s">
        <v>3658</v>
      </c>
      <c r="H4117" t="s">
        <v>32</v>
      </c>
      <c r="I4117" s="28" t="s">
        <v>27</v>
      </c>
    </row>
    <row r="4118" spans="1:9" x14ac:dyDescent="0.3">
      <c r="A4118" s="26">
        <v>45344</v>
      </c>
      <c r="B4118" t="s">
        <v>843</v>
      </c>
      <c r="C4118" t="s">
        <v>853</v>
      </c>
      <c r="D4118">
        <v>1.38</v>
      </c>
      <c r="E4118" t="s">
        <v>259</v>
      </c>
      <c r="F4118" t="s">
        <v>772</v>
      </c>
      <c r="G4118" t="s">
        <v>3659</v>
      </c>
      <c r="H4118" t="s">
        <v>32</v>
      </c>
      <c r="I4118" s="28" t="s">
        <v>27</v>
      </c>
    </row>
    <row r="4119" spans="1:9" x14ac:dyDescent="0.3">
      <c r="A4119" s="26">
        <v>45344</v>
      </c>
      <c r="B4119" t="s">
        <v>843</v>
      </c>
      <c r="C4119" t="s">
        <v>853</v>
      </c>
      <c r="D4119">
        <v>2.58</v>
      </c>
      <c r="E4119" t="s">
        <v>259</v>
      </c>
      <c r="F4119" t="s">
        <v>754</v>
      </c>
      <c r="G4119" t="s">
        <v>846</v>
      </c>
      <c r="H4119" t="s">
        <v>32</v>
      </c>
      <c r="I4119" s="28" t="s">
        <v>27</v>
      </c>
    </row>
    <row r="4120" spans="1:9" x14ac:dyDescent="0.3">
      <c r="A4120" s="26">
        <v>45344</v>
      </c>
      <c r="B4120" t="s">
        <v>843</v>
      </c>
      <c r="C4120" t="s">
        <v>1359</v>
      </c>
      <c r="D4120">
        <v>0.37</v>
      </c>
      <c r="E4120" t="s">
        <v>259</v>
      </c>
      <c r="F4120" t="s">
        <v>754</v>
      </c>
      <c r="H4120" t="s">
        <v>32</v>
      </c>
      <c r="I4120" s="28" t="s">
        <v>27</v>
      </c>
    </row>
    <row r="4121" spans="1:9" x14ac:dyDescent="0.3">
      <c r="A4121" s="26">
        <v>45344</v>
      </c>
      <c r="B4121" t="s">
        <v>843</v>
      </c>
      <c r="C4121" t="s">
        <v>771</v>
      </c>
      <c r="D4121">
        <v>0.4</v>
      </c>
      <c r="E4121" t="s">
        <v>7</v>
      </c>
      <c r="F4121" t="s">
        <v>772</v>
      </c>
      <c r="G4121" t="s">
        <v>1012</v>
      </c>
      <c r="H4121" t="s">
        <v>32</v>
      </c>
      <c r="I4121" s="28" t="s">
        <v>27</v>
      </c>
    </row>
    <row r="4122" spans="1:9" x14ac:dyDescent="0.3">
      <c r="A4122" s="26">
        <v>45344</v>
      </c>
      <c r="B4122" t="s">
        <v>843</v>
      </c>
      <c r="C4122" t="s">
        <v>771</v>
      </c>
      <c r="D4122">
        <v>0.43</v>
      </c>
      <c r="E4122" t="s">
        <v>7</v>
      </c>
      <c r="F4122" t="s">
        <v>772</v>
      </c>
      <c r="H4122" t="s">
        <v>32</v>
      </c>
      <c r="I4122" s="28" t="s">
        <v>27</v>
      </c>
    </row>
    <row r="4123" spans="1:9" x14ac:dyDescent="0.3">
      <c r="A4123" s="26">
        <v>45344</v>
      </c>
      <c r="B4123" t="s">
        <v>843</v>
      </c>
      <c r="C4123" t="s">
        <v>771</v>
      </c>
      <c r="D4123">
        <v>0.5</v>
      </c>
      <c r="E4123" t="s">
        <v>7</v>
      </c>
      <c r="F4123" t="s">
        <v>772</v>
      </c>
      <c r="G4123" t="s">
        <v>781</v>
      </c>
      <c r="H4123" t="s">
        <v>32</v>
      </c>
      <c r="I4123" s="28" t="s">
        <v>27</v>
      </c>
    </row>
    <row r="4124" spans="1:9" x14ac:dyDescent="0.3">
      <c r="A4124" s="26">
        <v>45344</v>
      </c>
      <c r="B4124" t="s">
        <v>843</v>
      </c>
      <c r="C4124" t="s">
        <v>771</v>
      </c>
      <c r="D4124">
        <v>0.55000000000000004</v>
      </c>
      <c r="E4124" t="s">
        <v>7</v>
      </c>
      <c r="F4124" t="s">
        <v>772</v>
      </c>
      <c r="G4124" t="s">
        <v>3660</v>
      </c>
      <c r="H4124" t="s">
        <v>32</v>
      </c>
      <c r="I4124" s="28" t="s">
        <v>27</v>
      </c>
    </row>
    <row r="4125" spans="1:9" x14ac:dyDescent="0.3">
      <c r="A4125" s="26">
        <v>45344</v>
      </c>
      <c r="B4125" t="s">
        <v>856</v>
      </c>
      <c r="C4125" t="s">
        <v>753</v>
      </c>
      <c r="D4125">
        <v>0.27</v>
      </c>
      <c r="E4125" t="s">
        <v>173</v>
      </c>
      <c r="F4125" t="s">
        <v>754</v>
      </c>
      <c r="G4125" t="s">
        <v>3661</v>
      </c>
      <c r="H4125" t="s">
        <v>32</v>
      </c>
      <c r="I4125" s="28" t="s">
        <v>27</v>
      </c>
    </row>
    <row r="4126" spans="1:9" x14ac:dyDescent="0.3">
      <c r="A4126" s="26">
        <v>45344</v>
      </c>
      <c r="B4126" t="s">
        <v>856</v>
      </c>
      <c r="C4126" t="s">
        <v>753</v>
      </c>
      <c r="D4126">
        <v>0.75</v>
      </c>
      <c r="E4126" t="s">
        <v>857</v>
      </c>
      <c r="F4126" t="s">
        <v>754</v>
      </c>
      <c r="G4126" t="s">
        <v>3662</v>
      </c>
      <c r="H4126" t="s">
        <v>32</v>
      </c>
      <c r="I4126" s="28" t="s">
        <v>27</v>
      </c>
    </row>
    <row r="4127" spans="1:9" x14ac:dyDescent="0.3">
      <c r="A4127" s="26">
        <v>45344</v>
      </c>
      <c r="B4127" t="s">
        <v>856</v>
      </c>
      <c r="C4127" t="s">
        <v>753</v>
      </c>
      <c r="D4127">
        <v>0.83</v>
      </c>
      <c r="E4127" t="s">
        <v>583</v>
      </c>
      <c r="F4127" t="s">
        <v>772</v>
      </c>
      <c r="G4127" t="s">
        <v>3484</v>
      </c>
      <c r="H4127" t="s">
        <v>32</v>
      </c>
      <c r="I4127" s="28" t="s">
        <v>27</v>
      </c>
    </row>
    <row r="4128" spans="1:9" x14ac:dyDescent="0.3">
      <c r="A4128" s="26">
        <v>45344</v>
      </c>
      <c r="B4128" t="s">
        <v>856</v>
      </c>
      <c r="C4128" t="s">
        <v>753</v>
      </c>
      <c r="D4128">
        <v>1.23</v>
      </c>
      <c r="E4128" t="s">
        <v>857</v>
      </c>
      <c r="F4128" t="s">
        <v>754</v>
      </c>
      <c r="G4128" t="s">
        <v>3663</v>
      </c>
      <c r="H4128" t="s">
        <v>32</v>
      </c>
      <c r="I4128" s="28" t="s">
        <v>27</v>
      </c>
    </row>
    <row r="4129" spans="1:9" x14ac:dyDescent="0.3">
      <c r="A4129" s="26">
        <v>45344</v>
      </c>
      <c r="B4129" t="s">
        <v>856</v>
      </c>
      <c r="C4129" t="s">
        <v>753</v>
      </c>
      <c r="D4129">
        <v>1.25</v>
      </c>
      <c r="E4129" t="s">
        <v>857</v>
      </c>
      <c r="F4129" t="s">
        <v>754</v>
      </c>
      <c r="G4129" t="s">
        <v>3664</v>
      </c>
      <c r="H4129" t="s">
        <v>32</v>
      </c>
      <c r="I4129" s="28" t="s">
        <v>27</v>
      </c>
    </row>
    <row r="4130" spans="1:9" x14ac:dyDescent="0.3">
      <c r="A4130" s="26">
        <v>45344</v>
      </c>
      <c r="B4130" t="s">
        <v>856</v>
      </c>
      <c r="C4130" t="s">
        <v>753</v>
      </c>
      <c r="D4130">
        <v>1.83</v>
      </c>
      <c r="E4130" t="s">
        <v>857</v>
      </c>
      <c r="F4130" t="s">
        <v>754</v>
      </c>
      <c r="G4130" t="s">
        <v>3665</v>
      </c>
      <c r="H4130" t="s">
        <v>32</v>
      </c>
      <c r="I4130" s="28" t="s">
        <v>27</v>
      </c>
    </row>
    <row r="4131" spans="1:9" x14ac:dyDescent="0.3">
      <c r="A4131" s="26">
        <v>45344</v>
      </c>
      <c r="B4131" t="s">
        <v>856</v>
      </c>
      <c r="C4131" t="s">
        <v>753</v>
      </c>
      <c r="D4131">
        <v>3</v>
      </c>
      <c r="E4131" t="s">
        <v>583</v>
      </c>
      <c r="F4131" t="s">
        <v>772</v>
      </c>
      <c r="G4131" t="s">
        <v>3666</v>
      </c>
      <c r="H4131" t="s">
        <v>32</v>
      </c>
      <c r="I4131" s="28" t="s">
        <v>27</v>
      </c>
    </row>
    <row r="4132" spans="1:9" x14ac:dyDescent="0.3">
      <c r="A4132" s="26">
        <v>45344</v>
      </c>
      <c r="B4132" t="s">
        <v>33</v>
      </c>
      <c r="C4132" t="s">
        <v>789</v>
      </c>
      <c r="D4132">
        <v>0.48</v>
      </c>
      <c r="E4132" t="s">
        <v>336</v>
      </c>
      <c r="F4132" t="s">
        <v>754</v>
      </c>
      <c r="G4132" t="s">
        <v>3667</v>
      </c>
      <c r="H4132" t="s">
        <v>32</v>
      </c>
      <c r="I4132" s="28" t="s">
        <v>27</v>
      </c>
    </row>
    <row r="4133" spans="1:9" x14ac:dyDescent="0.3">
      <c r="A4133" s="26">
        <v>45344</v>
      </c>
      <c r="B4133" t="s">
        <v>33</v>
      </c>
      <c r="C4133" t="s">
        <v>1973</v>
      </c>
      <c r="D4133">
        <v>0.43</v>
      </c>
      <c r="E4133" t="s">
        <v>336</v>
      </c>
      <c r="F4133" t="s">
        <v>754</v>
      </c>
      <c r="G4133" t="s">
        <v>3668</v>
      </c>
      <c r="H4133" t="s">
        <v>32</v>
      </c>
      <c r="I4133" s="28" t="s">
        <v>27</v>
      </c>
    </row>
    <row r="4134" spans="1:9" x14ac:dyDescent="0.3">
      <c r="A4134" s="26">
        <v>45344</v>
      </c>
      <c r="B4134" t="s">
        <v>33</v>
      </c>
      <c r="C4134" t="s">
        <v>1973</v>
      </c>
      <c r="D4134">
        <v>1.08</v>
      </c>
      <c r="E4134" t="s">
        <v>336</v>
      </c>
      <c r="F4134" t="s">
        <v>754</v>
      </c>
      <c r="G4134" t="s">
        <v>3669</v>
      </c>
      <c r="H4134" t="s">
        <v>32</v>
      </c>
      <c r="I4134" s="28" t="s">
        <v>27</v>
      </c>
    </row>
    <row r="4135" spans="1:9" x14ac:dyDescent="0.3">
      <c r="A4135" s="26">
        <v>45344</v>
      </c>
      <c r="B4135" t="s">
        <v>33</v>
      </c>
      <c r="C4135" t="s">
        <v>771</v>
      </c>
      <c r="D4135">
        <v>0.7</v>
      </c>
      <c r="E4135" t="s">
        <v>7</v>
      </c>
      <c r="F4135" t="s">
        <v>772</v>
      </c>
      <c r="G4135" t="s">
        <v>3670</v>
      </c>
      <c r="H4135" t="s">
        <v>32</v>
      </c>
      <c r="I4135" s="28" t="s">
        <v>27</v>
      </c>
    </row>
    <row r="4136" spans="1:9" x14ac:dyDescent="0.3">
      <c r="A4136" s="26">
        <v>45344</v>
      </c>
      <c r="B4136" t="s">
        <v>33</v>
      </c>
      <c r="C4136" t="s">
        <v>771</v>
      </c>
      <c r="D4136">
        <v>1.43</v>
      </c>
      <c r="E4136" t="s">
        <v>7</v>
      </c>
      <c r="F4136" t="s">
        <v>772</v>
      </c>
      <c r="G4136" t="s">
        <v>3671</v>
      </c>
      <c r="H4136" t="s">
        <v>32</v>
      </c>
      <c r="I4136" s="28" t="s">
        <v>27</v>
      </c>
    </row>
    <row r="4137" spans="1:9" x14ac:dyDescent="0.3">
      <c r="A4137" s="26">
        <v>45344</v>
      </c>
      <c r="B4137" t="s">
        <v>33</v>
      </c>
      <c r="C4137" t="s">
        <v>771</v>
      </c>
      <c r="D4137">
        <v>3.25</v>
      </c>
      <c r="E4137" t="s">
        <v>7</v>
      </c>
      <c r="F4137" t="s">
        <v>772</v>
      </c>
      <c r="G4137" t="s">
        <v>3672</v>
      </c>
      <c r="H4137" t="s">
        <v>32</v>
      </c>
      <c r="I4137" s="28" t="s">
        <v>27</v>
      </c>
    </row>
    <row r="4138" spans="1:9" x14ac:dyDescent="0.3">
      <c r="A4138" s="26">
        <v>45344</v>
      </c>
      <c r="B4138" t="s">
        <v>33</v>
      </c>
      <c r="C4138" t="s">
        <v>919</v>
      </c>
      <c r="D4138">
        <v>0.32</v>
      </c>
      <c r="E4138" t="s">
        <v>2525</v>
      </c>
      <c r="F4138" t="s">
        <v>754</v>
      </c>
      <c r="G4138" t="s">
        <v>3673</v>
      </c>
      <c r="H4138" t="s">
        <v>32</v>
      </c>
      <c r="I4138" s="28" t="s">
        <v>27</v>
      </c>
    </row>
    <row r="4139" spans="1:9" x14ac:dyDescent="0.3">
      <c r="A4139" s="26">
        <v>45344</v>
      </c>
      <c r="B4139" t="s">
        <v>876</v>
      </c>
      <c r="C4139" t="s">
        <v>753</v>
      </c>
      <c r="D4139">
        <v>8.0500000000000007</v>
      </c>
      <c r="E4139" t="s">
        <v>11</v>
      </c>
      <c r="F4139" t="s">
        <v>754</v>
      </c>
      <c r="H4139" t="s">
        <v>32</v>
      </c>
      <c r="I4139" s="28" t="s">
        <v>27</v>
      </c>
    </row>
    <row r="4140" spans="1:9" x14ac:dyDescent="0.3">
      <c r="A4140" s="26">
        <v>45344</v>
      </c>
      <c r="B4140" t="s">
        <v>877</v>
      </c>
      <c r="C4140" t="s">
        <v>878</v>
      </c>
      <c r="D4140">
        <v>1</v>
      </c>
      <c r="E4140" t="s">
        <v>879</v>
      </c>
      <c r="F4140" t="s">
        <v>754</v>
      </c>
      <c r="G4140" t="s">
        <v>3674</v>
      </c>
      <c r="H4140" t="s">
        <v>32</v>
      </c>
      <c r="I4140" s="28" t="s">
        <v>27</v>
      </c>
    </row>
    <row r="4141" spans="1:9" x14ac:dyDescent="0.3">
      <c r="A4141" s="26">
        <v>45344</v>
      </c>
      <c r="B4141" t="s">
        <v>877</v>
      </c>
      <c r="C4141" t="s">
        <v>878</v>
      </c>
      <c r="D4141">
        <v>1</v>
      </c>
      <c r="E4141" t="s">
        <v>882</v>
      </c>
      <c r="F4141" t="s">
        <v>754</v>
      </c>
      <c r="G4141" t="s">
        <v>3675</v>
      </c>
      <c r="H4141" t="s">
        <v>32</v>
      </c>
      <c r="I4141" s="28" t="s">
        <v>27</v>
      </c>
    </row>
    <row r="4142" spans="1:9" x14ac:dyDescent="0.3">
      <c r="A4142" s="26">
        <v>45344</v>
      </c>
      <c r="B4142" t="s">
        <v>884</v>
      </c>
      <c r="C4142" t="s">
        <v>753</v>
      </c>
      <c r="D4142">
        <v>0.38</v>
      </c>
      <c r="E4142" t="s">
        <v>316</v>
      </c>
      <c r="F4142" t="s">
        <v>754</v>
      </c>
      <c r="G4142" t="s">
        <v>3676</v>
      </c>
      <c r="H4142" t="s">
        <v>32</v>
      </c>
      <c r="I4142" s="28" t="s">
        <v>27</v>
      </c>
    </row>
    <row r="4143" spans="1:9" x14ac:dyDescent="0.3">
      <c r="A4143" s="26">
        <v>45344</v>
      </c>
      <c r="B4143" t="s">
        <v>884</v>
      </c>
      <c r="C4143" t="s">
        <v>753</v>
      </c>
      <c r="D4143">
        <v>0.42</v>
      </c>
      <c r="E4143" t="s">
        <v>885</v>
      </c>
      <c r="F4143" t="s">
        <v>754</v>
      </c>
      <c r="G4143" t="s">
        <v>2017</v>
      </c>
      <c r="H4143" t="s">
        <v>32</v>
      </c>
      <c r="I4143" s="28" t="s">
        <v>27</v>
      </c>
    </row>
    <row r="4144" spans="1:9" x14ac:dyDescent="0.3">
      <c r="A4144" s="26">
        <v>45344</v>
      </c>
      <c r="B4144" t="s">
        <v>884</v>
      </c>
      <c r="C4144" t="s">
        <v>753</v>
      </c>
      <c r="D4144">
        <v>0.75</v>
      </c>
      <c r="E4144" t="s">
        <v>562</v>
      </c>
      <c r="F4144" t="s">
        <v>754</v>
      </c>
      <c r="G4144" t="s">
        <v>3677</v>
      </c>
      <c r="H4144" t="s">
        <v>32</v>
      </c>
      <c r="I4144" s="28" t="s">
        <v>27</v>
      </c>
    </row>
    <row r="4145" spans="1:9" x14ac:dyDescent="0.3">
      <c r="A4145" s="26">
        <v>45344</v>
      </c>
      <c r="B4145" t="s">
        <v>884</v>
      </c>
      <c r="C4145" t="s">
        <v>753</v>
      </c>
      <c r="D4145">
        <v>0.82</v>
      </c>
      <c r="E4145" t="s">
        <v>248</v>
      </c>
      <c r="F4145" t="s">
        <v>754</v>
      </c>
      <c r="G4145" t="s">
        <v>3678</v>
      </c>
      <c r="H4145" t="s">
        <v>32</v>
      </c>
      <c r="I4145" s="28" t="s">
        <v>27</v>
      </c>
    </row>
    <row r="4146" spans="1:9" x14ac:dyDescent="0.3">
      <c r="A4146" s="26">
        <v>45344</v>
      </c>
      <c r="B4146" t="s">
        <v>884</v>
      </c>
      <c r="C4146" t="s">
        <v>753</v>
      </c>
      <c r="D4146">
        <v>0.95</v>
      </c>
      <c r="E4146" t="s">
        <v>288</v>
      </c>
      <c r="F4146" t="s">
        <v>754</v>
      </c>
      <c r="H4146" t="s">
        <v>32</v>
      </c>
      <c r="I4146" s="28" t="s">
        <v>27</v>
      </c>
    </row>
    <row r="4147" spans="1:9" x14ac:dyDescent="0.3">
      <c r="A4147" s="26">
        <v>45344</v>
      </c>
      <c r="B4147" t="s">
        <v>884</v>
      </c>
      <c r="C4147" t="s">
        <v>753</v>
      </c>
      <c r="D4147">
        <v>1.17</v>
      </c>
      <c r="E4147" t="s">
        <v>11</v>
      </c>
      <c r="F4147" t="s">
        <v>754</v>
      </c>
      <c r="G4147" t="s">
        <v>2639</v>
      </c>
      <c r="H4147" t="s">
        <v>32</v>
      </c>
      <c r="I4147" s="28" t="s">
        <v>27</v>
      </c>
    </row>
    <row r="4148" spans="1:9" x14ac:dyDescent="0.3">
      <c r="A4148" s="26">
        <v>45344</v>
      </c>
      <c r="B4148" t="s">
        <v>884</v>
      </c>
      <c r="C4148" t="s">
        <v>753</v>
      </c>
      <c r="D4148">
        <v>1.52</v>
      </c>
      <c r="E4148" t="s">
        <v>375</v>
      </c>
      <c r="F4148" t="s">
        <v>754</v>
      </c>
      <c r="G4148" t="s">
        <v>3679</v>
      </c>
      <c r="H4148" t="s">
        <v>32</v>
      </c>
      <c r="I4148" s="28" t="s">
        <v>27</v>
      </c>
    </row>
    <row r="4149" spans="1:9" x14ac:dyDescent="0.3">
      <c r="A4149" s="26">
        <v>45344</v>
      </c>
      <c r="B4149" t="s">
        <v>884</v>
      </c>
      <c r="C4149" t="s">
        <v>753</v>
      </c>
      <c r="D4149">
        <v>2</v>
      </c>
      <c r="E4149" t="s">
        <v>562</v>
      </c>
      <c r="F4149" t="s">
        <v>754</v>
      </c>
      <c r="H4149" t="s">
        <v>32</v>
      </c>
      <c r="I4149" s="28" t="s">
        <v>27</v>
      </c>
    </row>
    <row r="4150" spans="1:9" x14ac:dyDescent="0.3">
      <c r="A4150" s="26">
        <v>45344</v>
      </c>
      <c r="B4150" t="s">
        <v>891</v>
      </c>
      <c r="C4150" t="s">
        <v>3169</v>
      </c>
      <c r="D4150">
        <v>8</v>
      </c>
      <c r="E4150" t="s">
        <v>7</v>
      </c>
      <c r="F4150" t="s">
        <v>772</v>
      </c>
      <c r="G4150" t="s">
        <v>3170</v>
      </c>
      <c r="H4150" t="s">
        <v>32</v>
      </c>
      <c r="I4150" s="28" t="s">
        <v>27</v>
      </c>
    </row>
    <row r="4151" spans="1:9" x14ac:dyDescent="0.3">
      <c r="A4151" s="26">
        <v>45344</v>
      </c>
      <c r="B4151" t="s">
        <v>34</v>
      </c>
      <c r="C4151" t="s">
        <v>802</v>
      </c>
      <c r="D4151">
        <v>8</v>
      </c>
      <c r="E4151" t="s">
        <v>7</v>
      </c>
      <c r="F4151" t="s">
        <v>772</v>
      </c>
      <c r="H4151" t="s">
        <v>32</v>
      </c>
      <c r="I4151" s="28" t="s">
        <v>27</v>
      </c>
    </row>
    <row r="4152" spans="1:9" x14ac:dyDescent="0.3">
      <c r="A4152" s="26">
        <v>45344</v>
      </c>
      <c r="B4152" t="s">
        <v>893</v>
      </c>
      <c r="C4152" t="s">
        <v>802</v>
      </c>
      <c r="D4152">
        <v>8</v>
      </c>
      <c r="E4152" t="s">
        <v>7</v>
      </c>
      <c r="F4152" t="s">
        <v>772</v>
      </c>
      <c r="G4152" t="s">
        <v>2649</v>
      </c>
      <c r="H4152" t="s">
        <v>32</v>
      </c>
      <c r="I4152" s="28" t="s">
        <v>27</v>
      </c>
    </row>
    <row r="4153" spans="1:9" x14ac:dyDescent="0.3">
      <c r="A4153" s="26">
        <v>45344</v>
      </c>
      <c r="B4153" t="s">
        <v>895</v>
      </c>
      <c r="C4153" t="s">
        <v>753</v>
      </c>
      <c r="D4153">
        <v>0.56999999999999995</v>
      </c>
      <c r="E4153" t="s">
        <v>898</v>
      </c>
      <c r="F4153" t="s">
        <v>754</v>
      </c>
      <c r="G4153" t="s">
        <v>3680</v>
      </c>
      <c r="H4153" t="s">
        <v>32</v>
      </c>
      <c r="I4153" s="28" t="s">
        <v>27</v>
      </c>
    </row>
    <row r="4154" spans="1:9" x14ac:dyDescent="0.3">
      <c r="A4154" s="26">
        <v>45344</v>
      </c>
      <c r="B4154" t="s">
        <v>895</v>
      </c>
      <c r="C4154" t="s">
        <v>786</v>
      </c>
      <c r="D4154">
        <v>1</v>
      </c>
      <c r="E4154" t="s">
        <v>7</v>
      </c>
      <c r="F4154" t="s">
        <v>754</v>
      </c>
      <c r="G4154" t="s">
        <v>3681</v>
      </c>
      <c r="H4154" t="s">
        <v>32</v>
      </c>
      <c r="I4154" s="28" t="s">
        <v>27</v>
      </c>
    </row>
    <row r="4155" spans="1:9" x14ac:dyDescent="0.3">
      <c r="A4155" s="26">
        <v>45344</v>
      </c>
      <c r="B4155" t="s">
        <v>895</v>
      </c>
      <c r="C4155" t="s">
        <v>786</v>
      </c>
      <c r="D4155">
        <v>1.5</v>
      </c>
      <c r="E4155" t="s">
        <v>7</v>
      </c>
      <c r="F4155" t="s">
        <v>772</v>
      </c>
      <c r="G4155" t="s">
        <v>3682</v>
      </c>
      <c r="H4155" t="s">
        <v>32</v>
      </c>
      <c r="I4155" s="28" t="s">
        <v>27</v>
      </c>
    </row>
    <row r="4156" spans="1:9" x14ac:dyDescent="0.3">
      <c r="A4156" s="26">
        <v>45344</v>
      </c>
      <c r="B4156" t="s">
        <v>895</v>
      </c>
      <c r="C4156" t="s">
        <v>909</v>
      </c>
      <c r="D4156">
        <v>0.13</v>
      </c>
      <c r="E4156" t="s">
        <v>898</v>
      </c>
      <c r="F4156" t="s">
        <v>754</v>
      </c>
      <c r="G4156" t="s">
        <v>3683</v>
      </c>
      <c r="H4156" t="s">
        <v>32</v>
      </c>
      <c r="I4156" s="28" t="s">
        <v>27</v>
      </c>
    </row>
    <row r="4157" spans="1:9" x14ac:dyDescent="0.3">
      <c r="A4157" s="26">
        <v>45344</v>
      </c>
      <c r="B4157" t="s">
        <v>895</v>
      </c>
      <c r="C4157" t="s">
        <v>789</v>
      </c>
      <c r="D4157">
        <v>0.25</v>
      </c>
      <c r="E4157" t="s">
        <v>898</v>
      </c>
      <c r="F4157" t="s">
        <v>772</v>
      </c>
      <c r="G4157" t="s">
        <v>3684</v>
      </c>
      <c r="H4157" t="s">
        <v>32</v>
      </c>
      <c r="I4157" s="28" t="s">
        <v>27</v>
      </c>
    </row>
    <row r="4158" spans="1:9" x14ac:dyDescent="0.3">
      <c r="A4158" s="26">
        <v>45344</v>
      </c>
      <c r="B4158" t="s">
        <v>895</v>
      </c>
      <c r="C4158" t="s">
        <v>789</v>
      </c>
      <c r="D4158">
        <v>1.18</v>
      </c>
      <c r="E4158" t="s">
        <v>2792</v>
      </c>
      <c r="F4158" t="s">
        <v>754</v>
      </c>
      <c r="G4158" t="s">
        <v>3685</v>
      </c>
      <c r="H4158" t="s">
        <v>32</v>
      </c>
      <c r="I4158" s="28" t="s">
        <v>27</v>
      </c>
    </row>
    <row r="4159" spans="1:9" x14ac:dyDescent="0.3">
      <c r="A4159" s="26">
        <v>45344</v>
      </c>
      <c r="B4159" t="s">
        <v>895</v>
      </c>
      <c r="C4159" t="s">
        <v>771</v>
      </c>
      <c r="D4159">
        <v>0.22</v>
      </c>
      <c r="E4159" t="s">
        <v>7</v>
      </c>
      <c r="F4159" t="s">
        <v>772</v>
      </c>
      <c r="G4159" t="s">
        <v>3686</v>
      </c>
      <c r="H4159" t="s">
        <v>32</v>
      </c>
      <c r="I4159" s="28" t="s">
        <v>27</v>
      </c>
    </row>
    <row r="4160" spans="1:9" x14ac:dyDescent="0.3">
      <c r="A4160" s="26">
        <v>45344</v>
      </c>
      <c r="B4160" t="s">
        <v>895</v>
      </c>
      <c r="C4160" t="s">
        <v>771</v>
      </c>
      <c r="D4160">
        <v>0.23</v>
      </c>
      <c r="E4160" t="s">
        <v>7</v>
      </c>
      <c r="F4160" t="s">
        <v>772</v>
      </c>
      <c r="G4160" t="s">
        <v>3687</v>
      </c>
      <c r="H4160" t="s">
        <v>32</v>
      </c>
      <c r="I4160" s="28" t="s">
        <v>27</v>
      </c>
    </row>
    <row r="4161" spans="1:9" x14ac:dyDescent="0.3">
      <c r="A4161" s="26">
        <v>45344</v>
      </c>
      <c r="B4161" t="s">
        <v>895</v>
      </c>
      <c r="C4161" t="s">
        <v>771</v>
      </c>
      <c r="D4161">
        <v>0.32</v>
      </c>
      <c r="E4161" t="s">
        <v>7</v>
      </c>
      <c r="F4161" t="s">
        <v>772</v>
      </c>
      <c r="G4161" t="s">
        <v>3688</v>
      </c>
      <c r="H4161" t="s">
        <v>32</v>
      </c>
      <c r="I4161" s="28" t="s">
        <v>27</v>
      </c>
    </row>
    <row r="4162" spans="1:9" x14ac:dyDescent="0.3">
      <c r="A4162" s="26">
        <v>45344</v>
      </c>
      <c r="B4162" t="s">
        <v>895</v>
      </c>
      <c r="C4162" t="s">
        <v>771</v>
      </c>
      <c r="D4162">
        <v>0.38</v>
      </c>
      <c r="E4162" t="s">
        <v>7</v>
      </c>
      <c r="F4162" t="s">
        <v>772</v>
      </c>
      <c r="G4162" t="s">
        <v>3689</v>
      </c>
      <c r="H4162" t="s">
        <v>32</v>
      </c>
      <c r="I4162" s="28" t="s">
        <v>27</v>
      </c>
    </row>
    <row r="4163" spans="1:9" x14ac:dyDescent="0.3">
      <c r="A4163" s="26">
        <v>45344</v>
      </c>
      <c r="B4163" t="s">
        <v>895</v>
      </c>
      <c r="C4163" t="s">
        <v>771</v>
      </c>
      <c r="D4163">
        <v>0.38</v>
      </c>
      <c r="E4163" t="s">
        <v>7</v>
      </c>
      <c r="F4163" t="s">
        <v>772</v>
      </c>
      <c r="G4163" t="s">
        <v>3690</v>
      </c>
      <c r="H4163" t="s">
        <v>32</v>
      </c>
      <c r="I4163" s="28" t="s">
        <v>27</v>
      </c>
    </row>
    <row r="4164" spans="1:9" x14ac:dyDescent="0.3">
      <c r="A4164" s="26">
        <v>45344</v>
      </c>
      <c r="B4164" t="s">
        <v>895</v>
      </c>
      <c r="C4164" t="s">
        <v>771</v>
      </c>
      <c r="D4164">
        <v>0.47</v>
      </c>
      <c r="E4164" t="s">
        <v>7</v>
      </c>
      <c r="F4164" t="s">
        <v>772</v>
      </c>
      <c r="G4164" t="s">
        <v>3691</v>
      </c>
      <c r="H4164" t="s">
        <v>32</v>
      </c>
      <c r="I4164" s="28" t="s">
        <v>27</v>
      </c>
    </row>
    <row r="4165" spans="1:9" x14ac:dyDescent="0.3">
      <c r="A4165" s="26">
        <v>45344</v>
      </c>
      <c r="B4165" t="s">
        <v>895</v>
      </c>
      <c r="C4165" t="s">
        <v>771</v>
      </c>
      <c r="D4165">
        <v>0.57999999999999996</v>
      </c>
      <c r="E4165" t="s">
        <v>7</v>
      </c>
      <c r="F4165" t="s">
        <v>772</v>
      </c>
      <c r="G4165" t="s">
        <v>3692</v>
      </c>
      <c r="H4165" t="s">
        <v>32</v>
      </c>
      <c r="I4165" s="28" t="s">
        <v>27</v>
      </c>
    </row>
    <row r="4166" spans="1:9" x14ac:dyDescent="0.3">
      <c r="A4166" s="26">
        <v>45344</v>
      </c>
      <c r="B4166" t="s">
        <v>895</v>
      </c>
      <c r="C4166" t="s">
        <v>771</v>
      </c>
      <c r="D4166">
        <v>0.75</v>
      </c>
      <c r="E4166" t="s">
        <v>7</v>
      </c>
      <c r="F4166" t="s">
        <v>772</v>
      </c>
      <c r="G4166" t="s">
        <v>3693</v>
      </c>
      <c r="H4166" t="s">
        <v>32</v>
      </c>
      <c r="I4166" s="28" t="s">
        <v>27</v>
      </c>
    </row>
    <row r="4167" spans="1:9" x14ac:dyDescent="0.3">
      <c r="A4167" s="26">
        <v>45344</v>
      </c>
      <c r="B4167" t="s">
        <v>895</v>
      </c>
      <c r="C4167" t="s">
        <v>776</v>
      </c>
      <c r="D4167">
        <v>0.28000000000000003</v>
      </c>
      <c r="E4167" t="s">
        <v>815</v>
      </c>
      <c r="F4167" t="s">
        <v>754</v>
      </c>
      <c r="G4167" t="s">
        <v>3694</v>
      </c>
      <c r="H4167" t="s">
        <v>32</v>
      </c>
      <c r="I4167" s="28" t="s">
        <v>27</v>
      </c>
    </row>
    <row r="4168" spans="1:9" x14ac:dyDescent="0.3">
      <c r="A4168" s="26">
        <v>45344</v>
      </c>
      <c r="B4168" t="s">
        <v>929</v>
      </c>
      <c r="C4168" t="s">
        <v>771</v>
      </c>
      <c r="D4168">
        <v>0.15</v>
      </c>
      <c r="E4168" t="s">
        <v>7</v>
      </c>
      <c r="F4168" t="s">
        <v>772</v>
      </c>
      <c r="G4168" t="s">
        <v>3695</v>
      </c>
      <c r="H4168" t="s">
        <v>32</v>
      </c>
      <c r="I4168" s="28" t="s">
        <v>27</v>
      </c>
    </row>
    <row r="4169" spans="1:9" x14ac:dyDescent="0.3">
      <c r="A4169" s="26">
        <v>45344</v>
      </c>
      <c r="B4169" t="s">
        <v>929</v>
      </c>
      <c r="C4169" t="s">
        <v>771</v>
      </c>
      <c r="D4169">
        <v>0.25</v>
      </c>
      <c r="E4169" t="s">
        <v>7</v>
      </c>
      <c r="F4169" t="s">
        <v>772</v>
      </c>
      <c r="G4169" t="s">
        <v>3696</v>
      </c>
      <c r="H4169" t="s">
        <v>32</v>
      </c>
      <c r="I4169" s="28" t="s">
        <v>27</v>
      </c>
    </row>
    <row r="4170" spans="1:9" x14ac:dyDescent="0.3">
      <c r="A4170" s="26">
        <v>45344</v>
      </c>
      <c r="B4170" t="s">
        <v>929</v>
      </c>
      <c r="C4170" t="s">
        <v>771</v>
      </c>
      <c r="D4170">
        <v>0.25</v>
      </c>
      <c r="E4170" t="s">
        <v>7</v>
      </c>
      <c r="F4170" t="s">
        <v>772</v>
      </c>
      <c r="G4170" t="s">
        <v>2054</v>
      </c>
      <c r="H4170" t="s">
        <v>32</v>
      </c>
      <c r="I4170" s="28" t="s">
        <v>27</v>
      </c>
    </row>
    <row r="4171" spans="1:9" x14ac:dyDescent="0.3">
      <c r="A4171" s="26">
        <v>45344</v>
      </c>
      <c r="B4171" t="s">
        <v>929</v>
      </c>
      <c r="C4171" t="s">
        <v>771</v>
      </c>
      <c r="D4171">
        <v>0.53</v>
      </c>
      <c r="E4171" t="s">
        <v>7</v>
      </c>
      <c r="F4171" t="s">
        <v>772</v>
      </c>
      <c r="G4171" t="s">
        <v>3697</v>
      </c>
      <c r="H4171" t="s">
        <v>32</v>
      </c>
      <c r="I4171" s="28" t="s">
        <v>27</v>
      </c>
    </row>
    <row r="4172" spans="1:9" x14ac:dyDescent="0.3">
      <c r="A4172" s="26">
        <v>45344</v>
      </c>
      <c r="B4172" t="s">
        <v>929</v>
      </c>
      <c r="C4172" t="s">
        <v>771</v>
      </c>
      <c r="D4172">
        <v>0.72</v>
      </c>
      <c r="E4172" t="s">
        <v>7</v>
      </c>
      <c r="F4172" t="s">
        <v>772</v>
      </c>
      <c r="G4172" t="s">
        <v>3698</v>
      </c>
      <c r="H4172" t="s">
        <v>32</v>
      </c>
      <c r="I4172" s="28" t="s">
        <v>27</v>
      </c>
    </row>
    <row r="4173" spans="1:9" x14ac:dyDescent="0.3">
      <c r="A4173" s="26">
        <v>45344</v>
      </c>
      <c r="B4173" t="s">
        <v>929</v>
      </c>
      <c r="C4173" t="s">
        <v>771</v>
      </c>
      <c r="D4173">
        <v>1.5</v>
      </c>
      <c r="E4173" t="s">
        <v>7</v>
      </c>
      <c r="F4173" t="s">
        <v>772</v>
      </c>
      <c r="G4173" t="s">
        <v>3699</v>
      </c>
      <c r="H4173" t="s">
        <v>32</v>
      </c>
      <c r="I4173" s="28" t="s">
        <v>27</v>
      </c>
    </row>
    <row r="4174" spans="1:9" x14ac:dyDescent="0.3">
      <c r="A4174" s="26">
        <v>45344</v>
      </c>
      <c r="B4174" t="s">
        <v>929</v>
      </c>
      <c r="C4174" t="s">
        <v>916</v>
      </c>
      <c r="D4174">
        <v>0.32</v>
      </c>
      <c r="E4174" t="s">
        <v>169</v>
      </c>
      <c r="F4174" t="s">
        <v>754</v>
      </c>
      <c r="H4174" t="s">
        <v>32</v>
      </c>
      <c r="I4174" s="28" t="s">
        <v>27</v>
      </c>
    </row>
    <row r="4175" spans="1:9" x14ac:dyDescent="0.3">
      <c r="A4175" s="26">
        <v>45344</v>
      </c>
      <c r="B4175" t="s">
        <v>929</v>
      </c>
      <c r="C4175" t="s">
        <v>916</v>
      </c>
      <c r="D4175">
        <v>0.55000000000000004</v>
      </c>
      <c r="E4175" t="s">
        <v>1013</v>
      </c>
      <c r="F4175" t="s">
        <v>754</v>
      </c>
      <c r="H4175" t="s">
        <v>32</v>
      </c>
      <c r="I4175" s="28" t="s">
        <v>27</v>
      </c>
    </row>
    <row r="4176" spans="1:9" x14ac:dyDescent="0.3">
      <c r="A4176" s="26">
        <v>45344</v>
      </c>
      <c r="B4176" t="s">
        <v>929</v>
      </c>
      <c r="C4176" t="s">
        <v>916</v>
      </c>
      <c r="D4176">
        <v>0.92</v>
      </c>
      <c r="E4176" t="s">
        <v>169</v>
      </c>
      <c r="F4176" t="s">
        <v>754</v>
      </c>
      <c r="G4176" t="s">
        <v>1853</v>
      </c>
      <c r="H4176" t="s">
        <v>32</v>
      </c>
      <c r="I4176" s="28" t="s">
        <v>27</v>
      </c>
    </row>
    <row r="4177" spans="1:9" x14ac:dyDescent="0.3">
      <c r="A4177" s="26">
        <v>45344</v>
      </c>
      <c r="B4177" t="s">
        <v>929</v>
      </c>
      <c r="C4177" t="s">
        <v>916</v>
      </c>
      <c r="D4177">
        <v>0.92</v>
      </c>
      <c r="E4177" t="s">
        <v>1013</v>
      </c>
      <c r="F4177" t="s">
        <v>754</v>
      </c>
      <c r="G4177" t="s">
        <v>3700</v>
      </c>
      <c r="H4177" t="s">
        <v>32</v>
      </c>
      <c r="I4177" s="28" t="s">
        <v>27</v>
      </c>
    </row>
    <row r="4178" spans="1:9" x14ac:dyDescent="0.3">
      <c r="A4178" s="26">
        <v>45344</v>
      </c>
      <c r="B4178" t="s">
        <v>929</v>
      </c>
      <c r="C4178" t="s">
        <v>916</v>
      </c>
      <c r="D4178">
        <v>1.7</v>
      </c>
      <c r="E4178" t="s">
        <v>602</v>
      </c>
      <c r="F4178" t="s">
        <v>754</v>
      </c>
      <c r="G4178" t="s">
        <v>3701</v>
      </c>
      <c r="H4178" t="s">
        <v>32</v>
      </c>
      <c r="I4178" s="28" t="s">
        <v>27</v>
      </c>
    </row>
    <row r="4179" spans="1:9" x14ac:dyDescent="0.3">
      <c r="A4179" s="26">
        <v>45344</v>
      </c>
      <c r="B4179" t="s">
        <v>929</v>
      </c>
      <c r="C4179" t="s">
        <v>954</v>
      </c>
      <c r="D4179">
        <v>0.25</v>
      </c>
      <c r="E4179" t="s">
        <v>7</v>
      </c>
      <c r="F4179" t="s">
        <v>772</v>
      </c>
      <c r="G4179" t="s">
        <v>3702</v>
      </c>
      <c r="H4179" t="s">
        <v>32</v>
      </c>
      <c r="I4179" s="28" t="s">
        <v>27</v>
      </c>
    </row>
    <row r="4180" spans="1:9" x14ac:dyDescent="0.3">
      <c r="A4180" s="26">
        <v>45344</v>
      </c>
      <c r="B4180" t="s">
        <v>959</v>
      </c>
      <c r="C4180" t="s">
        <v>942</v>
      </c>
      <c r="D4180">
        <v>2</v>
      </c>
      <c r="E4180" t="s">
        <v>7</v>
      </c>
      <c r="F4180" t="s">
        <v>772</v>
      </c>
      <c r="G4180" t="s">
        <v>3703</v>
      </c>
      <c r="H4180" t="s">
        <v>32</v>
      </c>
      <c r="I4180" s="28" t="s">
        <v>27</v>
      </c>
    </row>
    <row r="4181" spans="1:9" x14ac:dyDescent="0.3">
      <c r="A4181" s="26">
        <v>45344</v>
      </c>
      <c r="B4181" t="s">
        <v>959</v>
      </c>
      <c r="C4181" t="s">
        <v>878</v>
      </c>
      <c r="D4181">
        <v>6</v>
      </c>
      <c r="E4181" t="s">
        <v>430</v>
      </c>
      <c r="F4181" t="s">
        <v>754</v>
      </c>
      <c r="G4181" t="s">
        <v>3704</v>
      </c>
      <c r="H4181" t="s">
        <v>32</v>
      </c>
      <c r="I4181" s="28" t="s">
        <v>27</v>
      </c>
    </row>
    <row r="4182" spans="1:9" x14ac:dyDescent="0.3">
      <c r="A4182" s="26">
        <v>45344</v>
      </c>
      <c r="B4182" t="s">
        <v>961</v>
      </c>
      <c r="C4182" t="s">
        <v>753</v>
      </c>
      <c r="D4182">
        <v>0.72</v>
      </c>
      <c r="E4182" t="s">
        <v>717</v>
      </c>
      <c r="F4182" t="s">
        <v>754</v>
      </c>
      <c r="G4182" t="s">
        <v>3705</v>
      </c>
      <c r="H4182" t="s">
        <v>32</v>
      </c>
      <c r="I4182" s="28" t="s">
        <v>27</v>
      </c>
    </row>
    <row r="4183" spans="1:9" x14ac:dyDescent="0.3">
      <c r="A4183" s="26">
        <v>45344</v>
      </c>
      <c r="B4183" t="s">
        <v>961</v>
      </c>
      <c r="C4183" t="s">
        <v>753</v>
      </c>
      <c r="D4183">
        <v>2.15</v>
      </c>
      <c r="E4183" t="s">
        <v>790</v>
      </c>
      <c r="F4183" t="s">
        <v>754</v>
      </c>
      <c r="H4183" t="s">
        <v>32</v>
      </c>
      <c r="I4183" s="28" t="s">
        <v>27</v>
      </c>
    </row>
    <row r="4184" spans="1:9" x14ac:dyDescent="0.3">
      <c r="A4184" s="26">
        <v>45344</v>
      </c>
      <c r="B4184" t="s">
        <v>961</v>
      </c>
      <c r="C4184" t="s">
        <v>753</v>
      </c>
      <c r="D4184">
        <v>2.9</v>
      </c>
      <c r="E4184" t="s">
        <v>655</v>
      </c>
      <c r="F4184" t="s">
        <v>754</v>
      </c>
      <c r="H4184" t="s">
        <v>32</v>
      </c>
      <c r="I4184" s="28" t="s">
        <v>27</v>
      </c>
    </row>
    <row r="4185" spans="1:9" x14ac:dyDescent="0.3">
      <c r="A4185" s="26">
        <v>45344</v>
      </c>
      <c r="B4185" t="s">
        <v>961</v>
      </c>
      <c r="C4185" t="s">
        <v>771</v>
      </c>
      <c r="D4185">
        <v>0.92</v>
      </c>
      <c r="E4185" t="s">
        <v>7</v>
      </c>
      <c r="F4185" t="s">
        <v>772</v>
      </c>
      <c r="G4185" t="s">
        <v>3706</v>
      </c>
      <c r="H4185" t="s">
        <v>32</v>
      </c>
      <c r="I4185" s="28" t="s">
        <v>27</v>
      </c>
    </row>
    <row r="4186" spans="1:9" x14ac:dyDescent="0.3">
      <c r="A4186" s="26">
        <v>45344</v>
      </c>
      <c r="B4186" t="s">
        <v>961</v>
      </c>
      <c r="C4186" t="s">
        <v>776</v>
      </c>
      <c r="D4186">
        <v>1.42</v>
      </c>
      <c r="E4186" t="s">
        <v>234</v>
      </c>
      <c r="F4186" t="s">
        <v>754</v>
      </c>
      <c r="G4186" t="s">
        <v>3707</v>
      </c>
      <c r="H4186" t="s">
        <v>32</v>
      </c>
      <c r="I4186" s="28" t="s">
        <v>27</v>
      </c>
    </row>
    <row r="4187" spans="1:9" x14ac:dyDescent="0.3">
      <c r="A4187" s="26">
        <v>45344</v>
      </c>
      <c r="B4187" t="s">
        <v>962</v>
      </c>
      <c r="C4187" t="s">
        <v>753</v>
      </c>
      <c r="D4187">
        <v>1</v>
      </c>
      <c r="E4187" t="s">
        <v>717</v>
      </c>
      <c r="F4187" t="s">
        <v>754</v>
      </c>
      <c r="G4187" t="s">
        <v>3708</v>
      </c>
      <c r="H4187" t="s">
        <v>32</v>
      </c>
      <c r="I4187" s="28" t="s">
        <v>27</v>
      </c>
    </row>
    <row r="4188" spans="1:9" x14ac:dyDescent="0.3">
      <c r="A4188" s="26">
        <v>45344</v>
      </c>
      <c r="B4188" t="s">
        <v>966</v>
      </c>
      <c r="C4188" t="s">
        <v>967</v>
      </c>
      <c r="D4188">
        <v>1</v>
      </c>
      <c r="E4188" t="s">
        <v>7</v>
      </c>
      <c r="F4188" t="s">
        <v>772</v>
      </c>
      <c r="G4188" t="s">
        <v>3709</v>
      </c>
      <c r="H4188" t="s">
        <v>32</v>
      </c>
      <c r="I4188" s="28" t="s">
        <v>27</v>
      </c>
    </row>
    <row r="4189" spans="1:9" x14ac:dyDescent="0.3">
      <c r="A4189" s="26">
        <v>45344</v>
      </c>
      <c r="B4189" t="s">
        <v>966</v>
      </c>
      <c r="C4189" t="s">
        <v>967</v>
      </c>
      <c r="D4189">
        <v>3</v>
      </c>
      <c r="E4189" t="s">
        <v>790</v>
      </c>
      <c r="F4189" t="s">
        <v>754</v>
      </c>
      <c r="H4189" t="s">
        <v>32</v>
      </c>
      <c r="I4189" s="28" t="s">
        <v>27</v>
      </c>
    </row>
    <row r="4190" spans="1:9" x14ac:dyDescent="0.3">
      <c r="A4190" s="26">
        <v>45344</v>
      </c>
      <c r="B4190" t="s">
        <v>966</v>
      </c>
      <c r="C4190" t="s">
        <v>967</v>
      </c>
      <c r="D4190">
        <v>3.5</v>
      </c>
      <c r="E4190" t="s">
        <v>7</v>
      </c>
      <c r="F4190" t="s">
        <v>772</v>
      </c>
      <c r="H4190" t="s">
        <v>32</v>
      </c>
      <c r="I4190" s="28" t="s">
        <v>27</v>
      </c>
    </row>
    <row r="4191" spans="1:9" x14ac:dyDescent="0.3">
      <c r="A4191" s="26">
        <v>45344</v>
      </c>
      <c r="B4191" t="s">
        <v>966</v>
      </c>
      <c r="C4191" t="s">
        <v>771</v>
      </c>
      <c r="D4191">
        <v>0.5</v>
      </c>
      <c r="E4191" t="s">
        <v>7</v>
      </c>
      <c r="F4191" t="s">
        <v>772</v>
      </c>
      <c r="G4191" t="s">
        <v>781</v>
      </c>
      <c r="H4191" t="s">
        <v>32</v>
      </c>
      <c r="I4191" s="28" t="s">
        <v>27</v>
      </c>
    </row>
    <row r="4192" spans="1:9" x14ac:dyDescent="0.3">
      <c r="A4192" s="26">
        <v>45344</v>
      </c>
      <c r="B4192" t="s">
        <v>969</v>
      </c>
      <c r="C4192" t="s">
        <v>771</v>
      </c>
      <c r="D4192">
        <v>2.1</v>
      </c>
      <c r="E4192" t="s">
        <v>7</v>
      </c>
      <c r="F4192" t="s">
        <v>772</v>
      </c>
      <c r="G4192" t="s">
        <v>3710</v>
      </c>
      <c r="H4192" t="s">
        <v>32</v>
      </c>
      <c r="I4192" s="28" t="s">
        <v>27</v>
      </c>
    </row>
    <row r="4193" spans="1:9" x14ac:dyDescent="0.3">
      <c r="A4193" s="26">
        <v>45344</v>
      </c>
      <c r="B4193" t="s">
        <v>969</v>
      </c>
      <c r="C4193" t="s">
        <v>771</v>
      </c>
      <c r="D4193">
        <v>5.32</v>
      </c>
      <c r="E4193" t="s">
        <v>206</v>
      </c>
      <c r="F4193" t="s">
        <v>772</v>
      </c>
      <c r="G4193" t="s">
        <v>3711</v>
      </c>
      <c r="H4193" t="s">
        <v>32</v>
      </c>
      <c r="I4193" s="28" t="s">
        <v>27</v>
      </c>
    </row>
    <row r="4194" spans="1:9" x14ac:dyDescent="0.3">
      <c r="A4194" s="26">
        <v>45344</v>
      </c>
      <c r="B4194" t="s">
        <v>969</v>
      </c>
      <c r="C4194" t="s">
        <v>835</v>
      </c>
      <c r="D4194">
        <v>0.63</v>
      </c>
      <c r="E4194" t="s">
        <v>790</v>
      </c>
      <c r="F4194" t="s">
        <v>754</v>
      </c>
      <c r="G4194" t="s">
        <v>3712</v>
      </c>
      <c r="H4194" t="s">
        <v>32</v>
      </c>
      <c r="I4194" s="28" t="s">
        <v>27</v>
      </c>
    </row>
    <row r="4195" spans="1:9" x14ac:dyDescent="0.3">
      <c r="A4195" s="26">
        <v>45344</v>
      </c>
      <c r="B4195" t="s">
        <v>977</v>
      </c>
      <c r="C4195" t="s">
        <v>753</v>
      </c>
      <c r="D4195">
        <v>3.23</v>
      </c>
      <c r="E4195" t="s">
        <v>978</v>
      </c>
      <c r="F4195" t="s">
        <v>754</v>
      </c>
      <c r="G4195" t="s">
        <v>3713</v>
      </c>
      <c r="H4195" t="s">
        <v>32</v>
      </c>
      <c r="I4195" s="28" t="s">
        <v>27</v>
      </c>
    </row>
    <row r="4196" spans="1:9" x14ac:dyDescent="0.3">
      <c r="A4196" s="26">
        <v>45344</v>
      </c>
      <c r="B4196" t="s">
        <v>977</v>
      </c>
      <c r="C4196" t="s">
        <v>753</v>
      </c>
      <c r="D4196">
        <v>4.32</v>
      </c>
      <c r="E4196" t="s">
        <v>978</v>
      </c>
      <c r="F4196" t="s">
        <v>754</v>
      </c>
      <c r="G4196" t="s">
        <v>3714</v>
      </c>
      <c r="H4196" t="s">
        <v>32</v>
      </c>
      <c r="I4196" s="28" t="s">
        <v>27</v>
      </c>
    </row>
    <row r="4197" spans="1:9" x14ac:dyDescent="0.3">
      <c r="A4197" s="26">
        <v>45344</v>
      </c>
      <c r="B4197" t="s">
        <v>977</v>
      </c>
      <c r="C4197" t="s">
        <v>771</v>
      </c>
      <c r="D4197">
        <v>0.5</v>
      </c>
      <c r="E4197" t="s">
        <v>7</v>
      </c>
      <c r="F4197" t="s">
        <v>772</v>
      </c>
      <c r="G4197" t="s">
        <v>820</v>
      </c>
      <c r="H4197" t="s">
        <v>32</v>
      </c>
      <c r="I4197" s="28" t="s">
        <v>27</v>
      </c>
    </row>
    <row r="4198" spans="1:9" x14ac:dyDescent="0.3">
      <c r="A4198" s="26">
        <v>45344</v>
      </c>
      <c r="B4198" t="s">
        <v>981</v>
      </c>
      <c r="C4198" t="s">
        <v>982</v>
      </c>
      <c r="D4198">
        <v>9</v>
      </c>
      <c r="E4198" t="s">
        <v>7</v>
      </c>
      <c r="F4198" t="s">
        <v>772</v>
      </c>
      <c r="G4198" t="s">
        <v>3715</v>
      </c>
      <c r="H4198" t="s">
        <v>32</v>
      </c>
      <c r="I4198" s="28" t="s">
        <v>27</v>
      </c>
    </row>
    <row r="4199" spans="1:9" x14ac:dyDescent="0.3">
      <c r="A4199" s="26">
        <v>45344</v>
      </c>
      <c r="B4199" t="s">
        <v>984</v>
      </c>
      <c r="C4199" t="s">
        <v>753</v>
      </c>
      <c r="D4199">
        <v>0.73</v>
      </c>
      <c r="E4199" t="s">
        <v>13</v>
      </c>
      <c r="F4199" t="s">
        <v>754</v>
      </c>
      <c r="G4199" t="s">
        <v>3716</v>
      </c>
      <c r="H4199" t="s">
        <v>32</v>
      </c>
      <c r="I4199" s="28" t="s">
        <v>27</v>
      </c>
    </row>
    <row r="4200" spans="1:9" x14ac:dyDescent="0.3">
      <c r="A4200" s="26">
        <v>45344</v>
      </c>
      <c r="B4200" t="s">
        <v>984</v>
      </c>
      <c r="C4200" t="s">
        <v>753</v>
      </c>
      <c r="D4200">
        <v>1.1299999999999999</v>
      </c>
      <c r="E4200" t="s">
        <v>602</v>
      </c>
      <c r="F4200" t="s">
        <v>772</v>
      </c>
      <c r="G4200" t="s">
        <v>2081</v>
      </c>
      <c r="H4200" t="s">
        <v>32</v>
      </c>
      <c r="I4200" s="28" t="s">
        <v>27</v>
      </c>
    </row>
    <row r="4201" spans="1:9" x14ac:dyDescent="0.3">
      <c r="A4201" s="26">
        <v>45344</v>
      </c>
      <c r="B4201" t="s">
        <v>984</v>
      </c>
      <c r="C4201" t="s">
        <v>753</v>
      </c>
      <c r="D4201">
        <v>2.4700000000000002</v>
      </c>
      <c r="E4201" t="s">
        <v>985</v>
      </c>
      <c r="F4201" t="s">
        <v>754</v>
      </c>
      <c r="G4201" t="s">
        <v>3717</v>
      </c>
      <c r="H4201" t="s">
        <v>32</v>
      </c>
      <c r="I4201" s="28" t="s">
        <v>27</v>
      </c>
    </row>
    <row r="4202" spans="1:9" x14ac:dyDescent="0.3">
      <c r="A4202" s="26">
        <v>45344</v>
      </c>
      <c r="B4202" t="s">
        <v>984</v>
      </c>
      <c r="C4202" t="s">
        <v>753</v>
      </c>
      <c r="D4202">
        <v>2.8</v>
      </c>
      <c r="E4202" t="s">
        <v>13</v>
      </c>
      <c r="F4202" t="s">
        <v>754</v>
      </c>
      <c r="H4202" t="s">
        <v>32</v>
      </c>
      <c r="I4202" s="28" t="s">
        <v>27</v>
      </c>
    </row>
    <row r="4203" spans="1:9" x14ac:dyDescent="0.3">
      <c r="A4203" s="26">
        <v>45344</v>
      </c>
      <c r="B4203" t="s">
        <v>984</v>
      </c>
      <c r="C4203" t="s">
        <v>771</v>
      </c>
      <c r="D4203">
        <v>1.03</v>
      </c>
      <c r="E4203" t="s">
        <v>7</v>
      </c>
      <c r="F4203" t="s">
        <v>772</v>
      </c>
      <c r="G4203" t="s">
        <v>3718</v>
      </c>
      <c r="H4203" t="s">
        <v>32</v>
      </c>
      <c r="I4203" s="28" t="s">
        <v>27</v>
      </c>
    </row>
    <row r="4204" spans="1:9" x14ac:dyDescent="0.3">
      <c r="A4204" s="26">
        <v>45344</v>
      </c>
      <c r="B4204" t="s">
        <v>991</v>
      </c>
      <c r="C4204" t="s">
        <v>992</v>
      </c>
      <c r="D4204">
        <v>0.82</v>
      </c>
      <c r="E4204" t="s">
        <v>7</v>
      </c>
      <c r="F4204" t="s">
        <v>772</v>
      </c>
      <c r="G4204" t="s">
        <v>3719</v>
      </c>
      <c r="H4204" t="s">
        <v>32</v>
      </c>
      <c r="I4204" s="28" t="s">
        <v>27</v>
      </c>
    </row>
    <row r="4205" spans="1:9" x14ac:dyDescent="0.3">
      <c r="A4205" s="26">
        <v>45344</v>
      </c>
      <c r="B4205" t="s">
        <v>991</v>
      </c>
      <c r="C4205" t="s">
        <v>992</v>
      </c>
      <c r="D4205">
        <v>1.8</v>
      </c>
      <c r="E4205" t="s">
        <v>7</v>
      </c>
      <c r="F4205" t="s">
        <v>772</v>
      </c>
      <c r="G4205" t="s">
        <v>3720</v>
      </c>
      <c r="H4205" t="s">
        <v>32</v>
      </c>
      <c r="I4205" s="28" t="s">
        <v>27</v>
      </c>
    </row>
    <row r="4206" spans="1:9" x14ac:dyDescent="0.3">
      <c r="A4206" s="26">
        <v>45344</v>
      </c>
      <c r="B4206" t="s">
        <v>991</v>
      </c>
      <c r="C4206" t="s">
        <v>992</v>
      </c>
      <c r="D4206">
        <v>1.83</v>
      </c>
      <c r="E4206" t="s">
        <v>7</v>
      </c>
      <c r="F4206" t="s">
        <v>772</v>
      </c>
      <c r="G4206" t="s">
        <v>3721</v>
      </c>
      <c r="H4206" t="s">
        <v>32</v>
      </c>
      <c r="I4206" s="28" t="s">
        <v>27</v>
      </c>
    </row>
    <row r="4207" spans="1:9" x14ac:dyDescent="0.3">
      <c r="A4207" s="26">
        <v>45344</v>
      </c>
      <c r="B4207" t="s">
        <v>991</v>
      </c>
      <c r="C4207" t="s">
        <v>992</v>
      </c>
      <c r="D4207">
        <v>2.2799999999999998</v>
      </c>
      <c r="E4207" t="s">
        <v>999</v>
      </c>
      <c r="F4207" t="s">
        <v>772</v>
      </c>
      <c r="G4207" t="s">
        <v>3722</v>
      </c>
      <c r="H4207" t="s">
        <v>32</v>
      </c>
      <c r="I4207" s="28" t="s">
        <v>27</v>
      </c>
    </row>
    <row r="4208" spans="1:9" x14ac:dyDescent="0.3">
      <c r="A4208" s="26">
        <v>45344</v>
      </c>
      <c r="B4208" t="s">
        <v>991</v>
      </c>
      <c r="C4208" t="s">
        <v>753</v>
      </c>
      <c r="D4208">
        <v>0.97</v>
      </c>
      <c r="E4208" t="s">
        <v>7</v>
      </c>
      <c r="F4208" t="s">
        <v>772</v>
      </c>
      <c r="G4208" t="s">
        <v>3723</v>
      </c>
      <c r="H4208" t="s">
        <v>32</v>
      </c>
      <c r="I4208" s="28" t="s">
        <v>27</v>
      </c>
    </row>
    <row r="4209" spans="1:9" x14ac:dyDescent="0.3">
      <c r="A4209" s="26">
        <v>45344</v>
      </c>
      <c r="B4209" t="s">
        <v>991</v>
      </c>
      <c r="C4209" t="s">
        <v>1870</v>
      </c>
      <c r="D4209">
        <v>1.77</v>
      </c>
      <c r="E4209" t="s">
        <v>999</v>
      </c>
      <c r="F4209" t="s">
        <v>772</v>
      </c>
      <c r="G4209" t="s">
        <v>3724</v>
      </c>
      <c r="H4209" t="s">
        <v>32</v>
      </c>
      <c r="I4209" s="28" t="s">
        <v>27</v>
      </c>
    </row>
    <row r="4210" spans="1:9" x14ac:dyDescent="0.3">
      <c r="A4210" s="26">
        <v>45344</v>
      </c>
      <c r="B4210" t="s">
        <v>1002</v>
      </c>
      <c r="C4210" t="s">
        <v>1003</v>
      </c>
      <c r="D4210">
        <v>10</v>
      </c>
      <c r="E4210" t="s">
        <v>7</v>
      </c>
      <c r="F4210" t="s">
        <v>772</v>
      </c>
      <c r="G4210" t="s">
        <v>3725</v>
      </c>
      <c r="H4210" t="s">
        <v>32</v>
      </c>
      <c r="I4210" s="28" t="s">
        <v>27</v>
      </c>
    </row>
    <row r="4211" spans="1:9" x14ac:dyDescent="0.3">
      <c r="A4211" s="26">
        <v>45344</v>
      </c>
      <c r="B4211" t="s">
        <v>1005</v>
      </c>
      <c r="C4211" t="s">
        <v>753</v>
      </c>
      <c r="D4211">
        <v>0.5</v>
      </c>
      <c r="E4211" t="s">
        <v>1438</v>
      </c>
      <c r="F4211" t="s">
        <v>754</v>
      </c>
      <c r="G4211" t="s">
        <v>1874</v>
      </c>
      <c r="H4211" t="s">
        <v>32</v>
      </c>
      <c r="I4211" s="28" t="s">
        <v>27</v>
      </c>
    </row>
    <row r="4212" spans="1:9" x14ac:dyDescent="0.3">
      <c r="A4212" s="26">
        <v>45344</v>
      </c>
      <c r="B4212" t="s">
        <v>1005</v>
      </c>
      <c r="C4212" t="s">
        <v>753</v>
      </c>
      <c r="D4212">
        <v>1.25</v>
      </c>
      <c r="E4212" t="s">
        <v>471</v>
      </c>
      <c r="F4212" t="s">
        <v>754</v>
      </c>
      <c r="H4212" t="s">
        <v>32</v>
      </c>
      <c r="I4212" s="28" t="s">
        <v>27</v>
      </c>
    </row>
    <row r="4213" spans="1:9" x14ac:dyDescent="0.3">
      <c r="A4213" s="26">
        <v>45344</v>
      </c>
      <c r="B4213" t="s">
        <v>1005</v>
      </c>
      <c r="C4213" t="s">
        <v>753</v>
      </c>
      <c r="D4213">
        <v>2</v>
      </c>
      <c r="E4213" t="s">
        <v>430</v>
      </c>
      <c r="F4213" t="s">
        <v>754</v>
      </c>
      <c r="H4213" t="s">
        <v>32</v>
      </c>
      <c r="I4213" s="28" t="s">
        <v>27</v>
      </c>
    </row>
    <row r="4214" spans="1:9" x14ac:dyDescent="0.3">
      <c r="A4214" s="26">
        <v>45344</v>
      </c>
      <c r="B4214" t="s">
        <v>1005</v>
      </c>
      <c r="C4214" t="s">
        <v>771</v>
      </c>
      <c r="D4214">
        <v>0.25</v>
      </c>
      <c r="E4214" t="s">
        <v>7</v>
      </c>
      <c r="F4214" t="s">
        <v>772</v>
      </c>
      <c r="G4214" t="s">
        <v>3726</v>
      </c>
      <c r="H4214" t="s">
        <v>32</v>
      </c>
      <c r="I4214" s="28" t="s">
        <v>27</v>
      </c>
    </row>
    <row r="4215" spans="1:9" x14ac:dyDescent="0.3">
      <c r="A4215" s="26">
        <v>45344</v>
      </c>
      <c r="B4215" t="s">
        <v>1005</v>
      </c>
      <c r="C4215" t="s">
        <v>776</v>
      </c>
      <c r="D4215">
        <v>0.25</v>
      </c>
      <c r="E4215" t="s">
        <v>141</v>
      </c>
      <c r="F4215" t="s">
        <v>754</v>
      </c>
      <c r="H4215" t="s">
        <v>32</v>
      </c>
      <c r="I4215" s="28" t="s">
        <v>27</v>
      </c>
    </row>
    <row r="4216" spans="1:9" x14ac:dyDescent="0.3">
      <c r="A4216" s="26">
        <v>45344</v>
      </c>
      <c r="B4216" t="s">
        <v>1005</v>
      </c>
      <c r="C4216" t="s">
        <v>776</v>
      </c>
      <c r="D4216">
        <v>0.5</v>
      </c>
      <c r="E4216" t="s">
        <v>1438</v>
      </c>
      <c r="F4216" t="s">
        <v>754</v>
      </c>
      <c r="G4216" t="s">
        <v>3727</v>
      </c>
      <c r="H4216" t="s">
        <v>32</v>
      </c>
      <c r="I4216" s="28" t="s">
        <v>27</v>
      </c>
    </row>
    <row r="4217" spans="1:9" x14ac:dyDescent="0.3">
      <c r="A4217" s="26">
        <v>45344</v>
      </c>
      <c r="B4217" t="s">
        <v>1005</v>
      </c>
      <c r="C4217" t="s">
        <v>776</v>
      </c>
      <c r="D4217">
        <v>0.75</v>
      </c>
      <c r="E4217" t="s">
        <v>161</v>
      </c>
      <c r="F4217" t="s">
        <v>754</v>
      </c>
      <c r="H4217" t="s">
        <v>32</v>
      </c>
      <c r="I4217" s="28" t="s">
        <v>27</v>
      </c>
    </row>
    <row r="4218" spans="1:9" x14ac:dyDescent="0.3">
      <c r="A4218" s="26">
        <v>45344</v>
      </c>
      <c r="B4218" t="s">
        <v>1006</v>
      </c>
      <c r="C4218" t="s">
        <v>909</v>
      </c>
      <c r="D4218">
        <v>0.05</v>
      </c>
      <c r="E4218" t="s">
        <v>964</v>
      </c>
      <c r="F4218" t="s">
        <v>772</v>
      </c>
      <c r="G4218" t="s">
        <v>1237</v>
      </c>
      <c r="H4218" t="s">
        <v>32</v>
      </c>
      <c r="I4218" s="28" t="s">
        <v>27</v>
      </c>
    </row>
    <row r="4219" spans="1:9" x14ac:dyDescent="0.3">
      <c r="A4219" s="26">
        <v>45344</v>
      </c>
      <c r="B4219" t="s">
        <v>1006</v>
      </c>
      <c r="C4219" t="s">
        <v>909</v>
      </c>
      <c r="D4219">
        <v>0.08</v>
      </c>
      <c r="E4219" t="s">
        <v>2525</v>
      </c>
      <c r="F4219" t="s">
        <v>754</v>
      </c>
      <c r="G4219" t="s">
        <v>1012</v>
      </c>
      <c r="H4219" t="s">
        <v>32</v>
      </c>
      <c r="I4219" s="28" t="s">
        <v>27</v>
      </c>
    </row>
    <row r="4220" spans="1:9" x14ac:dyDescent="0.3">
      <c r="A4220" s="26">
        <v>45344</v>
      </c>
      <c r="B4220" t="s">
        <v>1006</v>
      </c>
      <c r="C4220" t="s">
        <v>909</v>
      </c>
      <c r="D4220">
        <v>0.15</v>
      </c>
      <c r="E4220" t="s">
        <v>757</v>
      </c>
      <c r="F4220" t="s">
        <v>754</v>
      </c>
      <c r="G4220" t="s">
        <v>1012</v>
      </c>
      <c r="H4220" t="s">
        <v>32</v>
      </c>
      <c r="I4220" s="28" t="s">
        <v>27</v>
      </c>
    </row>
    <row r="4221" spans="1:9" x14ac:dyDescent="0.3">
      <c r="A4221" s="26">
        <v>45344</v>
      </c>
      <c r="B4221" t="s">
        <v>1006</v>
      </c>
      <c r="C4221" t="s">
        <v>909</v>
      </c>
      <c r="D4221">
        <v>0.27</v>
      </c>
      <c r="E4221" t="s">
        <v>922</v>
      </c>
      <c r="F4221" t="s">
        <v>754</v>
      </c>
      <c r="G4221" t="s">
        <v>1012</v>
      </c>
      <c r="H4221" t="s">
        <v>32</v>
      </c>
      <c r="I4221" s="28" t="s">
        <v>27</v>
      </c>
    </row>
    <row r="4222" spans="1:9" x14ac:dyDescent="0.3">
      <c r="A4222" s="26">
        <v>45344</v>
      </c>
      <c r="B4222" t="s">
        <v>1006</v>
      </c>
      <c r="C4222" t="s">
        <v>909</v>
      </c>
      <c r="D4222">
        <v>0.27</v>
      </c>
      <c r="E4222" t="s">
        <v>757</v>
      </c>
      <c r="F4222" t="s">
        <v>754</v>
      </c>
      <c r="G4222" t="s">
        <v>3728</v>
      </c>
      <c r="H4222" t="s">
        <v>32</v>
      </c>
      <c r="I4222" s="28" t="s">
        <v>27</v>
      </c>
    </row>
    <row r="4223" spans="1:9" x14ac:dyDescent="0.3">
      <c r="A4223" s="26">
        <v>45344</v>
      </c>
      <c r="B4223" t="s">
        <v>1006</v>
      </c>
      <c r="C4223" t="s">
        <v>909</v>
      </c>
      <c r="D4223">
        <v>1.05</v>
      </c>
      <c r="E4223" t="s">
        <v>757</v>
      </c>
      <c r="F4223" t="s">
        <v>754</v>
      </c>
      <c r="G4223" t="s">
        <v>3729</v>
      </c>
      <c r="H4223" t="s">
        <v>32</v>
      </c>
      <c r="I4223" s="28" t="s">
        <v>27</v>
      </c>
    </row>
    <row r="4224" spans="1:9" x14ac:dyDescent="0.3">
      <c r="A4224" s="26">
        <v>45344</v>
      </c>
      <c r="B4224" t="s">
        <v>1006</v>
      </c>
      <c r="C4224" t="s">
        <v>909</v>
      </c>
      <c r="D4224">
        <v>1.3</v>
      </c>
      <c r="E4224" t="s">
        <v>757</v>
      </c>
      <c r="F4224" t="s">
        <v>772</v>
      </c>
      <c r="G4224" t="s">
        <v>3730</v>
      </c>
      <c r="H4224" t="s">
        <v>32</v>
      </c>
      <c r="I4224" s="28" t="s">
        <v>27</v>
      </c>
    </row>
    <row r="4225" spans="1:9" x14ac:dyDescent="0.3">
      <c r="A4225" s="26">
        <v>45344</v>
      </c>
      <c r="B4225" t="s">
        <v>1006</v>
      </c>
      <c r="C4225" t="s">
        <v>909</v>
      </c>
      <c r="D4225">
        <v>3.48</v>
      </c>
      <c r="E4225" t="s">
        <v>151</v>
      </c>
      <c r="F4225" t="s">
        <v>754</v>
      </c>
      <c r="G4225" t="s">
        <v>1358</v>
      </c>
      <c r="H4225" t="s">
        <v>32</v>
      </c>
      <c r="I4225" s="28" t="s">
        <v>27</v>
      </c>
    </row>
    <row r="4226" spans="1:9" x14ac:dyDescent="0.3">
      <c r="A4226" s="26">
        <v>45344</v>
      </c>
      <c r="B4226" t="s">
        <v>1006</v>
      </c>
      <c r="C4226" t="s">
        <v>789</v>
      </c>
      <c r="D4226">
        <v>0.77</v>
      </c>
      <c r="E4226" t="s">
        <v>757</v>
      </c>
      <c r="F4226" t="s">
        <v>754</v>
      </c>
      <c r="G4226" t="s">
        <v>3731</v>
      </c>
      <c r="H4226" t="s">
        <v>32</v>
      </c>
      <c r="I4226" s="28" t="s">
        <v>27</v>
      </c>
    </row>
    <row r="4227" spans="1:9" x14ac:dyDescent="0.3">
      <c r="A4227" s="26">
        <v>45344</v>
      </c>
      <c r="B4227" t="s">
        <v>1006</v>
      </c>
      <c r="C4227" t="s">
        <v>771</v>
      </c>
      <c r="D4227">
        <v>0.63</v>
      </c>
      <c r="E4227" t="s">
        <v>7</v>
      </c>
      <c r="F4227" t="s">
        <v>772</v>
      </c>
      <c r="G4227" t="s">
        <v>1010</v>
      </c>
      <c r="H4227" t="s">
        <v>32</v>
      </c>
      <c r="I4227" s="28" t="s">
        <v>27</v>
      </c>
    </row>
    <row r="4228" spans="1:9" x14ac:dyDescent="0.3">
      <c r="A4228" s="26">
        <v>45344</v>
      </c>
      <c r="B4228" t="s">
        <v>1011</v>
      </c>
      <c r="C4228" t="s">
        <v>753</v>
      </c>
      <c r="D4228">
        <v>0.22</v>
      </c>
      <c r="E4228" t="s">
        <v>589</v>
      </c>
      <c r="F4228" t="s">
        <v>754</v>
      </c>
      <c r="H4228" t="s">
        <v>32</v>
      </c>
      <c r="I4228" s="28" t="s">
        <v>27</v>
      </c>
    </row>
    <row r="4229" spans="1:9" x14ac:dyDescent="0.3">
      <c r="A4229" s="26">
        <v>45344</v>
      </c>
      <c r="B4229" t="s">
        <v>1011</v>
      </c>
      <c r="C4229" t="s">
        <v>753</v>
      </c>
      <c r="D4229">
        <v>0.23</v>
      </c>
      <c r="E4229" t="s">
        <v>589</v>
      </c>
      <c r="F4229" t="s">
        <v>754</v>
      </c>
      <c r="G4229" t="s">
        <v>3392</v>
      </c>
      <c r="H4229" t="s">
        <v>32</v>
      </c>
      <c r="I4229" s="28" t="s">
        <v>27</v>
      </c>
    </row>
    <row r="4230" spans="1:9" x14ac:dyDescent="0.3">
      <c r="A4230" s="26">
        <v>45344</v>
      </c>
      <c r="B4230" t="s">
        <v>1011</v>
      </c>
      <c r="C4230" t="s">
        <v>753</v>
      </c>
      <c r="D4230">
        <v>0.25</v>
      </c>
      <c r="E4230" t="s">
        <v>589</v>
      </c>
      <c r="F4230" t="s">
        <v>754</v>
      </c>
      <c r="G4230" t="s">
        <v>1243</v>
      </c>
      <c r="H4230" t="s">
        <v>32</v>
      </c>
      <c r="I4230" s="28" t="s">
        <v>27</v>
      </c>
    </row>
    <row r="4231" spans="1:9" x14ac:dyDescent="0.3">
      <c r="A4231" s="26">
        <v>45344</v>
      </c>
      <c r="B4231" t="s">
        <v>1011</v>
      </c>
      <c r="C4231" t="s">
        <v>753</v>
      </c>
      <c r="D4231">
        <v>0.45</v>
      </c>
      <c r="E4231" t="s">
        <v>1013</v>
      </c>
      <c r="F4231" t="s">
        <v>754</v>
      </c>
      <c r="G4231" t="s">
        <v>3732</v>
      </c>
      <c r="H4231" t="s">
        <v>32</v>
      </c>
      <c r="I4231" s="28" t="s">
        <v>27</v>
      </c>
    </row>
    <row r="4232" spans="1:9" x14ac:dyDescent="0.3">
      <c r="A4232" s="26">
        <v>45344</v>
      </c>
      <c r="B4232" t="s">
        <v>1011</v>
      </c>
      <c r="C4232" t="s">
        <v>753</v>
      </c>
      <c r="D4232">
        <v>0.57999999999999996</v>
      </c>
      <c r="E4232" t="s">
        <v>1013</v>
      </c>
      <c r="F4232" t="s">
        <v>754</v>
      </c>
      <c r="G4232" t="s">
        <v>3733</v>
      </c>
      <c r="H4232" t="s">
        <v>32</v>
      </c>
      <c r="I4232" s="28" t="s">
        <v>27</v>
      </c>
    </row>
    <row r="4233" spans="1:9" x14ac:dyDescent="0.3">
      <c r="A4233" s="26">
        <v>45344</v>
      </c>
      <c r="B4233" t="s">
        <v>1011</v>
      </c>
      <c r="C4233" t="s">
        <v>753</v>
      </c>
      <c r="D4233">
        <v>0.62</v>
      </c>
      <c r="E4233" t="s">
        <v>589</v>
      </c>
      <c r="F4233" t="s">
        <v>754</v>
      </c>
      <c r="G4233" t="s">
        <v>1017</v>
      </c>
      <c r="H4233" t="s">
        <v>32</v>
      </c>
      <c r="I4233" s="28" t="s">
        <v>27</v>
      </c>
    </row>
    <row r="4234" spans="1:9" x14ac:dyDescent="0.3">
      <c r="A4234" s="26">
        <v>45344</v>
      </c>
      <c r="B4234" t="s">
        <v>1011</v>
      </c>
      <c r="C4234" t="s">
        <v>753</v>
      </c>
      <c r="D4234">
        <v>0.83</v>
      </c>
      <c r="E4234" t="s">
        <v>1013</v>
      </c>
      <c r="F4234" t="s">
        <v>754</v>
      </c>
      <c r="G4234" t="s">
        <v>1017</v>
      </c>
      <c r="H4234" t="s">
        <v>32</v>
      </c>
      <c r="I4234" s="28" t="s">
        <v>27</v>
      </c>
    </row>
    <row r="4235" spans="1:9" x14ac:dyDescent="0.3">
      <c r="A4235" s="26">
        <v>45344</v>
      </c>
      <c r="B4235" t="s">
        <v>1011</v>
      </c>
      <c r="C4235" t="s">
        <v>753</v>
      </c>
      <c r="D4235">
        <v>1.1000000000000001</v>
      </c>
      <c r="E4235" t="s">
        <v>589</v>
      </c>
      <c r="F4235" t="s">
        <v>754</v>
      </c>
      <c r="G4235" t="s">
        <v>3734</v>
      </c>
      <c r="H4235" t="s">
        <v>32</v>
      </c>
      <c r="I4235" s="28" t="s">
        <v>27</v>
      </c>
    </row>
    <row r="4236" spans="1:9" x14ac:dyDescent="0.3">
      <c r="A4236" s="26">
        <v>45344</v>
      </c>
      <c r="B4236" t="s">
        <v>1011</v>
      </c>
      <c r="C4236" t="s">
        <v>753</v>
      </c>
      <c r="D4236">
        <v>1.73</v>
      </c>
      <c r="E4236" t="s">
        <v>1013</v>
      </c>
      <c r="F4236" t="s">
        <v>754</v>
      </c>
      <c r="G4236" t="s">
        <v>2530</v>
      </c>
      <c r="H4236" t="s">
        <v>32</v>
      </c>
      <c r="I4236" s="28" t="s">
        <v>27</v>
      </c>
    </row>
    <row r="4237" spans="1:9" x14ac:dyDescent="0.3">
      <c r="A4237" s="26">
        <v>45344</v>
      </c>
      <c r="B4237" t="s">
        <v>1011</v>
      </c>
      <c r="C4237" t="s">
        <v>771</v>
      </c>
      <c r="D4237">
        <v>0.3</v>
      </c>
      <c r="E4237" t="s">
        <v>7</v>
      </c>
      <c r="F4237" t="s">
        <v>772</v>
      </c>
      <c r="G4237" t="s">
        <v>1243</v>
      </c>
      <c r="H4237" t="s">
        <v>32</v>
      </c>
      <c r="I4237" s="28" t="s">
        <v>27</v>
      </c>
    </row>
    <row r="4238" spans="1:9" x14ac:dyDescent="0.3">
      <c r="A4238" s="26">
        <v>45344</v>
      </c>
      <c r="B4238" t="s">
        <v>1011</v>
      </c>
      <c r="C4238" t="s">
        <v>771</v>
      </c>
      <c r="D4238">
        <v>0.42</v>
      </c>
      <c r="E4238" t="s">
        <v>7</v>
      </c>
      <c r="F4238" t="s">
        <v>772</v>
      </c>
      <c r="G4238" t="s">
        <v>3031</v>
      </c>
      <c r="H4238" t="s">
        <v>32</v>
      </c>
      <c r="I4238" s="28" t="s">
        <v>27</v>
      </c>
    </row>
    <row r="4239" spans="1:9" x14ac:dyDescent="0.3">
      <c r="A4239" s="26">
        <v>45344</v>
      </c>
      <c r="B4239" t="s">
        <v>1011</v>
      </c>
      <c r="C4239" t="s">
        <v>771</v>
      </c>
      <c r="D4239">
        <v>0.57999999999999996</v>
      </c>
      <c r="E4239" t="s">
        <v>7</v>
      </c>
      <c r="F4239" t="s">
        <v>772</v>
      </c>
      <c r="G4239" t="s">
        <v>3735</v>
      </c>
      <c r="H4239" t="s">
        <v>32</v>
      </c>
      <c r="I4239" s="28" t="s">
        <v>27</v>
      </c>
    </row>
    <row r="4240" spans="1:9" x14ac:dyDescent="0.3">
      <c r="A4240" s="26">
        <v>45344</v>
      </c>
      <c r="B4240" t="s">
        <v>1011</v>
      </c>
      <c r="C4240" t="s">
        <v>771</v>
      </c>
      <c r="D4240">
        <v>0.9</v>
      </c>
      <c r="E4240" t="s">
        <v>7</v>
      </c>
      <c r="F4240" t="s">
        <v>772</v>
      </c>
      <c r="G4240" t="s">
        <v>3736</v>
      </c>
      <c r="H4240" t="s">
        <v>32</v>
      </c>
      <c r="I4240" s="28" t="s">
        <v>27</v>
      </c>
    </row>
    <row r="4241" spans="1:9" x14ac:dyDescent="0.3">
      <c r="A4241" s="26">
        <v>45344</v>
      </c>
      <c r="B4241" t="s">
        <v>1020</v>
      </c>
      <c r="C4241" t="s">
        <v>753</v>
      </c>
      <c r="D4241">
        <v>1.17</v>
      </c>
      <c r="E4241" t="s">
        <v>964</v>
      </c>
      <c r="F4241" t="s">
        <v>754</v>
      </c>
      <c r="G4241" t="s">
        <v>3737</v>
      </c>
      <c r="H4241" t="s">
        <v>32</v>
      </c>
      <c r="I4241" s="28" t="s">
        <v>27</v>
      </c>
    </row>
    <row r="4242" spans="1:9" x14ac:dyDescent="0.3">
      <c r="A4242" s="26">
        <v>45344</v>
      </c>
      <c r="B4242" t="s">
        <v>1020</v>
      </c>
      <c r="C4242" t="s">
        <v>753</v>
      </c>
      <c r="D4242">
        <v>1.92</v>
      </c>
      <c r="E4242" t="s">
        <v>964</v>
      </c>
      <c r="F4242" t="s">
        <v>754</v>
      </c>
      <c r="H4242" t="s">
        <v>32</v>
      </c>
      <c r="I4242" s="28" t="s">
        <v>27</v>
      </c>
    </row>
    <row r="4243" spans="1:9" x14ac:dyDescent="0.3">
      <c r="A4243" s="26">
        <v>45344</v>
      </c>
      <c r="B4243" t="s">
        <v>1020</v>
      </c>
      <c r="C4243" t="s">
        <v>776</v>
      </c>
      <c r="D4243">
        <v>4.7300000000000004</v>
      </c>
      <c r="E4243" t="s">
        <v>11</v>
      </c>
      <c r="F4243" t="s">
        <v>754</v>
      </c>
      <c r="H4243" t="s">
        <v>32</v>
      </c>
      <c r="I4243" s="28" t="s">
        <v>27</v>
      </c>
    </row>
    <row r="4244" spans="1:9" x14ac:dyDescent="0.3">
      <c r="A4244" s="26">
        <v>45344</v>
      </c>
      <c r="B4244" t="s">
        <v>1020</v>
      </c>
      <c r="C4244" t="s">
        <v>3233</v>
      </c>
      <c r="D4244">
        <v>0.8</v>
      </c>
      <c r="E4244" t="s">
        <v>583</v>
      </c>
      <c r="F4244" t="s">
        <v>772</v>
      </c>
      <c r="G4244" t="s">
        <v>3738</v>
      </c>
      <c r="H4244" t="s">
        <v>32</v>
      </c>
      <c r="I4244" s="28" t="s">
        <v>27</v>
      </c>
    </row>
    <row r="4245" spans="1:9" x14ac:dyDescent="0.3">
      <c r="A4245" s="26">
        <v>45344</v>
      </c>
      <c r="B4245" t="s">
        <v>1026</v>
      </c>
      <c r="C4245" t="s">
        <v>771</v>
      </c>
      <c r="D4245">
        <v>2.0699999999999998</v>
      </c>
      <c r="E4245" t="s">
        <v>7</v>
      </c>
      <c r="F4245" t="s">
        <v>772</v>
      </c>
      <c r="G4245" t="s">
        <v>3739</v>
      </c>
      <c r="H4245" t="s">
        <v>32</v>
      </c>
      <c r="I4245" s="28" t="s">
        <v>27</v>
      </c>
    </row>
    <row r="4246" spans="1:9" x14ac:dyDescent="0.3">
      <c r="A4246" s="26">
        <v>45344</v>
      </c>
      <c r="B4246" t="s">
        <v>1026</v>
      </c>
      <c r="C4246" t="s">
        <v>771</v>
      </c>
      <c r="D4246">
        <v>2.6</v>
      </c>
      <c r="E4246" t="s">
        <v>7</v>
      </c>
      <c r="F4246" t="s">
        <v>772</v>
      </c>
      <c r="G4246" t="s">
        <v>3740</v>
      </c>
      <c r="H4246" t="s">
        <v>32</v>
      </c>
      <c r="I4246" s="28" t="s">
        <v>27</v>
      </c>
    </row>
    <row r="4247" spans="1:9" x14ac:dyDescent="0.3">
      <c r="A4247" s="26">
        <v>45344</v>
      </c>
      <c r="B4247" t="s">
        <v>1026</v>
      </c>
      <c r="C4247" t="s">
        <v>771</v>
      </c>
      <c r="D4247">
        <v>3.23</v>
      </c>
      <c r="E4247" t="s">
        <v>7</v>
      </c>
      <c r="F4247" t="s">
        <v>772</v>
      </c>
      <c r="G4247" t="s">
        <v>3741</v>
      </c>
      <c r="H4247" t="s">
        <v>32</v>
      </c>
      <c r="I4247" s="28" t="s">
        <v>27</v>
      </c>
    </row>
    <row r="4248" spans="1:9" x14ac:dyDescent="0.3">
      <c r="A4248" s="26">
        <v>45344</v>
      </c>
      <c r="B4248" t="s">
        <v>1026</v>
      </c>
      <c r="C4248" t="s">
        <v>874</v>
      </c>
      <c r="D4248">
        <v>0.78</v>
      </c>
      <c r="E4248" t="s">
        <v>7</v>
      </c>
      <c r="F4248" t="s">
        <v>772</v>
      </c>
      <c r="G4248" t="s">
        <v>3742</v>
      </c>
      <c r="H4248" t="s">
        <v>32</v>
      </c>
      <c r="I4248" s="28" t="s">
        <v>27</v>
      </c>
    </row>
    <row r="4249" spans="1:9" x14ac:dyDescent="0.3">
      <c r="A4249" s="26">
        <v>45344</v>
      </c>
      <c r="B4249" t="s">
        <v>1032</v>
      </c>
      <c r="C4249" t="s">
        <v>1163</v>
      </c>
      <c r="D4249">
        <v>8</v>
      </c>
      <c r="E4249" t="s">
        <v>7</v>
      </c>
      <c r="F4249" t="s">
        <v>772</v>
      </c>
      <c r="H4249" t="s">
        <v>32</v>
      </c>
      <c r="I4249" s="28" t="s">
        <v>27</v>
      </c>
    </row>
    <row r="4250" spans="1:9" x14ac:dyDescent="0.3">
      <c r="A4250" s="26">
        <v>45344</v>
      </c>
      <c r="B4250" t="s">
        <v>1034</v>
      </c>
      <c r="C4250" t="s">
        <v>753</v>
      </c>
      <c r="D4250">
        <v>0.37</v>
      </c>
      <c r="E4250" t="s">
        <v>564</v>
      </c>
      <c r="F4250" t="s">
        <v>754</v>
      </c>
      <c r="G4250" t="s">
        <v>3743</v>
      </c>
      <c r="H4250" t="s">
        <v>32</v>
      </c>
      <c r="I4250" s="28" t="s">
        <v>27</v>
      </c>
    </row>
    <row r="4251" spans="1:9" x14ac:dyDescent="0.3">
      <c r="A4251" s="26">
        <v>45344</v>
      </c>
      <c r="B4251" t="s">
        <v>1034</v>
      </c>
      <c r="C4251" t="s">
        <v>771</v>
      </c>
      <c r="D4251">
        <v>0.3</v>
      </c>
      <c r="E4251" t="s">
        <v>999</v>
      </c>
      <c r="F4251" t="s">
        <v>754</v>
      </c>
      <c r="G4251" t="s">
        <v>3744</v>
      </c>
      <c r="H4251" t="s">
        <v>32</v>
      </c>
      <c r="I4251" s="28" t="s">
        <v>27</v>
      </c>
    </row>
    <row r="4252" spans="1:9" x14ac:dyDescent="0.3">
      <c r="A4252" s="26">
        <v>45344</v>
      </c>
      <c r="B4252" t="s">
        <v>1034</v>
      </c>
      <c r="C4252" t="s">
        <v>771</v>
      </c>
      <c r="D4252">
        <v>0.3</v>
      </c>
      <c r="E4252" t="s">
        <v>7</v>
      </c>
      <c r="F4252" t="s">
        <v>772</v>
      </c>
      <c r="G4252" t="s">
        <v>3745</v>
      </c>
      <c r="H4252" t="s">
        <v>32</v>
      </c>
      <c r="I4252" s="28" t="s">
        <v>27</v>
      </c>
    </row>
    <row r="4253" spans="1:9" x14ac:dyDescent="0.3">
      <c r="A4253" s="26">
        <v>45344</v>
      </c>
      <c r="B4253" t="s">
        <v>1034</v>
      </c>
      <c r="C4253" t="s">
        <v>771</v>
      </c>
      <c r="D4253">
        <v>0.4</v>
      </c>
      <c r="E4253" t="s">
        <v>7</v>
      </c>
      <c r="F4253" t="s">
        <v>772</v>
      </c>
      <c r="G4253" t="s">
        <v>3746</v>
      </c>
      <c r="H4253" t="s">
        <v>32</v>
      </c>
      <c r="I4253" s="28" t="s">
        <v>27</v>
      </c>
    </row>
    <row r="4254" spans="1:9" x14ac:dyDescent="0.3">
      <c r="A4254" s="26">
        <v>45344</v>
      </c>
      <c r="B4254" t="s">
        <v>1034</v>
      </c>
      <c r="C4254" t="s">
        <v>771</v>
      </c>
      <c r="D4254">
        <v>0.5</v>
      </c>
      <c r="E4254" t="s">
        <v>7</v>
      </c>
      <c r="F4254" t="s">
        <v>772</v>
      </c>
      <c r="G4254" t="s">
        <v>820</v>
      </c>
      <c r="H4254" t="s">
        <v>32</v>
      </c>
      <c r="I4254" s="28" t="s">
        <v>27</v>
      </c>
    </row>
    <row r="4255" spans="1:9" x14ac:dyDescent="0.3">
      <c r="A4255" s="26">
        <v>45344</v>
      </c>
      <c r="B4255" t="s">
        <v>1034</v>
      </c>
      <c r="C4255" t="s">
        <v>771</v>
      </c>
      <c r="D4255">
        <v>0.57999999999999996</v>
      </c>
      <c r="E4255" t="s">
        <v>7</v>
      </c>
      <c r="F4255" t="s">
        <v>772</v>
      </c>
      <c r="G4255" t="s">
        <v>3747</v>
      </c>
      <c r="H4255" t="s">
        <v>32</v>
      </c>
      <c r="I4255" s="28" t="s">
        <v>27</v>
      </c>
    </row>
    <row r="4256" spans="1:9" x14ac:dyDescent="0.3">
      <c r="A4256" s="26">
        <v>45344</v>
      </c>
      <c r="B4256" t="s">
        <v>1034</v>
      </c>
      <c r="C4256" t="s">
        <v>776</v>
      </c>
      <c r="D4256">
        <v>0.18</v>
      </c>
      <c r="E4256" t="s">
        <v>879</v>
      </c>
      <c r="F4256" t="s">
        <v>754</v>
      </c>
      <c r="G4256" t="s">
        <v>3748</v>
      </c>
      <c r="H4256" t="s">
        <v>32</v>
      </c>
      <c r="I4256" s="28" t="s">
        <v>27</v>
      </c>
    </row>
    <row r="4257" spans="1:9" x14ac:dyDescent="0.3">
      <c r="A4257" s="26">
        <v>45344</v>
      </c>
      <c r="B4257" t="s">
        <v>1034</v>
      </c>
      <c r="C4257" t="s">
        <v>776</v>
      </c>
      <c r="D4257">
        <v>0.48</v>
      </c>
      <c r="E4257" t="s">
        <v>978</v>
      </c>
      <c r="F4257" t="s">
        <v>754</v>
      </c>
      <c r="G4257" t="s">
        <v>3749</v>
      </c>
      <c r="H4257" t="s">
        <v>32</v>
      </c>
      <c r="I4257" s="28" t="s">
        <v>27</v>
      </c>
    </row>
    <row r="4258" spans="1:9" x14ac:dyDescent="0.3">
      <c r="A4258" s="26">
        <v>45344</v>
      </c>
      <c r="B4258" t="s">
        <v>1034</v>
      </c>
      <c r="C4258" t="s">
        <v>776</v>
      </c>
      <c r="D4258">
        <v>0.73</v>
      </c>
      <c r="E4258" t="s">
        <v>879</v>
      </c>
      <c r="F4258" t="s">
        <v>754</v>
      </c>
      <c r="G4258" t="s">
        <v>3750</v>
      </c>
      <c r="H4258" t="s">
        <v>32</v>
      </c>
      <c r="I4258" s="28" t="s">
        <v>27</v>
      </c>
    </row>
    <row r="4259" spans="1:9" x14ac:dyDescent="0.3">
      <c r="A4259" s="26">
        <v>45344</v>
      </c>
      <c r="B4259" t="s">
        <v>1034</v>
      </c>
      <c r="C4259" t="s">
        <v>776</v>
      </c>
      <c r="D4259">
        <v>0.77</v>
      </c>
      <c r="E4259" t="s">
        <v>879</v>
      </c>
      <c r="F4259" t="s">
        <v>754</v>
      </c>
      <c r="G4259" t="s">
        <v>3751</v>
      </c>
      <c r="H4259" t="s">
        <v>32</v>
      </c>
      <c r="I4259" s="28" t="s">
        <v>27</v>
      </c>
    </row>
    <row r="4260" spans="1:9" x14ac:dyDescent="0.3">
      <c r="A4260" s="26">
        <v>45344</v>
      </c>
      <c r="B4260" t="s">
        <v>1034</v>
      </c>
      <c r="C4260" t="s">
        <v>776</v>
      </c>
      <c r="D4260">
        <v>0.8</v>
      </c>
      <c r="E4260" t="s">
        <v>879</v>
      </c>
      <c r="F4260" t="s">
        <v>754</v>
      </c>
      <c r="G4260" t="s">
        <v>3752</v>
      </c>
      <c r="H4260" t="s">
        <v>32</v>
      </c>
      <c r="I4260" s="28" t="s">
        <v>27</v>
      </c>
    </row>
    <row r="4261" spans="1:9" x14ac:dyDescent="0.3">
      <c r="A4261" s="26">
        <v>45344</v>
      </c>
      <c r="B4261" t="s">
        <v>1034</v>
      </c>
      <c r="C4261" t="s">
        <v>776</v>
      </c>
      <c r="D4261">
        <v>1.2</v>
      </c>
      <c r="E4261" t="s">
        <v>790</v>
      </c>
      <c r="F4261" t="s">
        <v>754</v>
      </c>
      <c r="G4261" t="s">
        <v>1042</v>
      </c>
      <c r="H4261" t="s">
        <v>32</v>
      </c>
      <c r="I4261" s="28" t="s">
        <v>27</v>
      </c>
    </row>
    <row r="4262" spans="1:9" x14ac:dyDescent="0.3">
      <c r="A4262" s="26">
        <v>45344</v>
      </c>
      <c r="B4262" t="s">
        <v>1034</v>
      </c>
      <c r="C4262" t="s">
        <v>776</v>
      </c>
      <c r="D4262">
        <v>1.38</v>
      </c>
      <c r="E4262" t="s">
        <v>790</v>
      </c>
      <c r="F4262" t="s">
        <v>754</v>
      </c>
      <c r="G4262" t="s">
        <v>3753</v>
      </c>
      <c r="H4262" t="s">
        <v>32</v>
      </c>
      <c r="I4262" s="28" t="s">
        <v>27</v>
      </c>
    </row>
    <row r="4263" spans="1:9" x14ac:dyDescent="0.3">
      <c r="A4263" s="26">
        <v>45344</v>
      </c>
      <c r="B4263" t="s">
        <v>1049</v>
      </c>
      <c r="C4263" t="s">
        <v>753</v>
      </c>
      <c r="D4263">
        <v>0.65</v>
      </c>
      <c r="E4263" t="s">
        <v>964</v>
      </c>
      <c r="F4263" t="s">
        <v>754</v>
      </c>
      <c r="G4263" t="s">
        <v>3754</v>
      </c>
      <c r="H4263" t="s">
        <v>32</v>
      </c>
      <c r="I4263" s="28" t="s">
        <v>27</v>
      </c>
    </row>
    <row r="4264" spans="1:9" x14ac:dyDescent="0.3">
      <c r="A4264" s="26">
        <v>45344</v>
      </c>
      <c r="B4264" t="s">
        <v>1049</v>
      </c>
      <c r="C4264" t="s">
        <v>753</v>
      </c>
      <c r="D4264">
        <v>0.75</v>
      </c>
      <c r="E4264" t="s">
        <v>316</v>
      </c>
      <c r="F4264" t="s">
        <v>754</v>
      </c>
      <c r="G4264" t="s">
        <v>3755</v>
      </c>
      <c r="H4264" t="s">
        <v>32</v>
      </c>
      <c r="I4264" s="28" t="s">
        <v>27</v>
      </c>
    </row>
    <row r="4265" spans="1:9" x14ac:dyDescent="0.3">
      <c r="A4265" s="26">
        <v>45344</v>
      </c>
      <c r="B4265" t="s">
        <v>1049</v>
      </c>
      <c r="C4265" t="s">
        <v>753</v>
      </c>
      <c r="D4265">
        <v>2.12</v>
      </c>
      <c r="E4265" t="s">
        <v>964</v>
      </c>
      <c r="F4265" t="s">
        <v>754</v>
      </c>
      <c r="G4265" t="s">
        <v>3756</v>
      </c>
      <c r="H4265" t="s">
        <v>32</v>
      </c>
      <c r="I4265" s="28" t="s">
        <v>27</v>
      </c>
    </row>
    <row r="4266" spans="1:9" x14ac:dyDescent="0.3">
      <c r="A4266" s="26">
        <v>45344</v>
      </c>
      <c r="B4266" t="s">
        <v>1049</v>
      </c>
      <c r="C4266" t="s">
        <v>753</v>
      </c>
      <c r="D4266">
        <v>3.55</v>
      </c>
      <c r="E4266" t="s">
        <v>964</v>
      </c>
      <c r="F4266" t="s">
        <v>754</v>
      </c>
      <c r="H4266" t="s">
        <v>32</v>
      </c>
      <c r="I4266" s="28" t="s">
        <v>27</v>
      </c>
    </row>
    <row r="4267" spans="1:9" x14ac:dyDescent="0.3">
      <c r="A4267" s="26">
        <v>45344</v>
      </c>
      <c r="B4267" t="s">
        <v>1049</v>
      </c>
      <c r="C4267" t="s">
        <v>771</v>
      </c>
      <c r="D4267">
        <v>0.5</v>
      </c>
      <c r="E4267" t="s">
        <v>7</v>
      </c>
      <c r="F4267" t="s">
        <v>772</v>
      </c>
      <c r="G4267" t="s">
        <v>1058</v>
      </c>
      <c r="H4267" t="s">
        <v>32</v>
      </c>
      <c r="I4267" s="28" t="s">
        <v>27</v>
      </c>
    </row>
    <row r="4268" spans="1:9" x14ac:dyDescent="0.3">
      <c r="A4268" s="26">
        <v>45344</v>
      </c>
      <c r="B4268" t="s">
        <v>1049</v>
      </c>
      <c r="C4268" t="s">
        <v>776</v>
      </c>
      <c r="D4268">
        <v>0.22</v>
      </c>
      <c r="E4268" t="s">
        <v>815</v>
      </c>
      <c r="F4268" t="s">
        <v>754</v>
      </c>
      <c r="G4268" t="s">
        <v>3757</v>
      </c>
      <c r="H4268" t="s">
        <v>32</v>
      </c>
      <c r="I4268" s="28" t="s">
        <v>27</v>
      </c>
    </row>
    <row r="4269" spans="1:9" x14ac:dyDescent="0.3">
      <c r="A4269" s="26">
        <v>45344</v>
      </c>
      <c r="B4269" t="s">
        <v>1049</v>
      </c>
      <c r="C4269" t="s">
        <v>776</v>
      </c>
      <c r="D4269">
        <v>0.32</v>
      </c>
      <c r="E4269" t="s">
        <v>815</v>
      </c>
      <c r="F4269" t="s">
        <v>754</v>
      </c>
      <c r="G4269" t="s">
        <v>3758</v>
      </c>
      <c r="H4269" t="s">
        <v>32</v>
      </c>
      <c r="I4269" s="28" t="s">
        <v>27</v>
      </c>
    </row>
    <row r="4270" spans="1:9" x14ac:dyDescent="0.3">
      <c r="A4270" s="26">
        <v>45344</v>
      </c>
      <c r="B4270" t="s">
        <v>1060</v>
      </c>
      <c r="C4270" t="s">
        <v>909</v>
      </c>
      <c r="D4270">
        <v>0.33</v>
      </c>
      <c r="E4270" t="s">
        <v>201</v>
      </c>
      <c r="F4270" t="s">
        <v>754</v>
      </c>
      <c r="G4270" t="s">
        <v>3759</v>
      </c>
      <c r="H4270" t="s">
        <v>32</v>
      </c>
      <c r="I4270" s="28" t="s">
        <v>27</v>
      </c>
    </row>
    <row r="4271" spans="1:9" x14ac:dyDescent="0.3">
      <c r="A4271" s="26">
        <v>45344</v>
      </c>
      <c r="B4271" t="s">
        <v>1060</v>
      </c>
      <c r="C4271" t="s">
        <v>909</v>
      </c>
      <c r="D4271">
        <v>0.5</v>
      </c>
      <c r="E4271" t="s">
        <v>717</v>
      </c>
      <c r="F4271" t="s">
        <v>754</v>
      </c>
      <c r="G4271" t="s">
        <v>3760</v>
      </c>
      <c r="H4271" t="s">
        <v>32</v>
      </c>
      <c r="I4271" s="28" t="s">
        <v>27</v>
      </c>
    </row>
    <row r="4272" spans="1:9" x14ac:dyDescent="0.3">
      <c r="A4272" s="26">
        <v>45344</v>
      </c>
      <c r="B4272" t="s">
        <v>1060</v>
      </c>
      <c r="C4272" t="s">
        <v>909</v>
      </c>
      <c r="D4272">
        <v>0.75</v>
      </c>
      <c r="E4272" t="s">
        <v>563</v>
      </c>
      <c r="F4272" t="s">
        <v>754</v>
      </c>
      <c r="G4272" t="s">
        <v>3761</v>
      </c>
      <c r="H4272" t="s">
        <v>32</v>
      </c>
      <c r="I4272" s="28" t="s">
        <v>27</v>
      </c>
    </row>
    <row r="4273" spans="1:9" x14ac:dyDescent="0.3">
      <c r="A4273" s="26">
        <v>45344</v>
      </c>
      <c r="B4273" t="s">
        <v>1060</v>
      </c>
      <c r="C4273" t="s">
        <v>909</v>
      </c>
      <c r="D4273">
        <v>1</v>
      </c>
      <c r="E4273" t="s">
        <v>2604</v>
      </c>
      <c r="F4273" t="s">
        <v>772</v>
      </c>
      <c r="G4273" t="s">
        <v>3762</v>
      </c>
      <c r="H4273" t="s">
        <v>32</v>
      </c>
      <c r="I4273" s="28" t="s">
        <v>27</v>
      </c>
    </row>
    <row r="4274" spans="1:9" x14ac:dyDescent="0.3">
      <c r="A4274" s="26">
        <v>45344</v>
      </c>
      <c r="B4274" t="s">
        <v>1060</v>
      </c>
      <c r="C4274" t="s">
        <v>909</v>
      </c>
      <c r="D4274">
        <v>1.25</v>
      </c>
      <c r="E4274" t="s">
        <v>2604</v>
      </c>
      <c r="F4274" t="s">
        <v>754</v>
      </c>
      <c r="G4274" t="s">
        <v>3763</v>
      </c>
      <c r="H4274" t="s">
        <v>32</v>
      </c>
      <c r="I4274" s="28" t="s">
        <v>27</v>
      </c>
    </row>
    <row r="4275" spans="1:9" x14ac:dyDescent="0.3">
      <c r="A4275" s="26">
        <v>45344</v>
      </c>
      <c r="B4275" t="s">
        <v>1060</v>
      </c>
      <c r="C4275" t="s">
        <v>771</v>
      </c>
      <c r="D4275">
        <v>3</v>
      </c>
      <c r="E4275" t="s">
        <v>7</v>
      </c>
      <c r="F4275" t="s">
        <v>772</v>
      </c>
      <c r="G4275" t="s">
        <v>3764</v>
      </c>
      <c r="H4275" t="s">
        <v>32</v>
      </c>
      <c r="I4275" s="28" t="s">
        <v>27</v>
      </c>
    </row>
    <row r="4276" spans="1:9" x14ac:dyDescent="0.3">
      <c r="A4276" s="26">
        <v>45344</v>
      </c>
      <c r="B4276" t="s">
        <v>1060</v>
      </c>
      <c r="C4276" t="s">
        <v>874</v>
      </c>
      <c r="D4276">
        <v>0.75</v>
      </c>
      <c r="E4276" t="s">
        <v>7</v>
      </c>
      <c r="F4276" t="s">
        <v>772</v>
      </c>
      <c r="G4276" t="s">
        <v>3765</v>
      </c>
      <c r="H4276" t="s">
        <v>32</v>
      </c>
      <c r="I4276" s="28" t="s">
        <v>27</v>
      </c>
    </row>
    <row r="4277" spans="1:9" x14ac:dyDescent="0.3">
      <c r="A4277" s="26">
        <v>45344</v>
      </c>
      <c r="B4277" t="s">
        <v>2945</v>
      </c>
      <c r="C4277" t="s">
        <v>771</v>
      </c>
      <c r="D4277">
        <v>8.3699999999999992</v>
      </c>
      <c r="E4277" t="s">
        <v>7</v>
      </c>
      <c r="F4277" t="s">
        <v>772</v>
      </c>
      <c r="G4277" t="s">
        <v>3766</v>
      </c>
      <c r="H4277" t="s">
        <v>32</v>
      </c>
      <c r="I4277" s="28" t="s">
        <v>27</v>
      </c>
    </row>
    <row r="4278" spans="1:9" x14ac:dyDescent="0.3">
      <c r="A4278" s="26">
        <v>45344</v>
      </c>
      <c r="B4278" t="s">
        <v>1074</v>
      </c>
      <c r="C4278" t="s">
        <v>753</v>
      </c>
      <c r="D4278">
        <v>0.2</v>
      </c>
      <c r="E4278" t="s">
        <v>964</v>
      </c>
      <c r="F4278" t="s">
        <v>754</v>
      </c>
      <c r="G4278" t="s">
        <v>3767</v>
      </c>
      <c r="H4278" t="s">
        <v>32</v>
      </c>
      <c r="I4278" s="28" t="s">
        <v>27</v>
      </c>
    </row>
    <row r="4279" spans="1:9" x14ac:dyDescent="0.3">
      <c r="A4279" s="26">
        <v>45344</v>
      </c>
      <c r="B4279" t="s">
        <v>1074</v>
      </c>
      <c r="C4279" t="s">
        <v>753</v>
      </c>
      <c r="D4279">
        <v>0.3</v>
      </c>
      <c r="E4279" t="s">
        <v>1096</v>
      </c>
      <c r="F4279" t="s">
        <v>754</v>
      </c>
      <c r="G4279" t="s">
        <v>3768</v>
      </c>
      <c r="H4279" t="s">
        <v>32</v>
      </c>
      <c r="I4279" s="28" t="s">
        <v>27</v>
      </c>
    </row>
    <row r="4280" spans="1:9" x14ac:dyDescent="0.3">
      <c r="A4280" s="26">
        <v>45344</v>
      </c>
      <c r="B4280" t="s">
        <v>1074</v>
      </c>
      <c r="C4280" t="s">
        <v>753</v>
      </c>
      <c r="D4280">
        <v>0.7</v>
      </c>
      <c r="E4280" t="s">
        <v>964</v>
      </c>
      <c r="F4280" t="s">
        <v>754</v>
      </c>
      <c r="G4280" t="s">
        <v>3769</v>
      </c>
      <c r="H4280" t="s">
        <v>32</v>
      </c>
      <c r="I4280" s="28" t="s">
        <v>27</v>
      </c>
    </row>
    <row r="4281" spans="1:9" x14ac:dyDescent="0.3">
      <c r="A4281" s="26">
        <v>45344</v>
      </c>
      <c r="B4281" t="s">
        <v>1074</v>
      </c>
      <c r="C4281" t="s">
        <v>753</v>
      </c>
      <c r="D4281">
        <v>0.7</v>
      </c>
      <c r="E4281" t="s">
        <v>964</v>
      </c>
      <c r="F4281" t="s">
        <v>754</v>
      </c>
      <c r="G4281" t="s">
        <v>3770</v>
      </c>
      <c r="H4281" t="s">
        <v>32</v>
      </c>
      <c r="I4281" s="28" t="s">
        <v>27</v>
      </c>
    </row>
    <row r="4282" spans="1:9" x14ac:dyDescent="0.3">
      <c r="A4282" s="26">
        <v>45344</v>
      </c>
      <c r="B4282" t="s">
        <v>1074</v>
      </c>
      <c r="C4282" t="s">
        <v>804</v>
      </c>
      <c r="D4282">
        <v>1</v>
      </c>
      <c r="E4282" t="s">
        <v>2261</v>
      </c>
      <c r="F4282" t="s">
        <v>772</v>
      </c>
      <c r="G4282" t="s">
        <v>3771</v>
      </c>
      <c r="H4282" t="s">
        <v>32</v>
      </c>
      <c r="I4282" s="28" t="s">
        <v>27</v>
      </c>
    </row>
    <row r="4283" spans="1:9" x14ac:dyDescent="0.3">
      <c r="A4283" s="26">
        <v>45344</v>
      </c>
      <c r="B4283" t="s">
        <v>1074</v>
      </c>
      <c r="C4283" t="s">
        <v>909</v>
      </c>
      <c r="D4283">
        <v>0.8</v>
      </c>
      <c r="E4283" t="s">
        <v>964</v>
      </c>
      <c r="F4283" t="s">
        <v>754</v>
      </c>
      <c r="G4283" t="s">
        <v>3772</v>
      </c>
      <c r="H4283" t="s">
        <v>32</v>
      </c>
      <c r="I4283" s="28" t="s">
        <v>27</v>
      </c>
    </row>
    <row r="4284" spans="1:9" x14ac:dyDescent="0.3">
      <c r="A4284" s="26">
        <v>45344</v>
      </c>
      <c r="B4284" t="s">
        <v>1074</v>
      </c>
      <c r="C4284" t="s">
        <v>1973</v>
      </c>
      <c r="D4284">
        <v>0.5</v>
      </c>
      <c r="E4284" t="s">
        <v>336</v>
      </c>
      <c r="F4284" t="s">
        <v>754</v>
      </c>
      <c r="G4284" t="s">
        <v>3773</v>
      </c>
      <c r="H4284" t="s">
        <v>32</v>
      </c>
      <c r="I4284" s="28" t="s">
        <v>27</v>
      </c>
    </row>
    <row r="4285" spans="1:9" x14ac:dyDescent="0.3">
      <c r="A4285" s="26">
        <v>45344</v>
      </c>
      <c r="B4285" t="s">
        <v>1074</v>
      </c>
      <c r="C4285" t="s">
        <v>1973</v>
      </c>
      <c r="D4285">
        <v>1.5</v>
      </c>
      <c r="E4285" t="s">
        <v>336</v>
      </c>
      <c r="F4285" t="s">
        <v>754</v>
      </c>
      <c r="H4285" t="s">
        <v>32</v>
      </c>
      <c r="I4285" s="28" t="s">
        <v>27</v>
      </c>
    </row>
    <row r="4286" spans="1:9" x14ac:dyDescent="0.3">
      <c r="A4286" s="26">
        <v>45344</v>
      </c>
      <c r="B4286" t="s">
        <v>1074</v>
      </c>
      <c r="C4286" t="s">
        <v>771</v>
      </c>
      <c r="D4286">
        <v>0.9</v>
      </c>
      <c r="E4286" t="s">
        <v>7</v>
      </c>
      <c r="F4286" t="s">
        <v>772</v>
      </c>
      <c r="G4286" t="s">
        <v>3774</v>
      </c>
      <c r="H4286" t="s">
        <v>32</v>
      </c>
      <c r="I4286" s="28" t="s">
        <v>27</v>
      </c>
    </row>
    <row r="4287" spans="1:9" x14ac:dyDescent="0.3">
      <c r="A4287" s="26">
        <v>45344</v>
      </c>
      <c r="B4287" t="s">
        <v>1074</v>
      </c>
      <c r="C4287" t="s">
        <v>835</v>
      </c>
      <c r="D4287">
        <v>2.8</v>
      </c>
      <c r="E4287" t="s">
        <v>964</v>
      </c>
      <c r="F4287" t="s">
        <v>754</v>
      </c>
      <c r="G4287" t="s">
        <v>3775</v>
      </c>
      <c r="H4287" t="s">
        <v>32</v>
      </c>
      <c r="I4287" s="28" t="s">
        <v>27</v>
      </c>
    </row>
    <row r="4288" spans="1:9" x14ac:dyDescent="0.3">
      <c r="A4288" s="26">
        <v>45344</v>
      </c>
      <c r="B4288" t="s">
        <v>1074</v>
      </c>
      <c r="C4288" t="s">
        <v>919</v>
      </c>
      <c r="D4288">
        <v>0.3</v>
      </c>
      <c r="E4288" t="s">
        <v>964</v>
      </c>
      <c r="F4288" t="s">
        <v>754</v>
      </c>
      <c r="G4288" t="s">
        <v>3776</v>
      </c>
      <c r="H4288" t="s">
        <v>32</v>
      </c>
      <c r="I4288" s="28" t="s">
        <v>27</v>
      </c>
    </row>
    <row r="4289" spans="1:9" x14ac:dyDescent="0.3">
      <c r="A4289" s="26">
        <v>45344</v>
      </c>
      <c r="B4289" t="s">
        <v>1081</v>
      </c>
      <c r="C4289" t="s">
        <v>771</v>
      </c>
      <c r="D4289">
        <v>5</v>
      </c>
      <c r="E4289" t="s">
        <v>7</v>
      </c>
      <c r="F4289" t="s">
        <v>772</v>
      </c>
      <c r="G4289" t="e">
        <f>- endorse payroll Specialist candidates to RJ and Xavi - inquire credit note to Daisy (Intellicare) - Final coordination re leadership seminar - General Admin</f>
        <v>#NAME?</v>
      </c>
      <c r="H4289" t="s">
        <v>32</v>
      </c>
      <c r="I4289" s="28" t="s">
        <v>27</v>
      </c>
    </row>
    <row r="4290" spans="1:9" x14ac:dyDescent="0.3">
      <c r="A4290" s="26">
        <v>45344</v>
      </c>
      <c r="B4290" t="s">
        <v>1081</v>
      </c>
      <c r="C4290" t="s">
        <v>942</v>
      </c>
      <c r="D4290">
        <v>2</v>
      </c>
      <c r="E4290" t="s">
        <v>7</v>
      </c>
      <c r="F4290" t="s">
        <v>772</v>
      </c>
      <c r="H4290" t="s">
        <v>32</v>
      </c>
      <c r="I4290" s="28" t="s">
        <v>27</v>
      </c>
    </row>
    <row r="4291" spans="1:9" x14ac:dyDescent="0.3">
      <c r="A4291" s="26">
        <v>45344</v>
      </c>
      <c r="B4291" t="s">
        <v>1081</v>
      </c>
      <c r="C4291" t="s">
        <v>874</v>
      </c>
      <c r="D4291">
        <v>1</v>
      </c>
      <c r="E4291" t="s">
        <v>7</v>
      </c>
      <c r="F4291" t="s">
        <v>772</v>
      </c>
      <c r="G4291" t="e">
        <f>- Meeting with Global Team Leads</f>
        <v>#NAME?</v>
      </c>
      <c r="H4291" t="s">
        <v>32</v>
      </c>
      <c r="I4291" s="28" t="s">
        <v>27</v>
      </c>
    </row>
    <row r="4292" spans="1:9" x14ac:dyDescent="0.3">
      <c r="A4292" s="26">
        <v>45345</v>
      </c>
      <c r="B4292" t="s">
        <v>752</v>
      </c>
      <c r="C4292" t="s">
        <v>753</v>
      </c>
      <c r="D4292">
        <v>7.0000000000000007E-2</v>
      </c>
      <c r="E4292" t="s">
        <v>664</v>
      </c>
      <c r="F4292" t="s">
        <v>754</v>
      </c>
      <c r="G4292" t="s">
        <v>3777</v>
      </c>
      <c r="H4292" t="s">
        <v>32</v>
      </c>
      <c r="I4292" s="28" t="s">
        <v>28</v>
      </c>
    </row>
    <row r="4293" spans="1:9" x14ac:dyDescent="0.3">
      <c r="A4293" s="26">
        <v>45345</v>
      </c>
      <c r="B4293" t="s">
        <v>752</v>
      </c>
      <c r="C4293" t="s">
        <v>753</v>
      </c>
      <c r="D4293">
        <v>0.12</v>
      </c>
      <c r="E4293" t="s">
        <v>561</v>
      </c>
      <c r="F4293" t="s">
        <v>754</v>
      </c>
      <c r="G4293" t="s">
        <v>2234</v>
      </c>
      <c r="H4293" t="s">
        <v>32</v>
      </c>
      <c r="I4293" s="28" t="s">
        <v>28</v>
      </c>
    </row>
    <row r="4294" spans="1:9" x14ac:dyDescent="0.3">
      <c r="A4294" s="26">
        <v>45345</v>
      </c>
      <c r="B4294" t="s">
        <v>752</v>
      </c>
      <c r="C4294" t="s">
        <v>753</v>
      </c>
      <c r="D4294">
        <v>0.13</v>
      </c>
      <c r="E4294" t="s">
        <v>373</v>
      </c>
      <c r="F4294" t="s">
        <v>754</v>
      </c>
      <c r="G4294" t="s">
        <v>3449</v>
      </c>
      <c r="H4294" t="s">
        <v>32</v>
      </c>
      <c r="I4294" s="28" t="s">
        <v>28</v>
      </c>
    </row>
    <row r="4295" spans="1:9" x14ac:dyDescent="0.3">
      <c r="A4295" s="26">
        <v>45345</v>
      </c>
      <c r="B4295" t="s">
        <v>752</v>
      </c>
      <c r="C4295" t="s">
        <v>753</v>
      </c>
      <c r="D4295">
        <v>0.17</v>
      </c>
      <c r="E4295" t="s">
        <v>757</v>
      </c>
      <c r="F4295" t="s">
        <v>754</v>
      </c>
      <c r="G4295" t="s">
        <v>758</v>
      </c>
      <c r="H4295" t="s">
        <v>32</v>
      </c>
      <c r="I4295" s="28" t="s">
        <v>28</v>
      </c>
    </row>
    <row r="4296" spans="1:9" x14ac:dyDescent="0.3">
      <c r="A4296" s="26">
        <v>45345</v>
      </c>
      <c r="B4296" t="s">
        <v>752</v>
      </c>
      <c r="C4296" t="s">
        <v>753</v>
      </c>
      <c r="D4296">
        <v>0.28000000000000003</v>
      </c>
      <c r="E4296" t="s">
        <v>430</v>
      </c>
      <c r="F4296" t="s">
        <v>754</v>
      </c>
      <c r="G4296" t="s">
        <v>758</v>
      </c>
      <c r="H4296" t="s">
        <v>32</v>
      </c>
      <c r="I4296" s="28" t="s">
        <v>28</v>
      </c>
    </row>
    <row r="4297" spans="1:9" x14ac:dyDescent="0.3">
      <c r="A4297" s="26">
        <v>45345</v>
      </c>
      <c r="B4297" t="s">
        <v>752</v>
      </c>
      <c r="C4297" t="s">
        <v>753</v>
      </c>
      <c r="D4297">
        <v>0.35</v>
      </c>
      <c r="E4297" t="s">
        <v>561</v>
      </c>
      <c r="F4297" t="s">
        <v>754</v>
      </c>
      <c r="G4297" t="s">
        <v>765</v>
      </c>
      <c r="H4297" t="s">
        <v>32</v>
      </c>
      <c r="I4297" s="28" t="s">
        <v>28</v>
      </c>
    </row>
    <row r="4298" spans="1:9" x14ac:dyDescent="0.3">
      <c r="A4298" s="26">
        <v>45345</v>
      </c>
      <c r="B4298" t="s">
        <v>752</v>
      </c>
      <c r="C4298" t="s">
        <v>753</v>
      </c>
      <c r="D4298">
        <v>0.35</v>
      </c>
      <c r="E4298" t="s">
        <v>664</v>
      </c>
      <c r="F4298" t="s">
        <v>754</v>
      </c>
      <c r="G4298" t="s">
        <v>1088</v>
      </c>
      <c r="H4298" t="s">
        <v>32</v>
      </c>
      <c r="I4298" s="28" t="s">
        <v>28</v>
      </c>
    </row>
    <row r="4299" spans="1:9" x14ac:dyDescent="0.3">
      <c r="A4299" s="26">
        <v>45345</v>
      </c>
      <c r="B4299" t="s">
        <v>752</v>
      </c>
      <c r="C4299" t="s">
        <v>753</v>
      </c>
      <c r="D4299">
        <v>0.67</v>
      </c>
      <c r="E4299" t="s">
        <v>430</v>
      </c>
      <c r="F4299" t="s">
        <v>754</v>
      </c>
      <c r="G4299" t="s">
        <v>2407</v>
      </c>
      <c r="H4299" t="s">
        <v>32</v>
      </c>
      <c r="I4299" s="28" t="s">
        <v>28</v>
      </c>
    </row>
    <row r="4300" spans="1:9" x14ac:dyDescent="0.3">
      <c r="A4300" s="26">
        <v>45345</v>
      </c>
      <c r="B4300" t="s">
        <v>752</v>
      </c>
      <c r="C4300" t="s">
        <v>753</v>
      </c>
      <c r="D4300">
        <v>0.75</v>
      </c>
      <c r="E4300" t="s">
        <v>659</v>
      </c>
      <c r="F4300" t="s">
        <v>754</v>
      </c>
      <c r="G4300" t="s">
        <v>765</v>
      </c>
      <c r="H4300" t="s">
        <v>32</v>
      </c>
      <c r="I4300" s="28" t="s">
        <v>28</v>
      </c>
    </row>
    <row r="4301" spans="1:9" x14ac:dyDescent="0.3">
      <c r="A4301" s="26">
        <v>45345</v>
      </c>
      <c r="B4301" t="s">
        <v>752</v>
      </c>
      <c r="C4301" t="s">
        <v>753</v>
      </c>
      <c r="D4301">
        <v>0.83</v>
      </c>
      <c r="E4301" t="s">
        <v>602</v>
      </c>
      <c r="F4301" t="s">
        <v>754</v>
      </c>
      <c r="G4301" t="s">
        <v>766</v>
      </c>
      <c r="H4301" t="s">
        <v>32</v>
      </c>
      <c r="I4301" s="28" t="s">
        <v>28</v>
      </c>
    </row>
    <row r="4302" spans="1:9" x14ac:dyDescent="0.3">
      <c r="A4302" s="26">
        <v>45345</v>
      </c>
      <c r="B4302" t="s">
        <v>752</v>
      </c>
      <c r="C4302" t="s">
        <v>753</v>
      </c>
      <c r="D4302">
        <v>2.2999999999999998</v>
      </c>
      <c r="E4302" t="s">
        <v>430</v>
      </c>
      <c r="F4302" t="s">
        <v>754</v>
      </c>
      <c r="G4302" t="s">
        <v>769</v>
      </c>
      <c r="H4302" t="s">
        <v>32</v>
      </c>
      <c r="I4302" s="28" t="s">
        <v>28</v>
      </c>
    </row>
    <row r="4303" spans="1:9" x14ac:dyDescent="0.3">
      <c r="A4303" s="26">
        <v>45345</v>
      </c>
      <c r="B4303" t="s">
        <v>752</v>
      </c>
      <c r="C4303" t="s">
        <v>771</v>
      </c>
      <c r="D4303">
        <v>0.25</v>
      </c>
      <c r="E4303" t="s">
        <v>7</v>
      </c>
      <c r="F4303" t="s">
        <v>772</v>
      </c>
      <c r="G4303" t="s">
        <v>774</v>
      </c>
      <c r="H4303" t="s">
        <v>32</v>
      </c>
      <c r="I4303" s="28" t="s">
        <v>28</v>
      </c>
    </row>
    <row r="4304" spans="1:9" x14ac:dyDescent="0.3">
      <c r="A4304" s="26">
        <v>45345</v>
      </c>
      <c r="B4304" t="s">
        <v>752</v>
      </c>
      <c r="C4304" t="s">
        <v>771</v>
      </c>
      <c r="D4304">
        <v>0.25</v>
      </c>
      <c r="E4304" t="s">
        <v>7</v>
      </c>
      <c r="F4304" t="s">
        <v>772</v>
      </c>
      <c r="G4304" t="s">
        <v>775</v>
      </c>
      <c r="H4304" t="s">
        <v>32</v>
      </c>
      <c r="I4304" s="28" t="s">
        <v>28</v>
      </c>
    </row>
    <row r="4305" spans="1:9" x14ac:dyDescent="0.3">
      <c r="A4305" s="26">
        <v>45345</v>
      </c>
      <c r="B4305" t="s">
        <v>752</v>
      </c>
      <c r="C4305" t="s">
        <v>834</v>
      </c>
      <c r="D4305">
        <v>0.2</v>
      </c>
      <c r="E4305" t="s">
        <v>7</v>
      </c>
      <c r="F4305" t="s">
        <v>772</v>
      </c>
      <c r="G4305" t="s">
        <v>1741</v>
      </c>
      <c r="H4305" t="s">
        <v>32</v>
      </c>
      <c r="I4305" s="28" t="s">
        <v>28</v>
      </c>
    </row>
    <row r="4306" spans="1:9" x14ac:dyDescent="0.3">
      <c r="A4306" s="26">
        <v>45345</v>
      </c>
      <c r="B4306" t="s">
        <v>752</v>
      </c>
      <c r="C4306" t="s">
        <v>874</v>
      </c>
      <c r="D4306">
        <v>0.56999999999999995</v>
      </c>
      <c r="E4306" t="s">
        <v>7</v>
      </c>
      <c r="F4306" t="s">
        <v>772</v>
      </c>
      <c r="G4306" t="s">
        <v>1090</v>
      </c>
      <c r="H4306" t="s">
        <v>32</v>
      </c>
      <c r="I4306" s="28" t="s">
        <v>28</v>
      </c>
    </row>
    <row r="4307" spans="1:9" x14ac:dyDescent="0.3">
      <c r="A4307" s="26">
        <v>45345</v>
      </c>
      <c r="B4307" t="s">
        <v>752</v>
      </c>
      <c r="C4307" t="s">
        <v>776</v>
      </c>
      <c r="D4307">
        <v>0.23</v>
      </c>
      <c r="E4307" t="s">
        <v>553</v>
      </c>
      <c r="F4307" t="s">
        <v>754</v>
      </c>
      <c r="H4307" t="s">
        <v>32</v>
      </c>
      <c r="I4307" s="28" t="s">
        <v>28</v>
      </c>
    </row>
    <row r="4308" spans="1:9" x14ac:dyDescent="0.3">
      <c r="A4308" s="26">
        <v>45345</v>
      </c>
      <c r="B4308" t="s">
        <v>752</v>
      </c>
      <c r="C4308" t="s">
        <v>776</v>
      </c>
      <c r="D4308">
        <v>0.48</v>
      </c>
      <c r="E4308" t="s">
        <v>458</v>
      </c>
      <c r="F4308" t="s">
        <v>754</v>
      </c>
      <c r="H4308" t="s">
        <v>32</v>
      </c>
      <c r="I4308" s="28" t="s">
        <v>28</v>
      </c>
    </row>
    <row r="4309" spans="1:9" x14ac:dyDescent="0.3">
      <c r="A4309" s="26">
        <v>45345</v>
      </c>
      <c r="B4309" t="s">
        <v>1093</v>
      </c>
      <c r="C4309" t="s">
        <v>1524</v>
      </c>
      <c r="D4309">
        <v>0.25</v>
      </c>
      <c r="E4309" t="s">
        <v>455</v>
      </c>
      <c r="F4309" t="s">
        <v>754</v>
      </c>
      <c r="G4309" t="s">
        <v>3778</v>
      </c>
      <c r="H4309" t="s">
        <v>32</v>
      </c>
      <c r="I4309" s="28" t="s">
        <v>28</v>
      </c>
    </row>
    <row r="4310" spans="1:9" x14ac:dyDescent="0.3">
      <c r="A4310" s="26">
        <v>45345</v>
      </c>
      <c r="B4310" t="s">
        <v>1093</v>
      </c>
      <c r="C4310" t="s">
        <v>1094</v>
      </c>
      <c r="D4310">
        <v>1.75</v>
      </c>
      <c r="E4310" t="s">
        <v>455</v>
      </c>
      <c r="F4310" t="s">
        <v>754</v>
      </c>
      <c r="G4310" t="s">
        <v>3779</v>
      </c>
      <c r="H4310" t="s">
        <v>32</v>
      </c>
      <c r="I4310" s="28" t="s">
        <v>28</v>
      </c>
    </row>
    <row r="4311" spans="1:9" x14ac:dyDescent="0.3">
      <c r="A4311" s="26">
        <v>45345</v>
      </c>
      <c r="B4311" t="s">
        <v>21</v>
      </c>
      <c r="C4311" t="s">
        <v>753</v>
      </c>
      <c r="D4311">
        <v>0.15</v>
      </c>
      <c r="E4311" t="s">
        <v>1096</v>
      </c>
      <c r="F4311" t="s">
        <v>754</v>
      </c>
      <c r="H4311" t="s">
        <v>32</v>
      </c>
      <c r="I4311" s="28" t="s">
        <v>28</v>
      </c>
    </row>
    <row r="4312" spans="1:9" x14ac:dyDescent="0.3">
      <c r="A4312" s="26">
        <v>45345</v>
      </c>
      <c r="B4312" t="s">
        <v>21</v>
      </c>
      <c r="C4312" t="s">
        <v>753</v>
      </c>
      <c r="D4312">
        <v>0.45</v>
      </c>
      <c r="E4312" t="s">
        <v>589</v>
      </c>
      <c r="F4312" t="s">
        <v>772</v>
      </c>
      <c r="G4312" t="s">
        <v>3780</v>
      </c>
      <c r="H4312" t="s">
        <v>32</v>
      </c>
      <c r="I4312" s="28" t="s">
        <v>28</v>
      </c>
    </row>
    <row r="4313" spans="1:9" x14ac:dyDescent="0.3">
      <c r="A4313" s="26">
        <v>45345</v>
      </c>
      <c r="B4313" t="s">
        <v>21</v>
      </c>
      <c r="C4313" t="s">
        <v>753</v>
      </c>
      <c r="D4313">
        <v>1.55</v>
      </c>
      <c r="E4313" t="s">
        <v>13</v>
      </c>
      <c r="F4313" t="s">
        <v>754</v>
      </c>
      <c r="H4313" t="s">
        <v>32</v>
      </c>
      <c r="I4313" s="28" t="s">
        <v>28</v>
      </c>
    </row>
    <row r="4314" spans="1:9" x14ac:dyDescent="0.3">
      <c r="A4314" s="26">
        <v>45345</v>
      </c>
      <c r="B4314" t="s">
        <v>21</v>
      </c>
      <c r="C4314" t="s">
        <v>753</v>
      </c>
      <c r="D4314">
        <v>1.78</v>
      </c>
      <c r="E4314" t="s">
        <v>589</v>
      </c>
      <c r="F4314" t="s">
        <v>754</v>
      </c>
      <c r="H4314" t="s">
        <v>32</v>
      </c>
      <c r="I4314" s="28" t="s">
        <v>28</v>
      </c>
    </row>
    <row r="4315" spans="1:9" x14ac:dyDescent="0.3">
      <c r="A4315" s="26">
        <v>45345</v>
      </c>
      <c r="B4315" t="s">
        <v>21</v>
      </c>
      <c r="C4315" t="s">
        <v>771</v>
      </c>
      <c r="D4315">
        <v>0.53</v>
      </c>
      <c r="E4315" t="s">
        <v>7</v>
      </c>
      <c r="F4315" t="s">
        <v>772</v>
      </c>
      <c r="G4315" t="s">
        <v>781</v>
      </c>
      <c r="H4315" t="s">
        <v>32</v>
      </c>
      <c r="I4315" s="28" t="s">
        <v>28</v>
      </c>
    </row>
    <row r="4316" spans="1:9" x14ac:dyDescent="0.3">
      <c r="A4316" s="26">
        <v>45345</v>
      </c>
      <c r="B4316" t="s">
        <v>21</v>
      </c>
      <c r="C4316" t="s">
        <v>771</v>
      </c>
      <c r="D4316">
        <v>0.75</v>
      </c>
      <c r="E4316" t="s">
        <v>7</v>
      </c>
      <c r="F4316" t="s">
        <v>772</v>
      </c>
      <c r="G4316" t="s">
        <v>3781</v>
      </c>
      <c r="H4316" t="s">
        <v>32</v>
      </c>
      <c r="I4316" s="28" t="s">
        <v>28</v>
      </c>
    </row>
    <row r="4317" spans="1:9" x14ac:dyDescent="0.3">
      <c r="A4317" s="26">
        <v>45345</v>
      </c>
      <c r="B4317" t="s">
        <v>21</v>
      </c>
      <c r="C4317" t="s">
        <v>771</v>
      </c>
      <c r="D4317">
        <v>0.98</v>
      </c>
      <c r="E4317" t="s">
        <v>7</v>
      </c>
      <c r="F4317" t="s">
        <v>772</v>
      </c>
      <c r="G4317" t="s">
        <v>3782</v>
      </c>
      <c r="H4317" t="s">
        <v>32</v>
      </c>
      <c r="I4317" s="28" t="s">
        <v>28</v>
      </c>
    </row>
    <row r="4318" spans="1:9" x14ac:dyDescent="0.3">
      <c r="A4318" s="26">
        <v>45345</v>
      </c>
      <c r="B4318" t="s">
        <v>21</v>
      </c>
      <c r="C4318" t="s">
        <v>874</v>
      </c>
      <c r="D4318">
        <v>0.55000000000000004</v>
      </c>
      <c r="E4318" t="s">
        <v>7</v>
      </c>
      <c r="F4318" t="s">
        <v>772</v>
      </c>
      <c r="G4318" t="s">
        <v>1956</v>
      </c>
      <c r="H4318" t="s">
        <v>32</v>
      </c>
      <c r="I4318" s="28" t="s">
        <v>28</v>
      </c>
    </row>
    <row r="4319" spans="1:9" x14ac:dyDescent="0.3">
      <c r="A4319" s="26">
        <v>45345</v>
      </c>
      <c r="B4319" t="s">
        <v>21</v>
      </c>
      <c r="C4319" t="s">
        <v>874</v>
      </c>
      <c r="D4319">
        <v>1.1499999999999999</v>
      </c>
      <c r="E4319" t="s">
        <v>7</v>
      </c>
      <c r="F4319" t="s">
        <v>772</v>
      </c>
      <c r="G4319" t="s">
        <v>3783</v>
      </c>
      <c r="H4319" t="s">
        <v>32</v>
      </c>
      <c r="I4319" s="28" t="s">
        <v>28</v>
      </c>
    </row>
    <row r="4320" spans="1:9" x14ac:dyDescent="0.3">
      <c r="A4320" s="26">
        <v>45345</v>
      </c>
      <c r="B4320" t="s">
        <v>21</v>
      </c>
      <c r="C4320" t="s">
        <v>776</v>
      </c>
      <c r="D4320">
        <v>0.1</v>
      </c>
      <c r="E4320" t="s">
        <v>13</v>
      </c>
      <c r="F4320" t="s">
        <v>754</v>
      </c>
      <c r="H4320" t="s">
        <v>32</v>
      </c>
      <c r="I4320" s="28" t="s">
        <v>28</v>
      </c>
    </row>
    <row r="4321" spans="1:9" x14ac:dyDescent="0.3">
      <c r="A4321" s="26">
        <v>45345</v>
      </c>
      <c r="B4321" t="s">
        <v>785</v>
      </c>
      <c r="C4321" t="s">
        <v>786</v>
      </c>
      <c r="D4321">
        <v>10.6</v>
      </c>
      <c r="E4321" t="s">
        <v>7</v>
      </c>
      <c r="F4321" t="s">
        <v>772</v>
      </c>
      <c r="G4321" t="s">
        <v>3784</v>
      </c>
      <c r="H4321" t="s">
        <v>32</v>
      </c>
      <c r="I4321" s="28" t="s">
        <v>28</v>
      </c>
    </row>
    <row r="4322" spans="1:9" x14ac:dyDescent="0.3">
      <c r="A4322" s="26">
        <v>45345</v>
      </c>
      <c r="B4322" t="s">
        <v>788</v>
      </c>
      <c r="C4322" t="s">
        <v>786</v>
      </c>
      <c r="D4322">
        <v>8</v>
      </c>
      <c r="E4322" t="s">
        <v>7</v>
      </c>
      <c r="F4322" t="s">
        <v>772</v>
      </c>
      <c r="H4322" t="s">
        <v>32</v>
      </c>
      <c r="I4322" s="28" t="s">
        <v>28</v>
      </c>
    </row>
    <row r="4323" spans="1:9" x14ac:dyDescent="0.3">
      <c r="A4323" s="26">
        <v>45345</v>
      </c>
      <c r="B4323" t="s">
        <v>792</v>
      </c>
      <c r="C4323" t="s">
        <v>753</v>
      </c>
      <c r="D4323">
        <v>0.56999999999999995</v>
      </c>
      <c r="E4323" t="s">
        <v>790</v>
      </c>
      <c r="F4323" t="s">
        <v>754</v>
      </c>
      <c r="G4323" t="s">
        <v>3461</v>
      </c>
      <c r="H4323" t="s">
        <v>32</v>
      </c>
      <c r="I4323" s="28" t="s">
        <v>28</v>
      </c>
    </row>
    <row r="4324" spans="1:9" x14ac:dyDescent="0.3">
      <c r="A4324" s="26">
        <v>45345</v>
      </c>
      <c r="B4324" t="s">
        <v>792</v>
      </c>
      <c r="C4324" t="s">
        <v>753</v>
      </c>
      <c r="D4324">
        <v>0.7</v>
      </c>
      <c r="E4324" t="s">
        <v>790</v>
      </c>
      <c r="F4324" t="s">
        <v>754</v>
      </c>
      <c r="G4324" t="s">
        <v>3785</v>
      </c>
      <c r="H4324" t="s">
        <v>32</v>
      </c>
      <c r="I4324" s="28" t="s">
        <v>28</v>
      </c>
    </row>
    <row r="4325" spans="1:9" x14ac:dyDescent="0.3">
      <c r="A4325" s="26">
        <v>45345</v>
      </c>
      <c r="B4325" t="s">
        <v>792</v>
      </c>
      <c r="C4325" t="s">
        <v>753</v>
      </c>
      <c r="D4325">
        <v>1.6</v>
      </c>
      <c r="E4325" t="s">
        <v>790</v>
      </c>
      <c r="F4325" t="s">
        <v>754</v>
      </c>
      <c r="G4325" t="s">
        <v>3303</v>
      </c>
      <c r="H4325" t="s">
        <v>32</v>
      </c>
      <c r="I4325" s="28" t="s">
        <v>28</v>
      </c>
    </row>
    <row r="4326" spans="1:9" x14ac:dyDescent="0.3">
      <c r="A4326" s="26">
        <v>45345</v>
      </c>
      <c r="B4326" t="s">
        <v>792</v>
      </c>
      <c r="C4326" t="s">
        <v>753</v>
      </c>
      <c r="D4326">
        <v>1.8</v>
      </c>
      <c r="E4326" t="s">
        <v>790</v>
      </c>
      <c r="F4326" t="s">
        <v>754</v>
      </c>
      <c r="G4326" t="s">
        <v>793</v>
      </c>
      <c r="H4326" t="s">
        <v>32</v>
      </c>
      <c r="I4326" s="28" t="s">
        <v>28</v>
      </c>
    </row>
    <row r="4327" spans="1:9" x14ac:dyDescent="0.3">
      <c r="A4327" s="26">
        <v>45345</v>
      </c>
      <c r="B4327" t="s">
        <v>792</v>
      </c>
      <c r="C4327" t="s">
        <v>753</v>
      </c>
      <c r="D4327">
        <v>2.62</v>
      </c>
      <c r="E4327" t="s">
        <v>790</v>
      </c>
      <c r="F4327" t="s">
        <v>754</v>
      </c>
      <c r="G4327" t="s">
        <v>795</v>
      </c>
      <c r="H4327" t="s">
        <v>32</v>
      </c>
      <c r="I4327" s="28" t="s">
        <v>28</v>
      </c>
    </row>
    <row r="4328" spans="1:9" x14ac:dyDescent="0.3">
      <c r="A4328" s="26">
        <v>45345</v>
      </c>
      <c r="B4328" t="s">
        <v>792</v>
      </c>
      <c r="C4328" t="s">
        <v>874</v>
      </c>
      <c r="D4328">
        <v>0.5</v>
      </c>
      <c r="E4328" t="s">
        <v>7</v>
      </c>
      <c r="F4328" t="s">
        <v>772</v>
      </c>
      <c r="G4328" t="s">
        <v>3786</v>
      </c>
      <c r="H4328" t="s">
        <v>32</v>
      </c>
      <c r="I4328" s="28" t="s">
        <v>28</v>
      </c>
    </row>
    <row r="4329" spans="1:9" x14ac:dyDescent="0.3">
      <c r="A4329" s="26">
        <v>45345</v>
      </c>
      <c r="B4329" t="s">
        <v>792</v>
      </c>
      <c r="C4329" t="s">
        <v>874</v>
      </c>
      <c r="D4329">
        <v>1</v>
      </c>
      <c r="E4329" t="s">
        <v>7</v>
      </c>
      <c r="F4329" t="s">
        <v>772</v>
      </c>
      <c r="G4329" t="s">
        <v>3787</v>
      </c>
      <c r="H4329" t="s">
        <v>32</v>
      </c>
      <c r="I4329" s="28" t="s">
        <v>28</v>
      </c>
    </row>
    <row r="4330" spans="1:9" x14ac:dyDescent="0.3">
      <c r="A4330" s="26">
        <v>45345</v>
      </c>
      <c r="B4330" t="s">
        <v>801</v>
      </c>
      <c r="C4330" t="s">
        <v>802</v>
      </c>
      <c r="D4330">
        <v>9.67</v>
      </c>
      <c r="E4330" t="s">
        <v>7</v>
      </c>
      <c r="F4330" t="s">
        <v>772</v>
      </c>
      <c r="H4330" t="s">
        <v>32</v>
      </c>
      <c r="I4330" s="28" t="s">
        <v>28</v>
      </c>
    </row>
    <row r="4331" spans="1:9" x14ac:dyDescent="0.3">
      <c r="A4331" s="26">
        <v>45345</v>
      </c>
      <c r="B4331" t="s">
        <v>806</v>
      </c>
      <c r="C4331" t="s">
        <v>802</v>
      </c>
      <c r="D4331">
        <v>3</v>
      </c>
      <c r="E4331" t="s">
        <v>7</v>
      </c>
      <c r="F4331" t="s">
        <v>772</v>
      </c>
      <c r="G4331" t="s">
        <v>1545</v>
      </c>
      <c r="H4331" t="s">
        <v>32</v>
      </c>
      <c r="I4331" s="28" t="s">
        <v>28</v>
      </c>
    </row>
    <row r="4332" spans="1:9" x14ac:dyDescent="0.3">
      <c r="A4332" s="26">
        <v>45345</v>
      </c>
      <c r="B4332" t="s">
        <v>808</v>
      </c>
      <c r="C4332" t="s">
        <v>802</v>
      </c>
      <c r="D4332">
        <v>9.27</v>
      </c>
      <c r="E4332" t="s">
        <v>7</v>
      </c>
      <c r="F4332" t="s">
        <v>772</v>
      </c>
      <c r="G4332" t="s">
        <v>3788</v>
      </c>
      <c r="H4332" t="s">
        <v>32</v>
      </c>
      <c r="I4332" s="28" t="s">
        <v>28</v>
      </c>
    </row>
    <row r="4333" spans="1:9" x14ac:dyDescent="0.3">
      <c r="A4333" s="26">
        <v>45345</v>
      </c>
      <c r="B4333" t="s">
        <v>810</v>
      </c>
      <c r="C4333" t="s">
        <v>753</v>
      </c>
      <c r="D4333">
        <v>0.17</v>
      </c>
      <c r="E4333" t="s">
        <v>811</v>
      </c>
      <c r="F4333" t="s">
        <v>754</v>
      </c>
      <c r="G4333" t="s">
        <v>849</v>
      </c>
      <c r="H4333" t="s">
        <v>32</v>
      </c>
      <c r="I4333" s="28" t="s">
        <v>28</v>
      </c>
    </row>
    <row r="4334" spans="1:9" x14ac:dyDescent="0.3">
      <c r="A4334" s="26">
        <v>45345</v>
      </c>
      <c r="B4334" t="s">
        <v>810</v>
      </c>
      <c r="C4334" t="s">
        <v>753</v>
      </c>
      <c r="D4334">
        <v>0.17</v>
      </c>
      <c r="E4334" t="s">
        <v>813</v>
      </c>
      <c r="F4334" t="s">
        <v>754</v>
      </c>
      <c r="G4334" t="s">
        <v>849</v>
      </c>
      <c r="H4334" t="s">
        <v>32</v>
      </c>
      <c r="I4334" s="28" t="s">
        <v>28</v>
      </c>
    </row>
    <row r="4335" spans="1:9" x14ac:dyDescent="0.3">
      <c r="A4335" s="26">
        <v>45345</v>
      </c>
      <c r="B4335" t="s">
        <v>810</v>
      </c>
      <c r="C4335" t="s">
        <v>753</v>
      </c>
      <c r="D4335">
        <v>0.25</v>
      </c>
      <c r="E4335" t="s">
        <v>815</v>
      </c>
      <c r="F4335" t="s">
        <v>772</v>
      </c>
      <c r="G4335" t="s">
        <v>1336</v>
      </c>
      <c r="H4335" t="s">
        <v>32</v>
      </c>
      <c r="I4335" s="28" t="s">
        <v>28</v>
      </c>
    </row>
    <row r="4336" spans="1:9" x14ac:dyDescent="0.3">
      <c r="A4336" s="26">
        <v>45345</v>
      </c>
      <c r="B4336" t="s">
        <v>810</v>
      </c>
      <c r="C4336" t="s">
        <v>753</v>
      </c>
      <c r="D4336">
        <v>0.33</v>
      </c>
      <c r="E4336" t="s">
        <v>628</v>
      </c>
      <c r="F4336" t="s">
        <v>772</v>
      </c>
      <c r="G4336" t="s">
        <v>3789</v>
      </c>
      <c r="H4336" t="s">
        <v>32</v>
      </c>
      <c r="I4336" s="28" t="s">
        <v>28</v>
      </c>
    </row>
    <row r="4337" spans="1:9" x14ac:dyDescent="0.3">
      <c r="A4337" s="26">
        <v>45345</v>
      </c>
      <c r="B4337" t="s">
        <v>810</v>
      </c>
      <c r="C4337" t="s">
        <v>753</v>
      </c>
      <c r="D4337">
        <v>0.42</v>
      </c>
      <c r="E4337" t="s">
        <v>910</v>
      </c>
      <c r="F4337" t="s">
        <v>754</v>
      </c>
      <c r="G4337" t="s">
        <v>3790</v>
      </c>
      <c r="H4337" t="s">
        <v>32</v>
      </c>
      <c r="I4337" s="28" t="s">
        <v>28</v>
      </c>
    </row>
    <row r="4338" spans="1:9" x14ac:dyDescent="0.3">
      <c r="A4338" s="26">
        <v>45345</v>
      </c>
      <c r="B4338" t="s">
        <v>810</v>
      </c>
      <c r="C4338" t="s">
        <v>753</v>
      </c>
      <c r="D4338">
        <v>0.5</v>
      </c>
      <c r="E4338" t="s">
        <v>516</v>
      </c>
      <c r="F4338" t="s">
        <v>754</v>
      </c>
      <c r="G4338" t="s">
        <v>3791</v>
      </c>
      <c r="H4338" t="s">
        <v>32</v>
      </c>
      <c r="I4338" s="28" t="s">
        <v>28</v>
      </c>
    </row>
    <row r="4339" spans="1:9" x14ac:dyDescent="0.3">
      <c r="A4339" s="26">
        <v>45345</v>
      </c>
      <c r="B4339" t="s">
        <v>810</v>
      </c>
      <c r="C4339" t="s">
        <v>753</v>
      </c>
      <c r="D4339">
        <v>1.5</v>
      </c>
      <c r="E4339" t="s">
        <v>815</v>
      </c>
      <c r="F4339" t="s">
        <v>754</v>
      </c>
      <c r="G4339" t="s">
        <v>3792</v>
      </c>
      <c r="H4339" t="s">
        <v>32</v>
      </c>
      <c r="I4339" s="28" t="s">
        <v>28</v>
      </c>
    </row>
    <row r="4340" spans="1:9" x14ac:dyDescent="0.3">
      <c r="A4340" s="26">
        <v>45345</v>
      </c>
      <c r="B4340" t="s">
        <v>810</v>
      </c>
      <c r="C4340" t="s">
        <v>771</v>
      </c>
      <c r="D4340">
        <v>0.5</v>
      </c>
      <c r="E4340" t="s">
        <v>7</v>
      </c>
      <c r="F4340" t="s">
        <v>772</v>
      </c>
      <c r="G4340" t="s">
        <v>781</v>
      </c>
      <c r="H4340" t="s">
        <v>32</v>
      </c>
      <c r="I4340" s="28" t="s">
        <v>28</v>
      </c>
    </row>
    <row r="4341" spans="1:9" x14ac:dyDescent="0.3">
      <c r="A4341" s="26">
        <v>45345</v>
      </c>
      <c r="B4341" t="s">
        <v>810</v>
      </c>
      <c r="C4341" t="s">
        <v>874</v>
      </c>
      <c r="D4341">
        <v>0.67</v>
      </c>
      <c r="E4341" t="s">
        <v>7</v>
      </c>
      <c r="F4341" t="s">
        <v>772</v>
      </c>
      <c r="G4341" t="s">
        <v>1125</v>
      </c>
      <c r="H4341" t="s">
        <v>32</v>
      </c>
      <c r="I4341" s="28" t="s">
        <v>28</v>
      </c>
    </row>
    <row r="4342" spans="1:9" x14ac:dyDescent="0.3">
      <c r="A4342" s="26">
        <v>45345</v>
      </c>
      <c r="B4342" t="s">
        <v>810</v>
      </c>
      <c r="C4342" t="s">
        <v>919</v>
      </c>
      <c r="D4342">
        <v>0.17</v>
      </c>
      <c r="E4342" t="s">
        <v>1631</v>
      </c>
      <c r="F4342" t="s">
        <v>754</v>
      </c>
      <c r="G4342" t="s">
        <v>3790</v>
      </c>
      <c r="H4342" t="s">
        <v>32</v>
      </c>
      <c r="I4342" s="28" t="s">
        <v>28</v>
      </c>
    </row>
    <row r="4343" spans="1:9" x14ac:dyDescent="0.3">
      <c r="A4343" s="26">
        <v>45345</v>
      </c>
      <c r="B4343" t="s">
        <v>810</v>
      </c>
      <c r="C4343" t="s">
        <v>919</v>
      </c>
      <c r="D4343">
        <v>0.17</v>
      </c>
      <c r="E4343" t="s">
        <v>2987</v>
      </c>
      <c r="F4343" t="s">
        <v>754</v>
      </c>
      <c r="G4343" t="s">
        <v>3790</v>
      </c>
      <c r="H4343" t="s">
        <v>32</v>
      </c>
      <c r="I4343" s="28" t="s">
        <v>28</v>
      </c>
    </row>
    <row r="4344" spans="1:9" x14ac:dyDescent="0.3">
      <c r="A4344" s="26">
        <v>45345</v>
      </c>
      <c r="B4344" t="s">
        <v>810</v>
      </c>
      <c r="C4344" t="s">
        <v>919</v>
      </c>
      <c r="D4344">
        <v>0.17</v>
      </c>
      <c r="E4344" t="s">
        <v>1343</v>
      </c>
      <c r="F4344" t="s">
        <v>754</v>
      </c>
      <c r="G4344" t="s">
        <v>3790</v>
      </c>
      <c r="H4344" t="s">
        <v>32</v>
      </c>
      <c r="I4344" s="28" t="s">
        <v>28</v>
      </c>
    </row>
    <row r="4345" spans="1:9" x14ac:dyDescent="0.3">
      <c r="A4345" s="26">
        <v>45345</v>
      </c>
      <c r="B4345" t="s">
        <v>810</v>
      </c>
      <c r="C4345" t="s">
        <v>919</v>
      </c>
      <c r="D4345">
        <v>0.25</v>
      </c>
      <c r="E4345" t="s">
        <v>1340</v>
      </c>
      <c r="F4345" t="s">
        <v>754</v>
      </c>
      <c r="G4345" t="s">
        <v>3790</v>
      </c>
      <c r="H4345" t="s">
        <v>32</v>
      </c>
      <c r="I4345" s="28" t="s">
        <v>28</v>
      </c>
    </row>
    <row r="4346" spans="1:9" x14ac:dyDescent="0.3">
      <c r="A4346" s="26">
        <v>45345</v>
      </c>
      <c r="B4346" t="s">
        <v>810</v>
      </c>
      <c r="C4346" t="s">
        <v>919</v>
      </c>
      <c r="D4346">
        <v>0.57999999999999996</v>
      </c>
      <c r="E4346" t="s">
        <v>1342</v>
      </c>
      <c r="F4346" t="s">
        <v>754</v>
      </c>
      <c r="G4346" t="s">
        <v>3790</v>
      </c>
      <c r="H4346" t="s">
        <v>32</v>
      </c>
      <c r="I4346" s="28" t="s">
        <v>28</v>
      </c>
    </row>
    <row r="4347" spans="1:9" x14ac:dyDescent="0.3">
      <c r="A4347" s="26">
        <v>45345</v>
      </c>
      <c r="B4347" t="s">
        <v>810</v>
      </c>
      <c r="C4347" t="s">
        <v>919</v>
      </c>
      <c r="D4347">
        <v>0.75</v>
      </c>
      <c r="E4347" t="s">
        <v>2797</v>
      </c>
      <c r="F4347" t="s">
        <v>754</v>
      </c>
      <c r="G4347" t="s">
        <v>849</v>
      </c>
      <c r="H4347" t="s">
        <v>32</v>
      </c>
      <c r="I4347" s="28" t="s">
        <v>28</v>
      </c>
    </row>
    <row r="4348" spans="1:9" x14ac:dyDescent="0.3">
      <c r="A4348" s="26">
        <v>45345</v>
      </c>
      <c r="B4348" t="s">
        <v>810</v>
      </c>
      <c r="C4348" t="s">
        <v>919</v>
      </c>
      <c r="D4348">
        <v>1.42</v>
      </c>
      <c r="E4348" t="s">
        <v>2435</v>
      </c>
      <c r="F4348" t="s">
        <v>754</v>
      </c>
      <c r="G4348" t="s">
        <v>849</v>
      </c>
      <c r="H4348" t="s">
        <v>32</v>
      </c>
      <c r="I4348" s="28" t="s">
        <v>28</v>
      </c>
    </row>
    <row r="4349" spans="1:9" x14ac:dyDescent="0.3">
      <c r="A4349" s="26">
        <v>45345</v>
      </c>
      <c r="B4349" t="s">
        <v>225</v>
      </c>
      <c r="C4349" t="s">
        <v>821</v>
      </c>
      <c r="D4349">
        <v>1.25</v>
      </c>
      <c r="E4349" t="s">
        <v>857</v>
      </c>
      <c r="F4349" t="s">
        <v>772</v>
      </c>
      <c r="G4349" t="s">
        <v>3793</v>
      </c>
      <c r="H4349" t="s">
        <v>32</v>
      </c>
      <c r="I4349" s="28" t="s">
        <v>28</v>
      </c>
    </row>
    <row r="4350" spans="1:9" x14ac:dyDescent="0.3">
      <c r="A4350" s="26">
        <v>45345</v>
      </c>
      <c r="B4350" t="s">
        <v>829</v>
      </c>
      <c r="C4350" t="s">
        <v>834</v>
      </c>
      <c r="D4350">
        <v>8</v>
      </c>
      <c r="E4350" t="s">
        <v>7</v>
      </c>
      <c r="F4350" t="s">
        <v>772</v>
      </c>
      <c r="G4350" t="s">
        <v>3794</v>
      </c>
      <c r="H4350" t="s">
        <v>32</v>
      </c>
      <c r="I4350" s="28" t="s">
        <v>28</v>
      </c>
    </row>
    <row r="4351" spans="1:9" x14ac:dyDescent="0.3">
      <c r="A4351" s="26">
        <v>45345</v>
      </c>
      <c r="B4351" t="s">
        <v>840</v>
      </c>
      <c r="C4351" t="s">
        <v>753</v>
      </c>
      <c r="D4351">
        <v>0.17</v>
      </c>
      <c r="E4351" t="s">
        <v>790</v>
      </c>
      <c r="F4351" t="s">
        <v>754</v>
      </c>
      <c r="G4351" t="s">
        <v>841</v>
      </c>
      <c r="H4351" t="s">
        <v>32</v>
      </c>
      <c r="I4351" s="28" t="s">
        <v>28</v>
      </c>
    </row>
    <row r="4352" spans="1:9" x14ac:dyDescent="0.3">
      <c r="A4352" s="26">
        <v>45345</v>
      </c>
      <c r="B4352" t="s">
        <v>840</v>
      </c>
      <c r="C4352" t="s">
        <v>771</v>
      </c>
      <c r="D4352">
        <v>1.3</v>
      </c>
      <c r="E4352" t="s">
        <v>7</v>
      </c>
      <c r="F4352" t="s">
        <v>772</v>
      </c>
      <c r="G4352" t="e">
        <f>- Emails - ATO Communications to clients.</f>
        <v>#NAME?</v>
      </c>
      <c r="H4352" t="s">
        <v>32</v>
      </c>
      <c r="I4352" s="28" t="s">
        <v>28</v>
      </c>
    </row>
    <row r="4353" spans="1:9" x14ac:dyDescent="0.3">
      <c r="A4353" s="26">
        <v>45345</v>
      </c>
      <c r="B4353" t="s">
        <v>840</v>
      </c>
      <c r="C4353" t="s">
        <v>771</v>
      </c>
      <c r="D4353">
        <v>8.33</v>
      </c>
      <c r="E4353" t="s">
        <v>7</v>
      </c>
      <c r="F4353" t="s">
        <v>772</v>
      </c>
      <c r="G4353" t="e">
        <f>- ATO Communications email to clients. - Finalized Superfoods Australia GIC Remission application letter to ATO. - ASIC - Checked Office cards for transfer. - Emails</f>
        <v>#NAME?</v>
      </c>
      <c r="H4353" t="s">
        <v>32</v>
      </c>
      <c r="I4353" s="28" t="s">
        <v>28</v>
      </c>
    </row>
    <row r="4354" spans="1:9" x14ac:dyDescent="0.3">
      <c r="A4354" s="26">
        <v>45345</v>
      </c>
      <c r="B4354" t="s">
        <v>843</v>
      </c>
      <c r="C4354" t="s">
        <v>753</v>
      </c>
      <c r="D4354">
        <v>0.28000000000000003</v>
      </c>
      <c r="E4354" t="s">
        <v>563</v>
      </c>
      <c r="F4354" t="s">
        <v>754</v>
      </c>
      <c r="G4354" t="s">
        <v>3795</v>
      </c>
      <c r="H4354" t="s">
        <v>32</v>
      </c>
      <c r="I4354" s="28" t="s">
        <v>28</v>
      </c>
    </row>
    <row r="4355" spans="1:9" x14ac:dyDescent="0.3">
      <c r="A4355" s="26">
        <v>45345</v>
      </c>
      <c r="B4355" t="s">
        <v>843</v>
      </c>
      <c r="C4355" t="s">
        <v>753</v>
      </c>
      <c r="D4355">
        <v>1.53</v>
      </c>
      <c r="E4355" t="s">
        <v>845</v>
      </c>
      <c r="F4355" t="s">
        <v>754</v>
      </c>
      <c r="G4355" t="s">
        <v>3796</v>
      </c>
      <c r="H4355" t="s">
        <v>32</v>
      </c>
      <c r="I4355" s="28" t="s">
        <v>28</v>
      </c>
    </row>
    <row r="4356" spans="1:9" x14ac:dyDescent="0.3">
      <c r="A4356" s="26">
        <v>45345</v>
      </c>
      <c r="B4356" t="s">
        <v>843</v>
      </c>
      <c r="C4356" t="s">
        <v>753</v>
      </c>
      <c r="D4356">
        <v>1.8</v>
      </c>
      <c r="E4356" t="s">
        <v>234</v>
      </c>
      <c r="F4356" t="s">
        <v>754</v>
      </c>
      <c r="G4356" t="s">
        <v>3797</v>
      </c>
      <c r="H4356" t="s">
        <v>32</v>
      </c>
      <c r="I4356" s="28" t="s">
        <v>28</v>
      </c>
    </row>
    <row r="4357" spans="1:9" x14ac:dyDescent="0.3">
      <c r="A4357" s="26">
        <v>45345</v>
      </c>
      <c r="B4357" t="s">
        <v>843</v>
      </c>
      <c r="C4357" t="s">
        <v>853</v>
      </c>
      <c r="D4357">
        <v>0.2</v>
      </c>
      <c r="E4357" t="s">
        <v>259</v>
      </c>
      <c r="F4357" t="s">
        <v>754</v>
      </c>
      <c r="G4357" t="s">
        <v>3798</v>
      </c>
      <c r="H4357" t="s">
        <v>32</v>
      </c>
      <c r="I4357" s="28" t="s">
        <v>28</v>
      </c>
    </row>
    <row r="4358" spans="1:9" x14ac:dyDescent="0.3">
      <c r="A4358" s="26">
        <v>45345</v>
      </c>
      <c r="B4358" t="s">
        <v>843</v>
      </c>
      <c r="C4358" t="s">
        <v>853</v>
      </c>
      <c r="D4358">
        <v>2.2000000000000002</v>
      </c>
      <c r="E4358" t="s">
        <v>259</v>
      </c>
      <c r="F4358" t="s">
        <v>754</v>
      </c>
      <c r="G4358" t="s">
        <v>3799</v>
      </c>
      <c r="H4358" t="s">
        <v>32</v>
      </c>
      <c r="I4358" s="28" t="s">
        <v>28</v>
      </c>
    </row>
    <row r="4359" spans="1:9" x14ac:dyDescent="0.3">
      <c r="A4359" s="26">
        <v>45345</v>
      </c>
      <c r="B4359" t="s">
        <v>843</v>
      </c>
      <c r="C4359" t="s">
        <v>771</v>
      </c>
      <c r="D4359">
        <v>0.43</v>
      </c>
      <c r="E4359" t="s">
        <v>7</v>
      </c>
      <c r="F4359" t="s">
        <v>772</v>
      </c>
      <c r="G4359" t="s">
        <v>1012</v>
      </c>
      <c r="H4359" t="s">
        <v>32</v>
      </c>
      <c r="I4359" s="28" t="s">
        <v>28</v>
      </c>
    </row>
    <row r="4360" spans="1:9" x14ac:dyDescent="0.3">
      <c r="A4360" s="26">
        <v>45345</v>
      </c>
      <c r="B4360" t="s">
        <v>843</v>
      </c>
      <c r="C4360" t="s">
        <v>771</v>
      </c>
      <c r="D4360">
        <v>0.5</v>
      </c>
      <c r="E4360" t="s">
        <v>7</v>
      </c>
      <c r="F4360" t="s">
        <v>772</v>
      </c>
      <c r="G4360" t="s">
        <v>781</v>
      </c>
      <c r="H4360" t="s">
        <v>32</v>
      </c>
      <c r="I4360" s="28" t="s">
        <v>28</v>
      </c>
    </row>
    <row r="4361" spans="1:9" x14ac:dyDescent="0.3">
      <c r="A4361" s="26">
        <v>45345</v>
      </c>
      <c r="B4361" t="s">
        <v>843</v>
      </c>
      <c r="C4361" t="s">
        <v>771</v>
      </c>
      <c r="D4361">
        <v>0.5</v>
      </c>
      <c r="E4361" t="s">
        <v>7</v>
      </c>
      <c r="F4361" t="s">
        <v>772</v>
      </c>
      <c r="G4361" t="s">
        <v>3800</v>
      </c>
      <c r="H4361" t="s">
        <v>32</v>
      </c>
      <c r="I4361" s="28" t="s">
        <v>28</v>
      </c>
    </row>
    <row r="4362" spans="1:9" x14ac:dyDescent="0.3">
      <c r="A4362" s="26">
        <v>45345</v>
      </c>
      <c r="B4362" t="s">
        <v>843</v>
      </c>
      <c r="C4362" t="s">
        <v>874</v>
      </c>
      <c r="D4362">
        <v>0.55000000000000004</v>
      </c>
      <c r="E4362" t="s">
        <v>7</v>
      </c>
      <c r="F4362" t="s">
        <v>772</v>
      </c>
      <c r="G4362" t="s">
        <v>1110</v>
      </c>
      <c r="H4362" t="s">
        <v>32</v>
      </c>
      <c r="I4362" s="28" t="s">
        <v>28</v>
      </c>
    </row>
    <row r="4363" spans="1:9" x14ac:dyDescent="0.3">
      <c r="A4363" s="26">
        <v>45345</v>
      </c>
      <c r="B4363" t="s">
        <v>856</v>
      </c>
      <c r="C4363" t="s">
        <v>753</v>
      </c>
      <c r="D4363">
        <v>0.3</v>
      </c>
      <c r="E4363" t="s">
        <v>173</v>
      </c>
      <c r="F4363" t="s">
        <v>754</v>
      </c>
      <c r="G4363" t="s">
        <v>3318</v>
      </c>
      <c r="H4363" t="s">
        <v>32</v>
      </c>
      <c r="I4363" s="28" t="s">
        <v>28</v>
      </c>
    </row>
    <row r="4364" spans="1:9" x14ac:dyDescent="0.3">
      <c r="A4364" s="26">
        <v>45345</v>
      </c>
      <c r="B4364" t="s">
        <v>856</v>
      </c>
      <c r="C4364" t="s">
        <v>753</v>
      </c>
      <c r="D4364">
        <v>0.45</v>
      </c>
      <c r="E4364" t="s">
        <v>857</v>
      </c>
      <c r="F4364" t="s">
        <v>754</v>
      </c>
      <c r="G4364" t="s">
        <v>3801</v>
      </c>
      <c r="H4364" t="s">
        <v>32</v>
      </c>
      <c r="I4364" s="28" t="s">
        <v>28</v>
      </c>
    </row>
    <row r="4365" spans="1:9" x14ac:dyDescent="0.3">
      <c r="A4365" s="26">
        <v>45345</v>
      </c>
      <c r="B4365" t="s">
        <v>856</v>
      </c>
      <c r="C4365" t="s">
        <v>753</v>
      </c>
      <c r="D4365">
        <v>0.48</v>
      </c>
      <c r="E4365" t="s">
        <v>583</v>
      </c>
      <c r="F4365" t="s">
        <v>772</v>
      </c>
      <c r="G4365" t="s">
        <v>3484</v>
      </c>
      <c r="H4365" t="s">
        <v>32</v>
      </c>
      <c r="I4365" s="28" t="s">
        <v>28</v>
      </c>
    </row>
    <row r="4366" spans="1:9" x14ac:dyDescent="0.3">
      <c r="A4366" s="26">
        <v>45345</v>
      </c>
      <c r="B4366" t="s">
        <v>856</v>
      </c>
      <c r="C4366" t="s">
        <v>834</v>
      </c>
      <c r="D4366">
        <v>7.65</v>
      </c>
      <c r="E4366" t="s">
        <v>7</v>
      </c>
      <c r="F4366" t="s">
        <v>772</v>
      </c>
      <c r="G4366" t="s">
        <v>3802</v>
      </c>
      <c r="H4366" t="s">
        <v>32</v>
      </c>
      <c r="I4366" s="28" t="s">
        <v>28</v>
      </c>
    </row>
    <row r="4367" spans="1:9" x14ac:dyDescent="0.3">
      <c r="A4367" s="26">
        <v>45345</v>
      </c>
      <c r="B4367" t="s">
        <v>33</v>
      </c>
      <c r="C4367" t="s">
        <v>753</v>
      </c>
      <c r="D4367">
        <v>0.12</v>
      </c>
      <c r="E4367" t="s">
        <v>978</v>
      </c>
      <c r="F4367" t="s">
        <v>754</v>
      </c>
      <c r="G4367" t="s">
        <v>3803</v>
      </c>
      <c r="H4367" t="s">
        <v>32</v>
      </c>
      <c r="I4367" s="28" t="s">
        <v>28</v>
      </c>
    </row>
    <row r="4368" spans="1:9" x14ac:dyDescent="0.3">
      <c r="A4368" s="26">
        <v>45345</v>
      </c>
      <c r="B4368" t="s">
        <v>33</v>
      </c>
      <c r="C4368" t="s">
        <v>909</v>
      </c>
      <c r="D4368">
        <v>2.7</v>
      </c>
      <c r="E4368" t="s">
        <v>2604</v>
      </c>
      <c r="F4368" t="s">
        <v>772</v>
      </c>
      <c r="G4368" t="s">
        <v>3804</v>
      </c>
      <c r="H4368" t="s">
        <v>32</v>
      </c>
      <c r="I4368" s="28" t="s">
        <v>28</v>
      </c>
    </row>
    <row r="4369" spans="1:9" x14ac:dyDescent="0.3">
      <c r="A4369" s="26">
        <v>45345</v>
      </c>
      <c r="B4369" t="s">
        <v>33</v>
      </c>
      <c r="C4369" t="s">
        <v>789</v>
      </c>
      <c r="D4369">
        <v>0.48</v>
      </c>
      <c r="E4369" t="s">
        <v>2604</v>
      </c>
      <c r="F4369" t="s">
        <v>772</v>
      </c>
      <c r="G4369" t="s">
        <v>3805</v>
      </c>
      <c r="H4369" t="s">
        <v>32</v>
      </c>
      <c r="I4369" s="28" t="s">
        <v>28</v>
      </c>
    </row>
    <row r="4370" spans="1:9" x14ac:dyDescent="0.3">
      <c r="A4370" s="26">
        <v>45345</v>
      </c>
      <c r="B4370" t="s">
        <v>33</v>
      </c>
      <c r="C4370" t="s">
        <v>771</v>
      </c>
      <c r="D4370">
        <v>0.48</v>
      </c>
      <c r="E4370" t="s">
        <v>7</v>
      </c>
      <c r="F4370" t="s">
        <v>772</v>
      </c>
      <c r="G4370" t="s">
        <v>3806</v>
      </c>
      <c r="H4370" t="s">
        <v>32</v>
      </c>
      <c r="I4370" s="28" t="s">
        <v>28</v>
      </c>
    </row>
    <row r="4371" spans="1:9" x14ac:dyDescent="0.3">
      <c r="A4371" s="26">
        <v>45345</v>
      </c>
      <c r="B4371" t="s">
        <v>33</v>
      </c>
      <c r="C4371" t="s">
        <v>771</v>
      </c>
      <c r="D4371">
        <v>0.5</v>
      </c>
      <c r="E4371" t="s">
        <v>7</v>
      </c>
      <c r="F4371" t="s">
        <v>772</v>
      </c>
      <c r="G4371" t="s">
        <v>1156</v>
      </c>
      <c r="H4371" t="s">
        <v>32</v>
      </c>
      <c r="I4371" s="28" t="s">
        <v>28</v>
      </c>
    </row>
    <row r="4372" spans="1:9" x14ac:dyDescent="0.3">
      <c r="A4372" s="26">
        <v>45345</v>
      </c>
      <c r="B4372" t="s">
        <v>33</v>
      </c>
      <c r="C4372" t="s">
        <v>771</v>
      </c>
      <c r="D4372">
        <v>0.68</v>
      </c>
      <c r="E4372" t="s">
        <v>7</v>
      </c>
      <c r="F4372" t="s">
        <v>772</v>
      </c>
      <c r="G4372" t="s">
        <v>1366</v>
      </c>
      <c r="H4372" t="s">
        <v>32</v>
      </c>
      <c r="I4372" s="28" t="s">
        <v>28</v>
      </c>
    </row>
    <row r="4373" spans="1:9" x14ac:dyDescent="0.3">
      <c r="A4373" s="26">
        <v>45345</v>
      </c>
      <c r="B4373" t="s">
        <v>33</v>
      </c>
      <c r="C4373" t="s">
        <v>771</v>
      </c>
      <c r="D4373">
        <v>0.93</v>
      </c>
      <c r="E4373" t="s">
        <v>7</v>
      </c>
      <c r="F4373" t="s">
        <v>772</v>
      </c>
      <c r="G4373" t="s">
        <v>3807</v>
      </c>
      <c r="H4373" t="s">
        <v>32</v>
      </c>
      <c r="I4373" s="28" t="s">
        <v>28</v>
      </c>
    </row>
    <row r="4374" spans="1:9" x14ac:dyDescent="0.3">
      <c r="A4374" s="26">
        <v>45345</v>
      </c>
      <c r="B4374" t="s">
        <v>33</v>
      </c>
      <c r="C4374" t="s">
        <v>771</v>
      </c>
      <c r="D4374">
        <v>1.42</v>
      </c>
      <c r="E4374" t="s">
        <v>7</v>
      </c>
      <c r="F4374" t="s">
        <v>772</v>
      </c>
      <c r="G4374" t="s">
        <v>3808</v>
      </c>
      <c r="H4374" t="s">
        <v>32</v>
      </c>
      <c r="I4374" s="28" t="s">
        <v>28</v>
      </c>
    </row>
    <row r="4375" spans="1:9" x14ac:dyDescent="0.3">
      <c r="A4375" s="26">
        <v>45345</v>
      </c>
      <c r="B4375" t="s">
        <v>33</v>
      </c>
      <c r="C4375" t="s">
        <v>776</v>
      </c>
      <c r="D4375">
        <v>0.32</v>
      </c>
      <c r="E4375" t="s">
        <v>563</v>
      </c>
      <c r="F4375" t="s">
        <v>754</v>
      </c>
      <c r="G4375" t="s">
        <v>3809</v>
      </c>
      <c r="H4375" t="s">
        <v>32</v>
      </c>
      <c r="I4375" s="28" t="s">
        <v>28</v>
      </c>
    </row>
    <row r="4376" spans="1:9" x14ac:dyDescent="0.3">
      <c r="A4376" s="26">
        <v>45345</v>
      </c>
      <c r="B4376" t="s">
        <v>33</v>
      </c>
      <c r="C4376" t="s">
        <v>776</v>
      </c>
      <c r="D4376">
        <v>0.62</v>
      </c>
      <c r="E4376" t="s">
        <v>563</v>
      </c>
      <c r="F4376" t="s">
        <v>754</v>
      </c>
      <c r="G4376" t="s">
        <v>3810</v>
      </c>
      <c r="H4376" t="s">
        <v>32</v>
      </c>
      <c r="I4376" s="28" t="s">
        <v>28</v>
      </c>
    </row>
    <row r="4377" spans="1:9" x14ac:dyDescent="0.3">
      <c r="A4377" s="26">
        <v>45345</v>
      </c>
      <c r="B4377" t="s">
        <v>876</v>
      </c>
      <c r="C4377" t="s">
        <v>753</v>
      </c>
      <c r="D4377">
        <v>8.0500000000000007</v>
      </c>
      <c r="E4377" t="s">
        <v>11</v>
      </c>
      <c r="F4377" t="s">
        <v>754</v>
      </c>
      <c r="H4377" t="s">
        <v>32</v>
      </c>
      <c r="I4377" s="28" t="s">
        <v>28</v>
      </c>
    </row>
    <row r="4378" spans="1:9" x14ac:dyDescent="0.3">
      <c r="A4378" s="26">
        <v>45345</v>
      </c>
      <c r="B4378" t="s">
        <v>877</v>
      </c>
      <c r="C4378" t="s">
        <v>878</v>
      </c>
      <c r="D4378">
        <v>0.5</v>
      </c>
      <c r="E4378" t="s">
        <v>879</v>
      </c>
      <c r="F4378" t="s">
        <v>754</v>
      </c>
      <c r="G4378" t="s">
        <v>3811</v>
      </c>
      <c r="H4378" t="s">
        <v>32</v>
      </c>
      <c r="I4378" s="28" t="s">
        <v>28</v>
      </c>
    </row>
    <row r="4379" spans="1:9" x14ac:dyDescent="0.3">
      <c r="A4379" s="26">
        <v>45345</v>
      </c>
      <c r="B4379" t="s">
        <v>884</v>
      </c>
      <c r="C4379" t="s">
        <v>753</v>
      </c>
      <c r="D4379">
        <v>0.25</v>
      </c>
      <c r="E4379" t="s">
        <v>646</v>
      </c>
      <c r="F4379" t="s">
        <v>754</v>
      </c>
      <c r="H4379" t="s">
        <v>32</v>
      </c>
      <c r="I4379" s="28" t="s">
        <v>28</v>
      </c>
    </row>
    <row r="4380" spans="1:9" x14ac:dyDescent="0.3">
      <c r="A4380" s="26">
        <v>45345</v>
      </c>
      <c r="B4380" t="s">
        <v>884</v>
      </c>
      <c r="C4380" t="s">
        <v>753</v>
      </c>
      <c r="D4380">
        <v>0.28000000000000003</v>
      </c>
      <c r="E4380" t="s">
        <v>316</v>
      </c>
      <c r="F4380" t="s">
        <v>754</v>
      </c>
      <c r="G4380" t="s">
        <v>3812</v>
      </c>
      <c r="H4380" t="s">
        <v>32</v>
      </c>
      <c r="I4380" s="28" t="s">
        <v>28</v>
      </c>
    </row>
    <row r="4381" spans="1:9" x14ac:dyDescent="0.3">
      <c r="A4381" s="26">
        <v>45345</v>
      </c>
      <c r="B4381" t="s">
        <v>884</v>
      </c>
      <c r="C4381" t="s">
        <v>753</v>
      </c>
      <c r="D4381">
        <v>0.5</v>
      </c>
      <c r="E4381" t="s">
        <v>288</v>
      </c>
      <c r="F4381" t="s">
        <v>754</v>
      </c>
      <c r="G4381" t="s">
        <v>3813</v>
      </c>
      <c r="H4381" t="s">
        <v>32</v>
      </c>
      <c r="I4381" s="28" t="s">
        <v>28</v>
      </c>
    </row>
    <row r="4382" spans="1:9" x14ac:dyDescent="0.3">
      <c r="A4382" s="26">
        <v>45345</v>
      </c>
      <c r="B4382" t="s">
        <v>884</v>
      </c>
      <c r="C4382" t="s">
        <v>753</v>
      </c>
      <c r="D4382">
        <v>0.5</v>
      </c>
      <c r="E4382" t="s">
        <v>375</v>
      </c>
      <c r="F4382" t="s">
        <v>754</v>
      </c>
      <c r="G4382" t="s">
        <v>3814</v>
      </c>
      <c r="H4382" t="s">
        <v>32</v>
      </c>
      <c r="I4382" s="28" t="s">
        <v>28</v>
      </c>
    </row>
    <row r="4383" spans="1:9" x14ac:dyDescent="0.3">
      <c r="A4383" s="26">
        <v>45345</v>
      </c>
      <c r="B4383" t="s">
        <v>884</v>
      </c>
      <c r="C4383" t="s">
        <v>753</v>
      </c>
      <c r="D4383">
        <v>0.62</v>
      </c>
      <c r="E4383" t="s">
        <v>375</v>
      </c>
      <c r="F4383" t="s">
        <v>754</v>
      </c>
      <c r="G4383" t="s">
        <v>3815</v>
      </c>
      <c r="H4383" t="s">
        <v>32</v>
      </c>
      <c r="I4383" s="28" t="s">
        <v>28</v>
      </c>
    </row>
    <row r="4384" spans="1:9" x14ac:dyDescent="0.3">
      <c r="A4384" s="26">
        <v>45345</v>
      </c>
      <c r="B4384" t="s">
        <v>884</v>
      </c>
      <c r="C4384" t="s">
        <v>753</v>
      </c>
      <c r="D4384">
        <v>0.78</v>
      </c>
      <c r="E4384" t="s">
        <v>288</v>
      </c>
      <c r="F4384" t="s">
        <v>754</v>
      </c>
      <c r="H4384" t="s">
        <v>32</v>
      </c>
      <c r="I4384" s="28" t="s">
        <v>28</v>
      </c>
    </row>
    <row r="4385" spans="1:9" x14ac:dyDescent="0.3">
      <c r="A4385" s="26">
        <v>45345</v>
      </c>
      <c r="B4385" t="s">
        <v>884</v>
      </c>
      <c r="C4385" t="s">
        <v>753</v>
      </c>
      <c r="D4385">
        <v>1</v>
      </c>
      <c r="E4385" t="s">
        <v>562</v>
      </c>
      <c r="F4385" t="s">
        <v>754</v>
      </c>
      <c r="G4385" t="s">
        <v>3816</v>
      </c>
      <c r="H4385" t="s">
        <v>32</v>
      </c>
      <c r="I4385" s="28" t="s">
        <v>28</v>
      </c>
    </row>
    <row r="4386" spans="1:9" x14ac:dyDescent="0.3">
      <c r="A4386" s="26">
        <v>45345</v>
      </c>
      <c r="B4386" t="s">
        <v>884</v>
      </c>
      <c r="C4386" t="s">
        <v>753</v>
      </c>
      <c r="D4386">
        <v>1.2</v>
      </c>
      <c r="E4386" t="s">
        <v>375</v>
      </c>
      <c r="F4386" t="s">
        <v>754</v>
      </c>
      <c r="H4386" t="s">
        <v>32</v>
      </c>
      <c r="I4386" s="28" t="s">
        <v>28</v>
      </c>
    </row>
    <row r="4387" spans="1:9" x14ac:dyDescent="0.3">
      <c r="A4387" s="26">
        <v>45345</v>
      </c>
      <c r="B4387" t="s">
        <v>884</v>
      </c>
      <c r="C4387" t="s">
        <v>753</v>
      </c>
      <c r="D4387">
        <v>1.23</v>
      </c>
      <c r="E4387" t="s">
        <v>375</v>
      </c>
      <c r="F4387" t="s">
        <v>754</v>
      </c>
      <c r="G4387" t="s">
        <v>3817</v>
      </c>
      <c r="H4387" t="s">
        <v>32</v>
      </c>
      <c r="I4387" s="28" t="s">
        <v>28</v>
      </c>
    </row>
    <row r="4388" spans="1:9" x14ac:dyDescent="0.3">
      <c r="A4388" s="26">
        <v>45345</v>
      </c>
      <c r="B4388" t="s">
        <v>884</v>
      </c>
      <c r="C4388" t="s">
        <v>753</v>
      </c>
      <c r="D4388">
        <v>1.63</v>
      </c>
      <c r="E4388" t="s">
        <v>562</v>
      </c>
      <c r="F4388" t="s">
        <v>754</v>
      </c>
      <c r="H4388" t="s">
        <v>32</v>
      </c>
      <c r="I4388" s="28" t="s">
        <v>28</v>
      </c>
    </row>
    <row r="4389" spans="1:9" x14ac:dyDescent="0.3">
      <c r="A4389" s="26">
        <v>45345</v>
      </c>
      <c r="B4389" t="s">
        <v>891</v>
      </c>
      <c r="C4389" t="s">
        <v>3169</v>
      </c>
      <c r="D4389">
        <v>8</v>
      </c>
      <c r="E4389" t="s">
        <v>7</v>
      </c>
      <c r="F4389" t="s">
        <v>772</v>
      </c>
      <c r="G4389" t="s">
        <v>3170</v>
      </c>
      <c r="H4389" t="s">
        <v>32</v>
      </c>
      <c r="I4389" s="28" t="s">
        <v>28</v>
      </c>
    </row>
    <row r="4390" spans="1:9" x14ac:dyDescent="0.3">
      <c r="A4390" s="26">
        <v>45345</v>
      </c>
      <c r="B4390" t="s">
        <v>34</v>
      </c>
      <c r="C4390" t="s">
        <v>802</v>
      </c>
      <c r="D4390">
        <v>8</v>
      </c>
      <c r="E4390" t="s">
        <v>7</v>
      </c>
      <c r="F4390" t="s">
        <v>772</v>
      </c>
      <c r="H4390" t="s">
        <v>32</v>
      </c>
      <c r="I4390" s="28" t="s">
        <v>28</v>
      </c>
    </row>
    <row r="4391" spans="1:9" x14ac:dyDescent="0.3">
      <c r="A4391" s="26">
        <v>45345</v>
      </c>
      <c r="B4391" t="s">
        <v>893</v>
      </c>
      <c r="C4391" t="s">
        <v>802</v>
      </c>
      <c r="D4391">
        <v>8</v>
      </c>
      <c r="E4391" t="s">
        <v>7</v>
      </c>
      <c r="F4391" t="s">
        <v>772</v>
      </c>
      <c r="G4391" t="s">
        <v>3818</v>
      </c>
      <c r="H4391" t="s">
        <v>32</v>
      </c>
      <c r="I4391" s="28" t="s">
        <v>28</v>
      </c>
    </row>
    <row r="4392" spans="1:9" x14ac:dyDescent="0.3">
      <c r="A4392" s="26">
        <v>45345</v>
      </c>
      <c r="B4392" t="s">
        <v>895</v>
      </c>
      <c r="C4392" t="s">
        <v>753</v>
      </c>
      <c r="D4392">
        <v>0.08</v>
      </c>
      <c r="E4392" t="s">
        <v>790</v>
      </c>
      <c r="F4392" t="s">
        <v>754</v>
      </c>
      <c r="G4392" t="s">
        <v>3819</v>
      </c>
      <c r="H4392" t="s">
        <v>32</v>
      </c>
      <c r="I4392" s="28" t="s">
        <v>28</v>
      </c>
    </row>
    <row r="4393" spans="1:9" x14ac:dyDescent="0.3">
      <c r="A4393" s="26">
        <v>45345</v>
      </c>
      <c r="B4393" t="s">
        <v>895</v>
      </c>
      <c r="C4393" t="s">
        <v>753</v>
      </c>
      <c r="D4393">
        <v>0.08</v>
      </c>
      <c r="E4393" t="s">
        <v>985</v>
      </c>
      <c r="F4393" t="s">
        <v>754</v>
      </c>
      <c r="G4393" t="s">
        <v>3820</v>
      </c>
      <c r="H4393" t="s">
        <v>32</v>
      </c>
      <c r="I4393" s="28" t="s">
        <v>28</v>
      </c>
    </row>
    <row r="4394" spans="1:9" x14ac:dyDescent="0.3">
      <c r="A4394" s="26">
        <v>45345</v>
      </c>
      <c r="B4394" t="s">
        <v>895</v>
      </c>
      <c r="C4394" t="s">
        <v>753</v>
      </c>
      <c r="D4394">
        <v>0.43</v>
      </c>
      <c r="E4394" t="s">
        <v>898</v>
      </c>
      <c r="F4394" t="s">
        <v>754</v>
      </c>
      <c r="G4394" t="s">
        <v>3821</v>
      </c>
      <c r="H4394" t="s">
        <v>32</v>
      </c>
      <c r="I4394" s="28" t="s">
        <v>28</v>
      </c>
    </row>
    <row r="4395" spans="1:9" x14ac:dyDescent="0.3">
      <c r="A4395" s="26">
        <v>45345</v>
      </c>
      <c r="B4395" t="s">
        <v>895</v>
      </c>
      <c r="C4395" t="s">
        <v>753</v>
      </c>
      <c r="D4395">
        <v>0.47</v>
      </c>
      <c r="E4395" t="s">
        <v>910</v>
      </c>
      <c r="F4395" t="s">
        <v>754</v>
      </c>
      <c r="G4395" t="s">
        <v>3822</v>
      </c>
      <c r="H4395" t="s">
        <v>32</v>
      </c>
      <c r="I4395" s="28" t="s">
        <v>28</v>
      </c>
    </row>
    <row r="4396" spans="1:9" x14ac:dyDescent="0.3">
      <c r="A4396" s="26">
        <v>45345</v>
      </c>
      <c r="B4396" t="s">
        <v>895</v>
      </c>
      <c r="C4396" t="s">
        <v>753</v>
      </c>
      <c r="D4396">
        <v>0.53</v>
      </c>
      <c r="E4396" t="s">
        <v>2792</v>
      </c>
      <c r="F4396" t="s">
        <v>754</v>
      </c>
      <c r="G4396" t="s">
        <v>3823</v>
      </c>
      <c r="H4396" t="s">
        <v>32</v>
      </c>
      <c r="I4396" s="28" t="s">
        <v>28</v>
      </c>
    </row>
    <row r="4397" spans="1:9" x14ac:dyDescent="0.3">
      <c r="A4397" s="26">
        <v>45345</v>
      </c>
      <c r="B4397" t="s">
        <v>895</v>
      </c>
      <c r="C4397" t="s">
        <v>753</v>
      </c>
      <c r="D4397">
        <v>2.65</v>
      </c>
      <c r="E4397" t="s">
        <v>898</v>
      </c>
      <c r="F4397" t="s">
        <v>754</v>
      </c>
      <c r="G4397" t="s">
        <v>3824</v>
      </c>
      <c r="H4397" t="s">
        <v>32</v>
      </c>
      <c r="I4397" s="28" t="s">
        <v>28</v>
      </c>
    </row>
    <row r="4398" spans="1:9" x14ac:dyDescent="0.3">
      <c r="A4398" s="26">
        <v>45345</v>
      </c>
      <c r="B4398" t="s">
        <v>895</v>
      </c>
      <c r="C4398" t="s">
        <v>909</v>
      </c>
      <c r="D4398">
        <v>0.05</v>
      </c>
      <c r="E4398" t="s">
        <v>815</v>
      </c>
      <c r="F4398" t="s">
        <v>754</v>
      </c>
      <c r="G4398" t="s">
        <v>3825</v>
      </c>
      <c r="H4398" t="s">
        <v>32</v>
      </c>
      <c r="I4398" s="28" t="s">
        <v>28</v>
      </c>
    </row>
    <row r="4399" spans="1:9" x14ac:dyDescent="0.3">
      <c r="A4399" s="26">
        <v>45345</v>
      </c>
      <c r="B4399" t="s">
        <v>895</v>
      </c>
      <c r="C4399" t="s">
        <v>909</v>
      </c>
      <c r="D4399">
        <v>0.12</v>
      </c>
      <c r="E4399" t="s">
        <v>898</v>
      </c>
      <c r="F4399" t="s">
        <v>754</v>
      </c>
      <c r="G4399" t="s">
        <v>3826</v>
      </c>
      <c r="H4399" t="s">
        <v>32</v>
      </c>
      <c r="I4399" s="28" t="s">
        <v>28</v>
      </c>
    </row>
    <row r="4400" spans="1:9" x14ac:dyDescent="0.3">
      <c r="A4400" s="26">
        <v>45345</v>
      </c>
      <c r="B4400" t="s">
        <v>895</v>
      </c>
      <c r="C4400" t="s">
        <v>909</v>
      </c>
      <c r="D4400">
        <v>0.15</v>
      </c>
      <c r="E4400" t="s">
        <v>910</v>
      </c>
      <c r="F4400" t="s">
        <v>754</v>
      </c>
      <c r="G4400" t="s">
        <v>3827</v>
      </c>
      <c r="H4400" t="s">
        <v>32</v>
      </c>
      <c r="I4400" s="28" t="s">
        <v>28</v>
      </c>
    </row>
    <row r="4401" spans="1:9" x14ac:dyDescent="0.3">
      <c r="A4401" s="26">
        <v>45345</v>
      </c>
      <c r="B4401" t="s">
        <v>895</v>
      </c>
      <c r="C4401" t="s">
        <v>909</v>
      </c>
      <c r="D4401">
        <v>0.98</v>
      </c>
      <c r="E4401" t="s">
        <v>898</v>
      </c>
      <c r="F4401" t="s">
        <v>754</v>
      </c>
      <c r="G4401" t="s">
        <v>3828</v>
      </c>
      <c r="H4401" t="s">
        <v>32</v>
      </c>
      <c r="I4401" s="28" t="s">
        <v>28</v>
      </c>
    </row>
    <row r="4402" spans="1:9" x14ac:dyDescent="0.3">
      <c r="A4402" s="26">
        <v>45345</v>
      </c>
      <c r="B4402" t="s">
        <v>895</v>
      </c>
      <c r="C4402" t="s">
        <v>771</v>
      </c>
      <c r="D4402">
        <v>0.18</v>
      </c>
      <c r="E4402" t="s">
        <v>7</v>
      </c>
      <c r="F4402" t="s">
        <v>772</v>
      </c>
      <c r="G4402" t="s">
        <v>3702</v>
      </c>
      <c r="H4402" t="s">
        <v>32</v>
      </c>
      <c r="I4402" s="28" t="s">
        <v>28</v>
      </c>
    </row>
    <row r="4403" spans="1:9" x14ac:dyDescent="0.3">
      <c r="A4403" s="26">
        <v>45345</v>
      </c>
      <c r="B4403" t="s">
        <v>895</v>
      </c>
      <c r="C4403" t="s">
        <v>771</v>
      </c>
      <c r="D4403">
        <v>0.2</v>
      </c>
      <c r="E4403" t="s">
        <v>7</v>
      </c>
      <c r="F4403" t="s">
        <v>772</v>
      </c>
      <c r="G4403" t="s">
        <v>3829</v>
      </c>
      <c r="H4403" t="s">
        <v>32</v>
      </c>
      <c r="I4403" s="28" t="s">
        <v>28</v>
      </c>
    </row>
    <row r="4404" spans="1:9" x14ac:dyDescent="0.3">
      <c r="A4404" s="26">
        <v>45345</v>
      </c>
      <c r="B4404" t="s">
        <v>895</v>
      </c>
      <c r="C4404" t="s">
        <v>771</v>
      </c>
      <c r="D4404">
        <v>0.2</v>
      </c>
      <c r="E4404" t="s">
        <v>7</v>
      </c>
      <c r="F4404" t="s">
        <v>772</v>
      </c>
      <c r="G4404" t="s">
        <v>3830</v>
      </c>
      <c r="H4404" t="s">
        <v>32</v>
      </c>
      <c r="I4404" s="28" t="s">
        <v>28</v>
      </c>
    </row>
    <row r="4405" spans="1:9" x14ac:dyDescent="0.3">
      <c r="A4405" s="26">
        <v>45345</v>
      </c>
      <c r="B4405" t="s">
        <v>895</v>
      </c>
      <c r="C4405" t="s">
        <v>771</v>
      </c>
      <c r="D4405">
        <v>0.62</v>
      </c>
      <c r="E4405" t="s">
        <v>7</v>
      </c>
      <c r="F4405" t="s">
        <v>772</v>
      </c>
      <c r="G4405" t="s">
        <v>3831</v>
      </c>
      <c r="H4405" t="s">
        <v>32</v>
      </c>
      <c r="I4405" s="28" t="s">
        <v>28</v>
      </c>
    </row>
    <row r="4406" spans="1:9" x14ac:dyDescent="0.3">
      <c r="A4406" s="26">
        <v>45345</v>
      </c>
      <c r="B4406" t="s">
        <v>895</v>
      </c>
      <c r="C4406" t="s">
        <v>771</v>
      </c>
      <c r="D4406">
        <v>0.78</v>
      </c>
      <c r="E4406" t="s">
        <v>7</v>
      </c>
      <c r="F4406" t="s">
        <v>772</v>
      </c>
      <c r="G4406" t="s">
        <v>3832</v>
      </c>
      <c r="H4406" t="s">
        <v>32</v>
      </c>
      <c r="I4406" s="28" t="s">
        <v>28</v>
      </c>
    </row>
    <row r="4407" spans="1:9" x14ac:dyDescent="0.3">
      <c r="A4407" s="26">
        <v>45345</v>
      </c>
      <c r="B4407" t="s">
        <v>895</v>
      </c>
      <c r="C4407" t="s">
        <v>771</v>
      </c>
      <c r="D4407">
        <v>0.8</v>
      </c>
      <c r="E4407" t="s">
        <v>7</v>
      </c>
      <c r="F4407" t="s">
        <v>772</v>
      </c>
      <c r="G4407" t="s">
        <v>3833</v>
      </c>
      <c r="H4407" t="s">
        <v>32</v>
      </c>
      <c r="I4407" s="28" t="s">
        <v>28</v>
      </c>
    </row>
    <row r="4408" spans="1:9" x14ac:dyDescent="0.3">
      <c r="A4408" s="26">
        <v>45345</v>
      </c>
      <c r="B4408" t="s">
        <v>895</v>
      </c>
      <c r="C4408" t="s">
        <v>874</v>
      </c>
      <c r="D4408">
        <v>0.52</v>
      </c>
      <c r="E4408" t="s">
        <v>7</v>
      </c>
      <c r="F4408" t="s">
        <v>772</v>
      </c>
      <c r="G4408" t="s">
        <v>3834</v>
      </c>
      <c r="H4408" t="s">
        <v>32</v>
      </c>
      <c r="I4408" s="28" t="s">
        <v>28</v>
      </c>
    </row>
    <row r="4409" spans="1:9" x14ac:dyDescent="0.3">
      <c r="A4409" s="26">
        <v>45345</v>
      </c>
      <c r="B4409" t="s">
        <v>929</v>
      </c>
      <c r="C4409" t="s">
        <v>789</v>
      </c>
      <c r="D4409">
        <v>0.08</v>
      </c>
      <c r="E4409" t="s">
        <v>234</v>
      </c>
      <c r="F4409" t="s">
        <v>754</v>
      </c>
      <c r="G4409" t="s">
        <v>1398</v>
      </c>
      <c r="H4409" t="s">
        <v>32</v>
      </c>
      <c r="I4409" s="28" t="s">
        <v>28</v>
      </c>
    </row>
    <row r="4410" spans="1:9" x14ac:dyDescent="0.3">
      <c r="A4410" s="26">
        <v>45345</v>
      </c>
      <c r="B4410" t="s">
        <v>929</v>
      </c>
      <c r="C4410" t="s">
        <v>789</v>
      </c>
      <c r="D4410">
        <v>0.15</v>
      </c>
      <c r="E4410" t="s">
        <v>226</v>
      </c>
      <c r="F4410" t="s">
        <v>754</v>
      </c>
      <c r="G4410" t="s">
        <v>3835</v>
      </c>
      <c r="H4410" t="s">
        <v>32</v>
      </c>
      <c r="I4410" s="28" t="s">
        <v>28</v>
      </c>
    </row>
    <row r="4411" spans="1:9" x14ac:dyDescent="0.3">
      <c r="A4411" s="26">
        <v>45345</v>
      </c>
      <c r="B4411" t="s">
        <v>929</v>
      </c>
      <c r="C4411" t="s">
        <v>789</v>
      </c>
      <c r="D4411">
        <v>0.15</v>
      </c>
      <c r="E4411" t="s">
        <v>602</v>
      </c>
      <c r="F4411" t="s">
        <v>772</v>
      </c>
      <c r="G4411" t="s">
        <v>1398</v>
      </c>
      <c r="H4411" t="s">
        <v>32</v>
      </c>
      <c r="I4411" s="28" t="s">
        <v>28</v>
      </c>
    </row>
    <row r="4412" spans="1:9" x14ac:dyDescent="0.3">
      <c r="A4412" s="26">
        <v>45345</v>
      </c>
      <c r="B4412" t="s">
        <v>929</v>
      </c>
      <c r="C4412" t="s">
        <v>789</v>
      </c>
      <c r="D4412">
        <v>0.17</v>
      </c>
      <c r="E4412" t="s">
        <v>606</v>
      </c>
      <c r="F4412" t="s">
        <v>772</v>
      </c>
      <c r="G4412" t="s">
        <v>3836</v>
      </c>
      <c r="H4412" t="s">
        <v>32</v>
      </c>
      <c r="I4412" s="28" t="s">
        <v>28</v>
      </c>
    </row>
    <row r="4413" spans="1:9" x14ac:dyDescent="0.3">
      <c r="A4413" s="26">
        <v>45345</v>
      </c>
      <c r="B4413" t="s">
        <v>929</v>
      </c>
      <c r="C4413" t="s">
        <v>789</v>
      </c>
      <c r="D4413">
        <v>0.22</v>
      </c>
      <c r="E4413" t="s">
        <v>226</v>
      </c>
      <c r="F4413" t="s">
        <v>754</v>
      </c>
      <c r="G4413" t="s">
        <v>3837</v>
      </c>
      <c r="H4413" t="s">
        <v>32</v>
      </c>
      <c r="I4413" s="28" t="s">
        <v>28</v>
      </c>
    </row>
    <row r="4414" spans="1:9" x14ac:dyDescent="0.3">
      <c r="A4414" s="26">
        <v>45345</v>
      </c>
      <c r="B4414" t="s">
        <v>929</v>
      </c>
      <c r="C4414" t="s">
        <v>789</v>
      </c>
      <c r="D4414">
        <v>0.23</v>
      </c>
      <c r="E4414" t="s">
        <v>79</v>
      </c>
      <c r="F4414" t="s">
        <v>754</v>
      </c>
      <c r="G4414" t="s">
        <v>3838</v>
      </c>
      <c r="H4414" t="s">
        <v>32</v>
      </c>
      <c r="I4414" s="28" t="s">
        <v>28</v>
      </c>
    </row>
    <row r="4415" spans="1:9" x14ac:dyDescent="0.3">
      <c r="A4415" s="26">
        <v>45345</v>
      </c>
      <c r="B4415" t="s">
        <v>929</v>
      </c>
      <c r="C4415" t="s">
        <v>771</v>
      </c>
      <c r="D4415">
        <v>0.25</v>
      </c>
      <c r="E4415" t="s">
        <v>7</v>
      </c>
      <c r="F4415" t="s">
        <v>772</v>
      </c>
      <c r="G4415" t="s">
        <v>2053</v>
      </c>
      <c r="H4415" t="s">
        <v>32</v>
      </c>
      <c r="I4415" s="28" t="s">
        <v>28</v>
      </c>
    </row>
    <row r="4416" spans="1:9" x14ac:dyDescent="0.3">
      <c r="A4416" s="26">
        <v>45345</v>
      </c>
      <c r="B4416" t="s">
        <v>929</v>
      </c>
      <c r="C4416" t="s">
        <v>771</v>
      </c>
      <c r="D4416">
        <v>0.25</v>
      </c>
      <c r="E4416" t="s">
        <v>7</v>
      </c>
      <c r="F4416" t="s">
        <v>772</v>
      </c>
      <c r="G4416" t="s">
        <v>2054</v>
      </c>
      <c r="H4416" t="s">
        <v>32</v>
      </c>
      <c r="I4416" s="28" t="s">
        <v>28</v>
      </c>
    </row>
    <row r="4417" spans="1:9" x14ac:dyDescent="0.3">
      <c r="A4417" s="26">
        <v>45345</v>
      </c>
      <c r="B4417" t="s">
        <v>929</v>
      </c>
      <c r="C4417" t="s">
        <v>771</v>
      </c>
      <c r="D4417">
        <v>0.7</v>
      </c>
      <c r="E4417" t="s">
        <v>7</v>
      </c>
      <c r="F4417" t="s">
        <v>772</v>
      </c>
      <c r="G4417" t="s">
        <v>3839</v>
      </c>
      <c r="H4417" t="s">
        <v>32</v>
      </c>
      <c r="I4417" s="28" t="s">
        <v>28</v>
      </c>
    </row>
    <row r="4418" spans="1:9" x14ac:dyDescent="0.3">
      <c r="A4418" s="26">
        <v>45345</v>
      </c>
      <c r="B4418" t="s">
        <v>929</v>
      </c>
      <c r="C4418" t="s">
        <v>916</v>
      </c>
      <c r="D4418">
        <v>0.22</v>
      </c>
      <c r="E4418" t="s">
        <v>2797</v>
      </c>
      <c r="F4418" t="s">
        <v>754</v>
      </c>
      <c r="G4418" t="s">
        <v>3840</v>
      </c>
      <c r="H4418" t="s">
        <v>32</v>
      </c>
      <c r="I4418" s="28" t="s">
        <v>28</v>
      </c>
    </row>
    <row r="4419" spans="1:9" x14ac:dyDescent="0.3">
      <c r="A4419" s="26">
        <v>45345</v>
      </c>
      <c r="B4419" t="s">
        <v>929</v>
      </c>
      <c r="C4419" t="s">
        <v>916</v>
      </c>
      <c r="D4419">
        <v>0.27</v>
      </c>
      <c r="E4419" t="s">
        <v>2797</v>
      </c>
      <c r="F4419" t="s">
        <v>754</v>
      </c>
      <c r="G4419" t="s">
        <v>3841</v>
      </c>
      <c r="H4419" t="s">
        <v>32</v>
      </c>
      <c r="I4419" s="28" t="s">
        <v>28</v>
      </c>
    </row>
    <row r="4420" spans="1:9" x14ac:dyDescent="0.3">
      <c r="A4420" s="26">
        <v>45345</v>
      </c>
      <c r="B4420" t="s">
        <v>929</v>
      </c>
      <c r="C4420" t="s">
        <v>916</v>
      </c>
      <c r="D4420">
        <v>0.4</v>
      </c>
      <c r="E4420" t="s">
        <v>2797</v>
      </c>
      <c r="F4420" t="s">
        <v>754</v>
      </c>
      <c r="G4420" t="s">
        <v>3842</v>
      </c>
      <c r="H4420" t="s">
        <v>32</v>
      </c>
      <c r="I4420" s="28" t="s">
        <v>28</v>
      </c>
    </row>
    <row r="4421" spans="1:9" x14ac:dyDescent="0.3">
      <c r="A4421" s="26">
        <v>45345</v>
      </c>
      <c r="B4421" t="s">
        <v>929</v>
      </c>
      <c r="C4421" t="s">
        <v>916</v>
      </c>
      <c r="D4421">
        <v>0.47</v>
      </c>
      <c r="E4421" t="s">
        <v>234</v>
      </c>
      <c r="F4421" t="s">
        <v>754</v>
      </c>
      <c r="G4421" t="s">
        <v>2493</v>
      </c>
      <c r="H4421" t="s">
        <v>32</v>
      </c>
      <c r="I4421" s="28" t="s">
        <v>28</v>
      </c>
    </row>
    <row r="4422" spans="1:9" x14ac:dyDescent="0.3">
      <c r="A4422" s="26">
        <v>45345</v>
      </c>
      <c r="B4422" t="s">
        <v>929</v>
      </c>
      <c r="C4422" t="s">
        <v>916</v>
      </c>
      <c r="D4422">
        <v>0.48</v>
      </c>
      <c r="E4422" t="s">
        <v>624</v>
      </c>
      <c r="F4422" t="s">
        <v>754</v>
      </c>
      <c r="G4422" t="s">
        <v>2493</v>
      </c>
      <c r="H4422" t="s">
        <v>32</v>
      </c>
      <c r="I4422" s="28" t="s">
        <v>28</v>
      </c>
    </row>
    <row r="4423" spans="1:9" x14ac:dyDescent="0.3">
      <c r="A4423" s="26">
        <v>45345</v>
      </c>
      <c r="B4423" t="s">
        <v>929</v>
      </c>
      <c r="C4423" t="s">
        <v>916</v>
      </c>
      <c r="D4423">
        <v>0.56999999999999995</v>
      </c>
      <c r="E4423" t="s">
        <v>2797</v>
      </c>
      <c r="F4423" t="s">
        <v>754</v>
      </c>
      <c r="G4423" t="s">
        <v>3843</v>
      </c>
      <c r="H4423" t="s">
        <v>32</v>
      </c>
      <c r="I4423" s="28" t="s">
        <v>28</v>
      </c>
    </row>
    <row r="4424" spans="1:9" x14ac:dyDescent="0.3">
      <c r="A4424" s="26">
        <v>45345</v>
      </c>
      <c r="B4424" t="s">
        <v>929</v>
      </c>
      <c r="C4424" t="s">
        <v>916</v>
      </c>
      <c r="D4424">
        <v>0.6</v>
      </c>
      <c r="E4424" t="s">
        <v>2797</v>
      </c>
      <c r="F4424" t="s">
        <v>754</v>
      </c>
      <c r="G4424" t="s">
        <v>3844</v>
      </c>
      <c r="H4424" t="s">
        <v>32</v>
      </c>
      <c r="I4424" s="28" t="s">
        <v>28</v>
      </c>
    </row>
    <row r="4425" spans="1:9" x14ac:dyDescent="0.3">
      <c r="A4425" s="26">
        <v>45345</v>
      </c>
      <c r="B4425" t="s">
        <v>929</v>
      </c>
      <c r="C4425" t="s">
        <v>916</v>
      </c>
      <c r="D4425">
        <v>0.85</v>
      </c>
      <c r="E4425" t="s">
        <v>234</v>
      </c>
      <c r="F4425" t="s">
        <v>754</v>
      </c>
      <c r="G4425" t="s">
        <v>3845</v>
      </c>
      <c r="H4425" t="s">
        <v>32</v>
      </c>
      <c r="I4425" s="28" t="s">
        <v>28</v>
      </c>
    </row>
    <row r="4426" spans="1:9" x14ac:dyDescent="0.3">
      <c r="A4426" s="26">
        <v>45345</v>
      </c>
      <c r="B4426" t="s">
        <v>929</v>
      </c>
      <c r="C4426" t="s">
        <v>916</v>
      </c>
      <c r="D4426">
        <v>1.43</v>
      </c>
      <c r="E4426" t="s">
        <v>644</v>
      </c>
      <c r="F4426" t="s">
        <v>754</v>
      </c>
      <c r="G4426" t="s">
        <v>3846</v>
      </c>
      <c r="H4426" t="s">
        <v>32</v>
      </c>
      <c r="I4426" s="28" t="s">
        <v>28</v>
      </c>
    </row>
    <row r="4427" spans="1:9" x14ac:dyDescent="0.3">
      <c r="A4427" s="26">
        <v>45345</v>
      </c>
      <c r="B4427" t="s">
        <v>929</v>
      </c>
      <c r="C4427" t="s">
        <v>834</v>
      </c>
      <c r="D4427">
        <v>0.48</v>
      </c>
      <c r="E4427" t="s">
        <v>7</v>
      </c>
      <c r="F4427" t="s">
        <v>772</v>
      </c>
      <c r="G4427" t="s">
        <v>3847</v>
      </c>
      <c r="H4427" t="s">
        <v>32</v>
      </c>
      <c r="I4427" s="28" t="s">
        <v>28</v>
      </c>
    </row>
    <row r="4428" spans="1:9" x14ac:dyDescent="0.3">
      <c r="A4428" s="26">
        <v>45345</v>
      </c>
      <c r="B4428" t="s">
        <v>929</v>
      </c>
      <c r="C4428" t="s">
        <v>874</v>
      </c>
      <c r="D4428">
        <v>0.27</v>
      </c>
      <c r="E4428" t="s">
        <v>7</v>
      </c>
      <c r="F4428" t="s">
        <v>772</v>
      </c>
      <c r="G4428" t="s">
        <v>3848</v>
      </c>
      <c r="H4428" t="s">
        <v>32</v>
      </c>
      <c r="I4428" s="28" t="s">
        <v>28</v>
      </c>
    </row>
    <row r="4429" spans="1:9" x14ac:dyDescent="0.3">
      <c r="A4429" s="26">
        <v>45345</v>
      </c>
      <c r="B4429" t="s">
        <v>961</v>
      </c>
      <c r="C4429" t="s">
        <v>753</v>
      </c>
      <c r="D4429">
        <v>8.0299999999999994</v>
      </c>
      <c r="E4429" t="s">
        <v>790</v>
      </c>
      <c r="F4429" t="s">
        <v>754</v>
      </c>
      <c r="H4429" t="s">
        <v>32</v>
      </c>
      <c r="I4429" s="28" t="s">
        <v>28</v>
      </c>
    </row>
    <row r="4430" spans="1:9" x14ac:dyDescent="0.3">
      <c r="A4430" s="26">
        <v>45345</v>
      </c>
      <c r="B4430" t="s">
        <v>961</v>
      </c>
      <c r="C4430" t="s">
        <v>776</v>
      </c>
      <c r="D4430">
        <v>0.38</v>
      </c>
      <c r="E4430" t="s">
        <v>234</v>
      </c>
      <c r="F4430" t="s">
        <v>754</v>
      </c>
      <c r="G4430" t="s">
        <v>3849</v>
      </c>
      <c r="H4430" t="s">
        <v>32</v>
      </c>
      <c r="I4430" s="28" t="s">
        <v>28</v>
      </c>
    </row>
    <row r="4431" spans="1:9" x14ac:dyDescent="0.3">
      <c r="A4431" s="26">
        <v>45345</v>
      </c>
      <c r="B4431" t="s">
        <v>962</v>
      </c>
      <c r="C4431" t="s">
        <v>753</v>
      </c>
      <c r="D4431">
        <v>0.5</v>
      </c>
      <c r="E4431" t="s">
        <v>717</v>
      </c>
      <c r="F4431" t="s">
        <v>754</v>
      </c>
      <c r="G4431" t="s">
        <v>3850</v>
      </c>
      <c r="H4431" t="s">
        <v>32</v>
      </c>
      <c r="I4431" s="28" t="s">
        <v>28</v>
      </c>
    </row>
    <row r="4432" spans="1:9" x14ac:dyDescent="0.3">
      <c r="A4432" s="26">
        <v>45345</v>
      </c>
      <c r="B4432" t="s">
        <v>966</v>
      </c>
      <c r="C4432" t="s">
        <v>789</v>
      </c>
      <c r="D4432">
        <v>1.25</v>
      </c>
      <c r="E4432" t="s">
        <v>790</v>
      </c>
      <c r="F4432" t="s">
        <v>772</v>
      </c>
      <c r="H4432" t="s">
        <v>32</v>
      </c>
      <c r="I4432" s="28" t="s">
        <v>28</v>
      </c>
    </row>
    <row r="4433" spans="1:9" x14ac:dyDescent="0.3">
      <c r="A4433" s="26">
        <v>45345</v>
      </c>
      <c r="B4433" t="s">
        <v>966</v>
      </c>
      <c r="C4433" t="s">
        <v>967</v>
      </c>
      <c r="D4433">
        <v>1</v>
      </c>
      <c r="E4433" t="s">
        <v>7</v>
      </c>
      <c r="F4433" t="s">
        <v>772</v>
      </c>
      <c r="H4433" t="s">
        <v>32</v>
      </c>
      <c r="I4433" s="28" t="s">
        <v>28</v>
      </c>
    </row>
    <row r="4434" spans="1:9" x14ac:dyDescent="0.3">
      <c r="A4434" s="26">
        <v>45345</v>
      </c>
      <c r="B4434" t="s">
        <v>966</v>
      </c>
      <c r="C4434" t="s">
        <v>967</v>
      </c>
      <c r="D4434">
        <v>4.8</v>
      </c>
      <c r="E4434" t="s">
        <v>790</v>
      </c>
      <c r="F4434" t="s">
        <v>754</v>
      </c>
      <c r="H4434" t="s">
        <v>32</v>
      </c>
      <c r="I4434" s="28" t="s">
        <v>28</v>
      </c>
    </row>
    <row r="4435" spans="1:9" x14ac:dyDescent="0.3">
      <c r="A4435" s="26">
        <v>45345</v>
      </c>
      <c r="B4435" t="s">
        <v>966</v>
      </c>
      <c r="C4435" t="s">
        <v>771</v>
      </c>
      <c r="D4435">
        <v>0.5</v>
      </c>
      <c r="E4435" t="s">
        <v>7</v>
      </c>
      <c r="F4435" t="s">
        <v>772</v>
      </c>
      <c r="G4435" t="s">
        <v>781</v>
      </c>
      <c r="H4435" t="s">
        <v>32</v>
      </c>
      <c r="I4435" s="28" t="s">
        <v>28</v>
      </c>
    </row>
    <row r="4436" spans="1:9" x14ac:dyDescent="0.3">
      <c r="A4436" s="26">
        <v>45345</v>
      </c>
      <c r="B4436" t="s">
        <v>966</v>
      </c>
      <c r="C4436" t="s">
        <v>874</v>
      </c>
      <c r="D4436">
        <v>0.45</v>
      </c>
      <c r="E4436" t="s">
        <v>7</v>
      </c>
      <c r="F4436" t="s">
        <v>772</v>
      </c>
      <c r="H4436" t="s">
        <v>32</v>
      </c>
      <c r="I4436" s="28" t="s">
        <v>28</v>
      </c>
    </row>
    <row r="4437" spans="1:9" x14ac:dyDescent="0.3">
      <c r="A4437" s="26">
        <v>45345</v>
      </c>
      <c r="B4437" t="s">
        <v>969</v>
      </c>
      <c r="C4437" t="s">
        <v>753</v>
      </c>
      <c r="D4437">
        <v>0.35</v>
      </c>
      <c r="E4437" t="s">
        <v>790</v>
      </c>
      <c r="F4437" t="s">
        <v>754</v>
      </c>
      <c r="G4437" t="s">
        <v>768</v>
      </c>
      <c r="H4437" t="s">
        <v>32</v>
      </c>
      <c r="I4437" s="28" t="s">
        <v>28</v>
      </c>
    </row>
    <row r="4438" spans="1:9" x14ac:dyDescent="0.3">
      <c r="A4438" s="26">
        <v>45345</v>
      </c>
      <c r="B4438" t="s">
        <v>969</v>
      </c>
      <c r="C4438" t="s">
        <v>753</v>
      </c>
      <c r="D4438">
        <v>2.1</v>
      </c>
      <c r="E4438" t="s">
        <v>790</v>
      </c>
      <c r="F4438" t="s">
        <v>754</v>
      </c>
      <c r="G4438" t="s">
        <v>3851</v>
      </c>
      <c r="H4438" t="s">
        <v>32</v>
      </c>
      <c r="I4438" s="28" t="s">
        <v>28</v>
      </c>
    </row>
    <row r="4439" spans="1:9" x14ac:dyDescent="0.3">
      <c r="A4439" s="26">
        <v>45345</v>
      </c>
      <c r="B4439" t="s">
        <v>969</v>
      </c>
      <c r="C4439" t="s">
        <v>789</v>
      </c>
      <c r="D4439">
        <v>1.08</v>
      </c>
      <c r="E4439" t="s">
        <v>790</v>
      </c>
      <c r="F4439" t="s">
        <v>754</v>
      </c>
      <c r="G4439" t="s">
        <v>3852</v>
      </c>
      <c r="H4439" t="s">
        <v>32</v>
      </c>
      <c r="I4439" s="28" t="s">
        <v>28</v>
      </c>
    </row>
    <row r="4440" spans="1:9" x14ac:dyDescent="0.3">
      <c r="A4440" s="26">
        <v>45345</v>
      </c>
      <c r="B4440" t="s">
        <v>969</v>
      </c>
      <c r="C4440" t="s">
        <v>789</v>
      </c>
      <c r="D4440">
        <v>1.42</v>
      </c>
      <c r="E4440" t="s">
        <v>790</v>
      </c>
      <c r="F4440" t="s">
        <v>754</v>
      </c>
      <c r="G4440" t="s">
        <v>3853</v>
      </c>
      <c r="H4440" t="s">
        <v>32</v>
      </c>
      <c r="I4440" s="28" t="s">
        <v>28</v>
      </c>
    </row>
    <row r="4441" spans="1:9" x14ac:dyDescent="0.3">
      <c r="A4441" s="26">
        <v>45345</v>
      </c>
      <c r="B4441" t="s">
        <v>969</v>
      </c>
      <c r="C4441" t="s">
        <v>771</v>
      </c>
      <c r="D4441">
        <v>1.58</v>
      </c>
      <c r="E4441" t="s">
        <v>7</v>
      </c>
      <c r="F4441" t="s">
        <v>772</v>
      </c>
      <c r="G4441" t="s">
        <v>3854</v>
      </c>
      <c r="H4441" t="s">
        <v>32</v>
      </c>
      <c r="I4441" s="28" t="s">
        <v>28</v>
      </c>
    </row>
    <row r="4442" spans="1:9" x14ac:dyDescent="0.3">
      <c r="A4442" s="26">
        <v>45345</v>
      </c>
      <c r="B4442" t="s">
        <v>969</v>
      </c>
      <c r="C4442" t="s">
        <v>771</v>
      </c>
      <c r="D4442">
        <v>1.68</v>
      </c>
      <c r="E4442" t="s">
        <v>7</v>
      </c>
      <c r="F4442" t="s">
        <v>772</v>
      </c>
      <c r="G4442" t="s">
        <v>3855</v>
      </c>
      <c r="H4442" t="s">
        <v>32</v>
      </c>
      <c r="I4442" s="28" t="s">
        <v>28</v>
      </c>
    </row>
    <row r="4443" spans="1:9" x14ac:dyDescent="0.3">
      <c r="A4443" s="26">
        <v>45345</v>
      </c>
      <c r="B4443" t="s">
        <v>977</v>
      </c>
      <c r="C4443" t="s">
        <v>753</v>
      </c>
      <c r="D4443">
        <v>0.08</v>
      </c>
      <c r="E4443" t="s">
        <v>654</v>
      </c>
      <c r="F4443" t="s">
        <v>754</v>
      </c>
      <c r="G4443" t="s">
        <v>765</v>
      </c>
      <c r="H4443" t="s">
        <v>32</v>
      </c>
      <c r="I4443" s="28" t="s">
        <v>28</v>
      </c>
    </row>
    <row r="4444" spans="1:9" x14ac:dyDescent="0.3">
      <c r="A4444" s="26">
        <v>45345</v>
      </c>
      <c r="B4444" t="s">
        <v>977</v>
      </c>
      <c r="C4444" t="s">
        <v>753</v>
      </c>
      <c r="D4444">
        <v>1.27</v>
      </c>
      <c r="E4444" t="s">
        <v>978</v>
      </c>
      <c r="F4444" t="s">
        <v>754</v>
      </c>
      <c r="G4444" t="s">
        <v>3856</v>
      </c>
      <c r="H4444" t="s">
        <v>32</v>
      </c>
      <c r="I4444" s="28" t="s">
        <v>28</v>
      </c>
    </row>
    <row r="4445" spans="1:9" x14ac:dyDescent="0.3">
      <c r="A4445" s="26">
        <v>45345</v>
      </c>
      <c r="B4445" t="s">
        <v>977</v>
      </c>
      <c r="C4445" t="s">
        <v>753</v>
      </c>
      <c r="D4445">
        <v>1.6</v>
      </c>
      <c r="E4445" t="s">
        <v>978</v>
      </c>
      <c r="F4445" t="s">
        <v>754</v>
      </c>
      <c r="G4445" t="s">
        <v>3857</v>
      </c>
      <c r="H4445" t="s">
        <v>32</v>
      </c>
      <c r="I4445" s="28" t="s">
        <v>28</v>
      </c>
    </row>
    <row r="4446" spans="1:9" x14ac:dyDescent="0.3">
      <c r="A4446" s="26">
        <v>45345</v>
      </c>
      <c r="B4446" t="s">
        <v>977</v>
      </c>
      <c r="C4446" t="s">
        <v>753</v>
      </c>
      <c r="D4446">
        <v>4.1500000000000004</v>
      </c>
      <c r="E4446" t="s">
        <v>978</v>
      </c>
      <c r="F4446" t="s">
        <v>754</v>
      </c>
      <c r="G4446" t="s">
        <v>3858</v>
      </c>
      <c r="H4446" t="s">
        <v>32</v>
      </c>
      <c r="I4446" s="28" t="s">
        <v>28</v>
      </c>
    </row>
    <row r="4447" spans="1:9" x14ac:dyDescent="0.3">
      <c r="A4447" s="26">
        <v>45345</v>
      </c>
      <c r="B4447" t="s">
        <v>977</v>
      </c>
      <c r="C4447" t="s">
        <v>771</v>
      </c>
      <c r="D4447">
        <v>0.5</v>
      </c>
      <c r="E4447" t="s">
        <v>7</v>
      </c>
      <c r="F4447" t="s">
        <v>772</v>
      </c>
      <c r="G4447" t="s">
        <v>820</v>
      </c>
      <c r="H4447" t="s">
        <v>32</v>
      </c>
      <c r="I4447" s="28" t="s">
        <v>28</v>
      </c>
    </row>
    <row r="4448" spans="1:9" x14ac:dyDescent="0.3">
      <c r="A4448" s="26">
        <v>45345</v>
      </c>
      <c r="B4448" t="s">
        <v>977</v>
      </c>
      <c r="C4448" t="s">
        <v>874</v>
      </c>
      <c r="D4448">
        <v>0.42</v>
      </c>
      <c r="E4448" t="s">
        <v>7</v>
      </c>
      <c r="F4448" t="s">
        <v>772</v>
      </c>
      <c r="G4448" t="s">
        <v>3859</v>
      </c>
      <c r="H4448" t="s">
        <v>32</v>
      </c>
      <c r="I4448" s="28" t="s">
        <v>28</v>
      </c>
    </row>
    <row r="4449" spans="1:9" x14ac:dyDescent="0.3">
      <c r="A4449" s="26">
        <v>45345</v>
      </c>
      <c r="B4449" t="s">
        <v>981</v>
      </c>
      <c r="C4449" t="s">
        <v>982</v>
      </c>
      <c r="D4449">
        <v>9</v>
      </c>
      <c r="E4449" t="s">
        <v>7</v>
      </c>
      <c r="F4449" t="s">
        <v>772</v>
      </c>
      <c r="G4449" t="s">
        <v>983</v>
      </c>
      <c r="H4449" t="s">
        <v>32</v>
      </c>
      <c r="I4449" s="28" t="s">
        <v>28</v>
      </c>
    </row>
    <row r="4450" spans="1:9" x14ac:dyDescent="0.3">
      <c r="A4450" s="26">
        <v>45345</v>
      </c>
      <c r="B4450" t="s">
        <v>984</v>
      </c>
      <c r="C4450" t="s">
        <v>753</v>
      </c>
      <c r="D4450">
        <v>1.1299999999999999</v>
      </c>
      <c r="E4450" t="s">
        <v>903</v>
      </c>
      <c r="F4450" t="s">
        <v>754</v>
      </c>
      <c r="G4450" t="s">
        <v>3860</v>
      </c>
      <c r="H4450" t="s">
        <v>32</v>
      </c>
      <c r="I4450" s="28" t="s">
        <v>28</v>
      </c>
    </row>
    <row r="4451" spans="1:9" x14ac:dyDescent="0.3">
      <c r="A4451" s="26">
        <v>45345</v>
      </c>
      <c r="B4451" t="s">
        <v>984</v>
      </c>
      <c r="C4451" t="s">
        <v>753</v>
      </c>
      <c r="D4451">
        <v>1.88</v>
      </c>
      <c r="E4451" t="s">
        <v>985</v>
      </c>
      <c r="F4451" t="s">
        <v>754</v>
      </c>
      <c r="G4451" t="s">
        <v>3861</v>
      </c>
      <c r="H4451" t="s">
        <v>32</v>
      </c>
      <c r="I4451" s="28" t="s">
        <v>28</v>
      </c>
    </row>
    <row r="4452" spans="1:9" x14ac:dyDescent="0.3">
      <c r="A4452" s="26">
        <v>45345</v>
      </c>
      <c r="B4452" t="s">
        <v>984</v>
      </c>
      <c r="C4452" t="s">
        <v>753</v>
      </c>
      <c r="D4452">
        <v>1.9</v>
      </c>
      <c r="E4452" t="s">
        <v>602</v>
      </c>
      <c r="F4452" t="s">
        <v>754</v>
      </c>
      <c r="G4452" t="s">
        <v>3862</v>
      </c>
      <c r="H4452" t="s">
        <v>32</v>
      </c>
      <c r="I4452" s="28" t="s">
        <v>28</v>
      </c>
    </row>
    <row r="4453" spans="1:9" x14ac:dyDescent="0.3">
      <c r="A4453" s="26">
        <v>45345</v>
      </c>
      <c r="B4453" t="s">
        <v>984</v>
      </c>
      <c r="C4453" t="s">
        <v>753</v>
      </c>
      <c r="D4453">
        <v>2.15</v>
      </c>
      <c r="E4453" t="s">
        <v>13</v>
      </c>
      <c r="F4453" t="s">
        <v>754</v>
      </c>
      <c r="G4453" t="s">
        <v>3863</v>
      </c>
      <c r="H4453" t="s">
        <v>32</v>
      </c>
      <c r="I4453" s="28" t="s">
        <v>28</v>
      </c>
    </row>
    <row r="4454" spans="1:9" x14ac:dyDescent="0.3">
      <c r="A4454" s="26">
        <v>45345</v>
      </c>
      <c r="B4454" t="s">
        <v>984</v>
      </c>
      <c r="C4454" t="s">
        <v>771</v>
      </c>
      <c r="D4454">
        <v>0.53</v>
      </c>
      <c r="E4454" t="s">
        <v>7</v>
      </c>
      <c r="F4454" t="s">
        <v>772</v>
      </c>
      <c r="G4454" t="s">
        <v>2426</v>
      </c>
      <c r="H4454" t="s">
        <v>32</v>
      </c>
      <c r="I4454" s="28" t="s">
        <v>28</v>
      </c>
    </row>
    <row r="4455" spans="1:9" x14ac:dyDescent="0.3">
      <c r="A4455" s="26">
        <v>45345</v>
      </c>
      <c r="B4455" t="s">
        <v>984</v>
      </c>
      <c r="C4455" t="s">
        <v>874</v>
      </c>
      <c r="D4455">
        <v>0.55000000000000004</v>
      </c>
      <c r="E4455" t="s">
        <v>7</v>
      </c>
      <c r="F4455" t="s">
        <v>772</v>
      </c>
      <c r="G4455" t="s">
        <v>3864</v>
      </c>
      <c r="H4455" t="s">
        <v>32</v>
      </c>
      <c r="I4455" s="28" t="s">
        <v>28</v>
      </c>
    </row>
    <row r="4456" spans="1:9" x14ac:dyDescent="0.3">
      <c r="A4456" s="26">
        <v>45345</v>
      </c>
      <c r="B4456" t="s">
        <v>991</v>
      </c>
      <c r="C4456" t="s">
        <v>992</v>
      </c>
      <c r="D4456">
        <v>4.47</v>
      </c>
      <c r="E4456" t="s">
        <v>7</v>
      </c>
      <c r="F4456" t="s">
        <v>772</v>
      </c>
      <c r="G4456" t="s">
        <v>3865</v>
      </c>
      <c r="H4456" t="s">
        <v>32</v>
      </c>
      <c r="I4456" s="28" t="s">
        <v>28</v>
      </c>
    </row>
    <row r="4457" spans="1:9" x14ac:dyDescent="0.3">
      <c r="A4457" s="26">
        <v>45345</v>
      </c>
      <c r="B4457" t="s">
        <v>991</v>
      </c>
      <c r="C4457" t="s">
        <v>771</v>
      </c>
      <c r="D4457">
        <v>4.37</v>
      </c>
      <c r="E4457" t="s">
        <v>999</v>
      </c>
      <c r="F4457" t="s">
        <v>772</v>
      </c>
      <c r="G4457" t="s">
        <v>3866</v>
      </c>
      <c r="H4457" t="s">
        <v>32</v>
      </c>
      <c r="I4457" s="28" t="s">
        <v>28</v>
      </c>
    </row>
    <row r="4458" spans="1:9" x14ac:dyDescent="0.3">
      <c r="A4458" s="26">
        <v>45345</v>
      </c>
      <c r="B4458" t="s">
        <v>991</v>
      </c>
      <c r="C4458" t="s">
        <v>776</v>
      </c>
      <c r="D4458">
        <v>0.28000000000000003</v>
      </c>
      <c r="E4458" t="s">
        <v>999</v>
      </c>
      <c r="F4458" t="s">
        <v>772</v>
      </c>
      <c r="G4458" t="s">
        <v>3867</v>
      </c>
      <c r="H4458" t="s">
        <v>32</v>
      </c>
      <c r="I4458" s="28" t="s">
        <v>28</v>
      </c>
    </row>
    <row r="4459" spans="1:9" x14ac:dyDescent="0.3">
      <c r="A4459" s="26">
        <v>45345</v>
      </c>
      <c r="B4459" t="s">
        <v>1002</v>
      </c>
      <c r="C4459" t="s">
        <v>1003</v>
      </c>
      <c r="D4459">
        <v>10</v>
      </c>
      <c r="E4459" t="s">
        <v>7</v>
      </c>
      <c r="F4459" t="s">
        <v>772</v>
      </c>
      <c r="G4459" t="s">
        <v>3868</v>
      </c>
      <c r="H4459" t="s">
        <v>32</v>
      </c>
      <c r="I4459" s="28" t="s">
        <v>28</v>
      </c>
    </row>
    <row r="4460" spans="1:9" x14ac:dyDescent="0.3">
      <c r="A4460" s="26">
        <v>45345</v>
      </c>
      <c r="B4460" t="s">
        <v>1005</v>
      </c>
      <c r="C4460" t="s">
        <v>753</v>
      </c>
      <c r="D4460">
        <v>0.25</v>
      </c>
      <c r="E4460" t="s">
        <v>161</v>
      </c>
      <c r="F4460" t="s">
        <v>754</v>
      </c>
      <c r="H4460" t="s">
        <v>32</v>
      </c>
      <c r="I4460" s="28" t="s">
        <v>28</v>
      </c>
    </row>
    <row r="4461" spans="1:9" x14ac:dyDescent="0.3">
      <c r="A4461" s="26">
        <v>45345</v>
      </c>
      <c r="B4461" t="s">
        <v>1005</v>
      </c>
      <c r="C4461" t="s">
        <v>753</v>
      </c>
      <c r="D4461">
        <v>0.5</v>
      </c>
      <c r="E4461" t="s">
        <v>1438</v>
      </c>
      <c r="F4461" t="s">
        <v>754</v>
      </c>
      <c r="G4461" t="s">
        <v>3869</v>
      </c>
      <c r="H4461" t="s">
        <v>32</v>
      </c>
      <c r="I4461" s="28" t="s">
        <v>28</v>
      </c>
    </row>
    <row r="4462" spans="1:9" x14ac:dyDescent="0.3">
      <c r="A4462" s="26">
        <v>45345</v>
      </c>
      <c r="B4462" t="s">
        <v>1005</v>
      </c>
      <c r="C4462" t="s">
        <v>753</v>
      </c>
      <c r="D4462">
        <v>0.5</v>
      </c>
      <c r="E4462" t="s">
        <v>201</v>
      </c>
      <c r="F4462" t="s">
        <v>754</v>
      </c>
      <c r="H4462" t="s">
        <v>32</v>
      </c>
      <c r="I4462" s="28" t="s">
        <v>28</v>
      </c>
    </row>
    <row r="4463" spans="1:9" x14ac:dyDescent="0.3">
      <c r="A4463" s="26">
        <v>45345</v>
      </c>
      <c r="B4463" t="s">
        <v>1005</v>
      </c>
      <c r="C4463" t="s">
        <v>753</v>
      </c>
      <c r="D4463">
        <v>0.75</v>
      </c>
      <c r="E4463" t="s">
        <v>471</v>
      </c>
      <c r="F4463" t="s">
        <v>754</v>
      </c>
      <c r="H4463" t="s">
        <v>32</v>
      </c>
      <c r="I4463" s="28" t="s">
        <v>28</v>
      </c>
    </row>
    <row r="4464" spans="1:9" x14ac:dyDescent="0.3">
      <c r="A4464" s="26">
        <v>45345</v>
      </c>
      <c r="B4464" t="s">
        <v>1005</v>
      </c>
      <c r="C4464" t="s">
        <v>753</v>
      </c>
      <c r="D4464">
        <v>2.5</v>
      </c>
      <c r="E4464" t="s">
        <v>430</v>
      </c>
      <c r="F4464" t="s">
        <v>754</v>
      </c>
      <c r="H4464" t="s">
        <v>32</v>
      </c>
      <c r="I4464" s="28" t="s">
        <v>28</v>
      </c>
    </row>
    <row r="4465" spans="1:9" x14ac:dyDescent="0.3">
      <c r="A4465" s="26">
        <v>45345</v>
      </c>
      <c r="B4465" t="s">
        <v>1005</v>
      </c>
      <c r="C4465" t="s">
        <v>771</v>
      </c>
      <c r="D4465">
        <v>0.25</v>
      </c>
      <c r="E4465" t="s">
        <v>7</v>
      </c>
      <c r="F4465" t="s">
        <v>772</v>
      </c>
      <c r="G4465" t="s">
        <v>3870</v>
      </c>
      <c r="H4465" t="s">
        <v>32</v>
      </c>
      <c r="I4465" s="28" t="s">
        <v>28</v>
      </c>
    </row>
    <row r="4466" spans="1:9" x14ac:dyDescent="0.3">
      <c r="A4466" s="26">
        <v>45345</v>
      </c>
      <c r="B4466" t="s">
        <v>1005</v>
      </c>
      <c r="C4466" t="s">
        <v>776</v>
      </c>
      <c r="D4466">
        <v>0.25</v>
      </c>
      <c r="E4466" t="s">
        <v>141</v>
      </c>
      <c r="F4466" t="s">
        <v>754</v>
      </c>
      <c r="H4466" t="s">
        <v>32</v>
      </c>
      <c r="I4466" s="28" t="s">
        <v>28</v>
      </c>
    </row>
    <row r="4467" spans="1:9" x14ac:dyDescent="0.3">
      <c r="A4467" s="26">
        <v>45345</v>
      </c>
      <c r="B4467" t="s">
        <v>1006</v>
      </c>
      <c r="C4467" t="s">
        <v>909</v>
      </c>
      <c r="D4467">
        <v>2.87</v>
      </c>
      <c r="E4467" t="s">
        <v>583</v>
      </c>
      <c r="F4467" t="s">
        <v>754</v>
      </c>
      <c r="G4467" t="s">
        <v>3871</v>
      </c>
      <c r="H4467" t="s">
        <v>32</v>
      </c>
      <c r="I4467" s="28" t="s">
        <v>28</v>
      </c>
    </row>
    <row r="4468" spans="1:9" x14ac:dyDescent="0.3">
      <c r="A4468" s="26">
        <v>45345</v>
      </c>
      <c r="B4468" t="s">
        <v>1006</v>
      </c>
      <c r="C4468" t="s">
        <v>771</v>
      </c>
      <c r="D4468">
        <v>3.15</v>
      </c>
      <c r="E4468" t="s">
        <v>7</v>
      </c>
      <c r="F4468" t="s">
        <v>772</v>
      </c>
      <c r="G4468" t="s">
        <v>1010</v>
      </c>
      <c r="H4468" t="s">
        <v>32</v>
      </c>
      <c r="I4468" s="28" t="s">
        <v>28</v>
      </c>
    </row>
    <row r="4469" spans="1:9" x14ac:dyDescent="0.3">
      <c r="A4469" s="26">
        <v>45345</v>
      </c>
      <c r="B4469" t="s">
        <v>1011</v>
      </c>
      <c r="C4469" t="s">
        <v>753</v>
      </c>
      <c r="D4469">
        <v>0.25</v>
      </c>
      <c r="E4469" t="s">
        <v>589</v>
      </c>
      <c r="F4469" t="s">
        <v>754</v>
      </c>
      <c r="G4469" t="s">
        <v>1243</v>
      </c>
      <c r="H4469" t="s">
        <v>32</v>
      </c>
      <c r="I4469" s="28" t="s">
        <v>28</v>
      </c>
    </row>
    <row r="4470" spans="1:9" x14ac:dyDescent="0.3">
      <c r="A4470" s="26">
        <v>45345</v>
      </c>
      <c r="B4470" t="s">
        <v>1011</v>
      </c>
      <c r="C4470" t="s">
        <v>753</v>
      </c>
      <c r="D4470">
        <v>0.37</v>
      </c>
      <c r="E4470" t="s">
        <v>1013</v>
      </c>
      <c r="F4470" t="s">
        <v>754</v>
      </c>
      <c r="G4470" t="s">
        <v>3733</v>
      </c>
      <c r="H4470" t="s">
        <v>32</v>
      </c>
      <c r="I4470" s="28" t="s">
        <v>28</v>
      </c>
    </row>
    <row r="4471" spans="1:9" x14ac:dyDescent="0.3">
      <c r="A4471" s="26">
        <v>45345</v>
      </c>
      <c r="B4471" t="s">
        <v>1011</v>
      </c>
      <c r="C4471" t="s">
        <v>753</v>
      </c>
      <c r="D4471">
        <v>0.82</v>
      </c>
      <c r="E4471" t="s">
        <v>1013</v>
      </c>
      <c r="F4471" t="s">
        <v>754</v>
      </c>
      <c r="H4471" t="s">
        <v>32</v>
      </c>
      <c r="I4471" s="28" t="s">
        <v>28</v>
      </c>
    </row>
    <row r="4472" spans="1:9" x14ac:dyDescent="0.3">
      <c r="A4472" s="26">
        <v>45345</v>
      </c>
      <c r="B4472" t="s">
        <v>1011</v>
      </c>
      <c r="C4472" t="s">
        <v>753</v>
      </c>
      <c r="D4472">
        <v>1.1299999999999999</v>
      </c>
      <c r="E4472" t="s">
        <v>1013</v>
      </c>
      <c r="F4472" t="s">
        <v>772</v>
      </c>
      <c r="G4472" t="s">
        <v>3872</v>
      </c>
      <c r="H4472" t="s">
        <v>32</v>
      </c>
      <c r="I4472" s="28" t="s">
        <v>28</v>
      </c>
    </row>
    <row r="4473" spans="1:9" x14ac:dyDescent="0.3">
      <c r="A4473" s="26">
        <v>45345</v>
      </c>
      <c r="B4473" t="s">
        <v>1011</v>
      </c>
      <c r="C4473" t="s">
        <v>753</v>
      </c>
      <c r="D4473">
        <v>1.53</v>
      </c>
      <c r="E4473" t="s">
        <v>589</v>
      </c>
      <c r="F4473" t="s">
        <v>754</v>
      </c>
      <c r="G4473" t="s">
        <v>3873</v>
      </c>
      <c r="H4473" t="s">
        <v>32</v>
      </c>
      <c r="I4473" s="28" t="s">
        <v>28</v>
      </c>
    </row>
    <row r="4474" spans="1:9" x14ac:dyDescent="0.3">
      <c r="A4474" s="26">
        <v>45345</v>
      </c>
      <c r="B4474" t="s">
        <v>1011</v>
      </c>
      <c r="C4474" t="s">
        <v>753</v>
      </c>
      <c r="D4474">
        <v>2.08</v>
      </c>
      <c r="E4474" t="s">
        <v>589</v>
      </c>
      <c r="F4474" t="s">
        <v>754</v>
      </c>
      <c r="H4474" t="s">
        <v>32</v>
      </c>
      <c r="I4474" s="28" t="s">
        <v>28</v>
      </c>
    </row>
    <row r="4475" spans="1:9" x14ac:dyDescent="0.3">
      <c r="A4475" s="26">
        <v>45345</v>
      </c>
      <c r="B4475" t="s">
        <v>1011</v>
      </c>
      <c r="C4475" t="s">
        <v>771</v>
      </c>
      <c r="D4475">
        <v>0.1</v>
      </c>
      <c r="E4475" t="s">
        <v>7</v>
      </c>
      <c r="F4475" t="s">
        <v>772</v>
      </c>
      <c r="G4475" t="s">
        <v>3874</v>
      </c>
      <c r="H4475" t="s">
        <v>32</v>
      </c>
      <c r="I4475" s="28" t="s">
        <v>28</v>
      </c>
    </row>
    <row r="4476" spans="1:9" x14ac:dyDescent="0.3">
      <c r="A4476" s="26">
        <v>45345</v>
      </c>
      <c r="B4476" t="s">
        <v>1011</v>
      </c>
      <c r="C4476" t="s">
        <v>771</v>
      </c>
      <c r="D4476">
        <v>0.33</v>
      </c>
      <c r="E4476" t="s">
        <v>7</v>
      </c>
      <c r="F4476" t="s">
        <v>772</v>
      </c>
      <c r="G4476" t="s">
        <v>3875</v>
      </c>
      <c r="H4476" t="s">
        <v>32</v>
      </c>
      <c r="I4476" s="28" t="s">
        <v>28</v>
      </c>
    </row>
    <row r="4477" spans="1:9" x14ac:dyDescent="0.3">
      <c r="A4477" s="26">
        <v>45345</v>
      </c>
      <c r="B4477" t="s">
        <v>1011</v>
      </c>
      <c r="C4477" t="s">
        <v>874</v>
      </c>
      <c r="D4477">
        <v>0.56999999999999995</v>
      </c>
      <c r="E4477" t="s">
        <v>7</v>
      </c>
      <c r="F4477" t="s">
        <v>772</v>
      </c>
      <c r="G4477" t="s">
        <v>2110</v>
      </c>
      <c r="H4477" t="s">
        <v>32</v>
      </c>
      <c r="I4477" s="28" t="s">
        <v>28</v>
      </c>
    </row>
    <row r="4478" spans="1:9" x14ac:dyDescent="0.3">
      <c r="A4478" s="26">
        <v>45345</v>
      </c>
      <c r="B4478" t="s">
        <v>1011</v>
      </c>
      <c r="C4478" t="s">
        <v>874</v>
      </c>
      <c r="D4478">
        <v>0.82</v>
      </c>
      <c r="E4478" t="s">
        <v>7</v>
      </c>
      <c r="F4478" t="s">
        <v>772</v>
      </c>
      <c r="G4478" t="s">
        <v>3876</v>
      </c>
      <c r="H4478" t="s">
        <v>32</v>
      </c>
      <c r="I4478" s="28" t="s">
        <v>28</v>
      </c>
    </row>
    <row r="4479" spans="1:9" x14ac:dyDescent="0.3">
      <c r="A4479" s="26">
        <v>45345</v>
      </c>
      <c r="B4479" t="s">
        <v>1020</v>
      </c>
      <c r="C4479" t="s">
        <v>753</v>
      </c>
      <c r="D4479">
        <v>0.92</v>
      </c>
      <c r="E4479" t="s">
        <v>11</v>
      </c>
      <c r="F4479" t="s">
        <v>754</v>
      </c>
      <c r="H4479" t="s">
        <v>32</v>
      </c>
      <c r="I4479" s="28" t="s">
        <v>28</v>
      </c>
    </row>
    <row r="4480" spans="1:9" x14ac:dyDescent="0.3">
      <c r="A4480" s="26">
        <v>45345</v>
      </c>
      <c r="B4480" t="s">
        <v>1020</v>
      </c>
      <c r="C4480" t="s">
        <v>771</v>
      </c>
      <c r="D4480">
        <v>0.13</v>
      </c>
      <c r="E4480" t="s">
        <v>7</v>
      </c>
      <c r="F4480" t="s">
        <v>772</v>
      </c>
      <c r="G4480" t="s">
        <v>1024</v>
      </c>
      <c r="H4480" t="s">
        <v>32</v>
      </c>
      <c r="I4480" s="28" t="s">
        <v>28</v>
      </c>
    </row>
    <row r="4481" spans="1:9" x14ac:dyDescent="0.3">
      <c r="A4481" s="26">
        <v>45345</v>
      </c>
      <c r="B4481" t="s">
        <v>1020</v>
      </c>
      <c r="C4481" t="s">
        <v>834</v>
      </c>
      <c r="D4481">
        <v>7.47</v>
      </c>
      <c r="E4481" t="s">
        <v>7</v>
      </c>
      <c r="F4481" t="s">
        <v>772</v>
      </c>
      <c r="G4481" t="s">
        <v>3877</v>
      </c>
      <c r="H4481" t="s">
        <v>32</v>
      </c>
      <c r="I4481" s="28" t="s">
        <v>28</v>
      </c>
    </row>
    <row r="4482" spans="1:9" x14ac:dyDescent="0.3">
      <c r="A4482" s="26">
        <v>45345</v>
      </c>
      <c r="B4482" t="s">
        <v>1020</v>
      </c>
      <c r="C4482" t="s">
        <v>3233</v>
      </c>
      <c r="D4482">
        <v>0.33</v>
      </c>
      <c r="E4482" t="s">
        <v>583</v>
      </c>
      <c r="F4482" t="s">
        <v>772</v>
      </c>
      <c r="G4482" t="s">
        <v>3878</v>
      </c>
      <c r="H4482" t="s">
        <v>32</v>
      </c>
      <c r="I4482" s="28" t="s">
        <v>28</v>
      </c>
    </row>
    <row r="4483" spans="1:9" x14ac:dyDescent="0.3">
      <c r="A4483" s="26">
        <v>45345</v>
      </c>
      <c r="B4483" t="s">
        <v>1026</v>
      </c>
      <c r="C4483" t="s">
        <v>771</v>
      </c>
      <c r="D4483">
        <v>0.62</v>
      </c>
      <c r="E4483" t="s">
        <v>7</v>
      </c>
      <c r="F4483" t="s">
        <v>772</v>
      </c>
      <c r="G4483" t="s">
        <v>3879</v>
      </c>
      <c r="H4483" t="s">
        <v>32</v>
      </c>
      <c r="I4483" s="28" t="s">
        <v>28</v>
      </c>
    </row>
    <row r="4484" spans="1:9" x14ac:dyDescent="0.3">
      <c r="A4484" s="26">
        <v>45345</v>
      </c>
      <c r="B4484" t="s">
        <v>1026</v>
      </c>
      <c r="C4484" t="s">
        <v>771</v>
      </c>
      <c r="D4484">
        <v>1.83</v>
      </c>
      <c r="E4484" t="s">
        <v>7</v>
      </c>
      <c r="F4484" t="s">
        <v>772</v>
      </c>
      <c r="G4484" t="s">
        <v>3880</v>
      </c>
      <c r="H4484" t="s">
        <v>32</v>
      </c>
      <c r="I4484" s="28" t="s">
        <v>28</v>
      </c>
    </row>
    <row r="4485" spans="1:9" x14ac:dyDescent="0.3">
      <c r="A4485" s="26">
        <v>45345</v>
      </c>
      <c r="B4485" t="s">
        <v>1026</v>
      </c>
      <c r="C4485" t="s">
        <v>771</v>
      </c>
      <c r="D4485">
        <v>5.35</v>
      </c>
      <c r="E4485" t="s">
        <v>7</v>
      </c>
      <c r="F4485" t="s">
        <v>772</v>
      </c>
      <c r="G4485" t="s">
        <v>3881</v>
      </c>
      <c r="H4485" t="s">
        <v>32</v>
      </c>
      <c r="I4485" s="28" t="s">
        <v>28</v>
      </c>
    </row>
    <row r="4486" spans="1:9" x14ac:dyDescent="0.3">
      <c r="A4486" s="26">
        <v>45345</v>
      </c>
      <c r="B4486" t="s">
        <v>1026</v>
      </c>
      <c r="C4486" t="s">
        <v>874</v>
      </c>
      <c r="D4486">
        <v>0.47</v>
      </c>
      <c r="E4486" t="s">
        <v>7</v>
      </c>
      <c r="F4486" t="s">
        <v>772</v>
      </c>
      <c r="G4486" t="s">
        <v>3882</v>
      </c>
      <c r="H4486" t="s">
        <v>32</v>
      </c>
      <c r="I4486" s="28" t="s">
        <v>28</v>
      </c>
    </row>
    <row r="4487" spans="1:9" x14ac:dyDescent="0.3">
      <c r="A4487" s="26">
        <v>45345</v>
      </c>
      <c r="B4487" t="s">
        <v>1032</v>
      </c>
      <c r="C4487" t="s">
        <v>753</v>
      </c>
      <c r="D4487">
        <v>1.02</v>
      </c>
      <c r="E4487" t="s">
        <v>790</v>
      </c>
      <c r="F4487" t="s">
        <v>754</v>
      </c>
      <c r="G4487" t="s">
        <v>3883</v>
      </c>
      <c r="H4487" t="s">
        <v>32</v>
      </c>
      <c r="I4487" s="28" t="s">
        <v>28</v>
      </c>
    </row>
    <row r="4488" spans="1:9" x14ac:dyDescent="0.3">
      <c r="A4488" s="26">
        <v>45345</v>
      </c>
      <c r="B4488" t="s">
        <v>1032</v>
      </c>
      <c r="C4488" t="s">
        <v>753</v>
      </c>
      <c r="D4488">
        <v>1.55</v>
      </c>
      <c r="E4488" t="s">
        <v>790</v>
      </c>
      <c r="F4488" t="s">
        <v>754</v>
      </c>
      <c r="G4488" t="s">
        <v>3884</v>
      </c>
      <c r="H4488" t="s">
        <v>32</v>
      </c>
      <c r="I4488" s="28" t="s">
        <v>28</v>
      </c>
    </row>
    <row r="4489" spans="1:9" x14ac:dyDescent="0.3">
      <c r="A4489" s="26">
        <v>45345</v>
      </c>
      <c r="B4489" t="s">
        <v>1032</v>
      </c>
      <c r="C4489" t="s">
        <v>753</v>
      </c>
      <c r="D4489">
        <v>2.6</v>
      </c>
      <c r="E4489" t="s">
        <v>790</v>
      </c>
      <c r="F4489" t="s">
        <v>754</v>
      </c>
      <c r="H4489" t="s">
        <v>32</v>
      </c>
      <c r="I4489" s="28" t="s">
        <v>28</v>
      </c>
    </row>
    <row r="4490" spans="1:9" x14ac:dyDescent="0.3">
      <c r="A4490" s="26">
        <v>45345</v>
      </c>
      <c r="B4490" t="s">
        <v>1032</v>
      </c>
      <c r="C4490" t="s">
        <v>789</v>
      </c>
      <c r="D4490">
        <v>0.5</v>
      </c>
      <c r="E4490" t="s">
        <v>790</v>
      </c>
      <c r="F4490" t="s">
        <v>754</v>
      </c>
      <c r="G4490" t="s">
        <v>3883</v>
      </c>
      <c r="H4490" t="s">
        <v>32</v>
      </c>
      <c r="I4490" s="28" t="s">
        <v>28</v>
      </c>
    </row>
    <row r="4491" spans="1:9" x14ac:dyDescent="0.3">
      <c r="A4491" s="26">
        <v>45345</v>
      </c>
      <c r="B4491" t="s">
        <v>1032</v>
      </c>
      <c r="C4491" t="s">
        <v>789</v>
      </c>
      <c r="D4491">
        <v>0.75</v>
      </c>
      <c r="E4491" t="s">
        <v>790</v>
      </c>
      <c r="F4491" t="s">
        <v>754</v>
      </c>
      <c r="G4491" t="s">
        <v>1254</v>
      </c>
      <c r="H4491" t="s">
        <v>32</v>
      </c>
      <c r="I4491" s="28" t="s">
        <v>28</v>
      </c>
    </row>
    <row r="4492" spans="1:9" x14ac:dyDescent="0.3">
      <c r="A4492" s="26">
        <v>45345</v>
      </c>
      <c r="B4492" t="s">
        <v>1032</v>
      </c>
      <c r="C4492" t="s">
        <v>789</v>
      </c>
      <c r="D4492">
        <v>1</v>
      </c>
      <c r="E4492" t="s">
        <v>790</v>
      </c>
      <c r="F4492" t="s">
        <v>754</v>
      </c>
      <c r="G4492" t="s">
        <v>3885</v>
      </c>
      <c r="H4492" t="s">
        <v>32</v>
      </c>
      <c r="I4492" s="28" t="s">
        <v>28</v>
      </c>
    </row>
    <row r="4493" spans="1:9" x14ac:dyDescent="0.3">
      <c r="A4493" s="26">
        <v>45345</v>
      </c>
      <c r="B4493" t="s">
        <v>1032</v>
      </c>
      <c r="C4493" t="s">
        <v>874</v>
      </c>
      <c r="D4493">
        <v>0.57999999999999996</v>
      </c>
      <c r="E4493" t="s">
        <v>7</v>
      </c>
      <c r="F4493" t="s">
        <v>772</v>
      </c>
      <c r="G4493" t="s">
        <v>3886</v>
      </c>
      <c r="H4493" t="s">
        <v>32</v>
      </c>
      <c r="I4493" s="28" t="s">
        <v>28</v>
      </c>
    </row>
    <row r="4494" spans="1:9" x14ac:dyDescent="0.3">
      <c r="A4494" s="26">
        <v>45345</v>
      </c>
      <c r="B4494" t="s">
        <v>1034</v>
      </c>
      <c r="C4494" t="s">
        <v>834</v>
      </c>
      <c r="D4494">
        <v>8</v>
      </c>
      <c r="E4494" t="s">
        <v>7</v>
      </c>
      <c r="F4494" t="s">
        <v>772</v>
      </c>
      <c r="G4494" t="s">
        <v>3887</v>
      </c>
      <c r="H4494" t="s">
        <v>32</v>
      </c>
      <c r="I4494" s="28" t="s">
        <v>28</v>
      </c>
    </row>
    <row r="4495" spans="1:9" x14ac:dyDescent="0.3">
      <c r="A4495" s="26">
        <v>45345</v>
      </c>
      <c r="B4495" t="s">
        <v>1034</v>
      </c>
      <c r="C4495" t="s">
        <v>776</v>
      </c>
      <c r="D4495">
        <v>0.08</v>
      </c>
      <c r="E4495" t="s">
        <v>141</v>
      </c>
      <c r="F4495" t="s">
        <v>754</v>
      </c>
      <c r="G4495" t="s">
        <v>3888</v>
      </c>
      <c r="H4495" t="s">
        <v>32</v>
      </c>
      <c r="I4495" s="28" t="s">
        <v>28</v>
      </c>
    </row>
    <row r="4496" spans="1:9" x14ac:dyDescent="0.3">
      <c r="A4496" s="26">
        <v>45345</v>
      </c>
      <c r="B4496" t="s">
        <v>1034</v>
      </c>
      <c r="C4496" t="s">
        <v>776</v>
      </c>
      <c r="D4496">
        <v>0.48</v>
      </c>
      <c r="E4496" t="s">
        <v>790</v>
      </c>
      <c r="F4496" t="s">
        <v>754</v>
      </c>
      <c r="G4496" t="s">
        <v>3889</v>
      </c>
      <c r="H4496" t="s">
        <v>32</v>
      </c>
      <c r="I4496" s="28" t="s">
        <v>28</v>
      </c>
    </row>
    <row r="4497" spans="1:9" x14ac:dyDescent="0.3">
      <c r="A4497" s="26">
        <v>45345</v>
      </c>
      <c r="B4497" t="s">
        <v>1049</v>
      </c>
      <c r="C4497" t="s">
        <v>834</v>
      </c>
      <c r="D4497">
        <v>8</v>
      </c>
      <c r="E4497" t="s">
        <v>7</v>
      </c>
      <c r="F4497" t="s">
        <v>772</v>
      </c>
      <c r="G4497" t="s">
        <v>3890</v>
      </c>
      <c r="H4497" t="s">
        <v>32</v>
      </c>
      <c r="I4497" s="28" t="s">
        <v>28</v>
      </c>
    </row>
    <row r="4498" spans="1:9" x14ac:dyDescent="0.3">
      <c r="A4498" s="26">
        <v>45345</v>
      </c>
      <c r="B4498" t="s">
        <v>1060</v>
      </c>
      <c r="C4498" t="s">
        <v>909</v>
      </c>
      <c r="D4498">
        <v>0.25</v>
      </c>
      <c r="E4498" t="s">
        <v>201</v>
      </c>
      <c r="F4498" t="s">
        <v>754</v>
      </c>
      <c r="G4498" t="s">
        <v>3891</v>
      </c>
      <c r="H4498" t="s">
        <v>32</v>
      </c>
      <c r="I4498" s="28" t="s">
        <v>28</v>
      </c>
    </row>
    <row r="4499" spans="1:9" x14ac:dyDescent="0.3">
      <c r="A4499" s="26">
        <v>45345</v>
      </c>
      <c r="B4499" t="s">
        <v>1060</v>
      </c>
      <c r="C4499" t="s">
        <v>909</v>
      </c>
      <c r="D4499">
        <v>0.5</v>
      </c>
      <c r="E4499" t="s">
        <v>2604</v>
      </c>
      <c r="F4499" t="s">
        <v>772</v>
      </c>
      <c r="G4499" t="s">
        <v>3892</v>
      </c>
      <c r="H4499" t="s">
        <v>32</v>
      </c>
      <c r="I4499" s="28" t="s">
        <v>28</v>
      </c>
    </row>
    <row r="4500" spans="1:9" x14ac:dyDescent="0.3">
      <c r="A4500" s="26">
        <v>45345</v>
      </c>
      <c r="B4500" t="s">
        <v>1060</v>
      </c>
      <c r="C4500" t="s">
        <v>909</v>
      </c>
      <c r="D4500">
        <v>0.5</v>
      </c>
      <c r="E4500" t="s">
        <v>248</v>
      </c>
      <c r="F4500" t="s">
        <v>754</v>
      </c>
      <c r="G4500" t="s">
        <v>3893</v>
      </c>
      <c r="H4500" t="s">
        <v>32</v>
      </c>
      <c r="I4500" s="28" t="s">
        <v>28</v>
      </c>
    </row>
    <row r="4501" spans="1:9" x14ac:dyDescent="0.3">
      <c r="A4501" s="26">
        <v>45345</v>
      </c>
      <c r="B4501" t="s">
        <v>1060</v>
      </c>
      <c r="C4501" t="s">
        <v>909</v>
      </c>
      <c r="D4501">
        <v>0.5</v>
      </c>
      <c r="E4501" t="s">
        <v>563</v>
      </c>
      <c r="F4501" t="s">
        <v>754</v>
      </c>
      <c r="G4501" t="s">
        <v>3894</v>
      </c>
      <c r="H4501" t="s">
        <v>32</v>
      </c>
      <c r="I4501" s="28" t="s">
        <v>28</v>
      </c>
    </row>
    <row r="4502" spans="1:9" x14ac:dyDescent="0.3">
      <c r="A4502" s="26">
        <v>45345</v>
      </c>
      <c r="B4502" t="s">
        <v>1060</v>
      </c>
      <c r="C4502" t="s">
        <v>909</v>
      </c>
      <c r="D4502">
        <v>0.75</v>
      </c>
      <c r="E4502" t="s">
        <v>589</v>
      </c>
      <c r="F4502" t="s">
        <v>754</v>
      </c>
      <c r="G4502" t="s">
        <v>3895</v>
      </c>
      <c r="H4502" t="s">
        <v>32</v>
      </c>
      <c r="I4502" s="28" t="s">
        <v>28</v>
      </c>
    </row>
    <row r="4503" spans="1:9" x14ac:dyDescent="0.3">
      <c r="A4503" s="26">
        <v>45345</v>
      </c>
      <c r="B4503" t="s">
        <v>1060</v>
      </c>
      <c r="C4503" t="s">
        <v>771</v>
      </c>
      <c r="D4503">
        <v>0.5</v>
      </c>
      <c r="E4503" t="s">
        <v>7</v>
      </c>
      <c r="F4503" t="s">
        <v>772</v>
      </c>
      <c r="G4503" t="s">
        <v>3896</v>
      </c>
      <c r="H4503" t="s">
        <v>32</v>
      </c>
      <c r="I4503" s="28" t="s">
        <v>28</v>
      </c>
    </row>
    <row r="4504" spans="1:9" x14ac:dyDescent="0.3">
      <c r="A4504" s="26">
        <v>45345</v>
      </c>
      <c r="B4504" t="s">
        <v>1060</v>
      </c>
      <c r="C4504" t="s">
        <v>771</v>
      </c>
      <c r="D4504">
        <v>1.5</v>
      </c>
      <c r="E4504" t="s">
        <v>7</v>
      </c>
      <c r="F4504" t="s">
        <v>772</v>
      </c>
      <c r="G4504" t="s">
        <v>3897</v>
      </c>
      <c r="H4504" t="s">
        <v>32</v>
      </c>
      <c r="I4504" s="28" t="s">
        <v>28</v>
      </c>
    </row>
    <row r="4505" spans="1:9" x14ac:dyDescent="0.3">
      <c r="A4505" s="26">
        <v>45345</v>
      </c>
      <c r="B4505" t="s">
        <v>1060</v>
      </c>
      <c r="C4505" t="s">
        <v>916</v>
      </c>
      <c r="D4505">
        <v>0.33</v>
      </c>
      <c r="E4505" t="s">
        <v>169</v>
      </c>
      <c r="F4505" t="s">
        <v>754</v>
      </c>
      <c r="G4505" t="s">
        <v>1071</v>
      </c>
      <c r="H4505" t="s">
        <v>32</v>
      </c>
      <c r="I4505" s="28" t="s">
        <v>28</v>
      </c>
    </row>
    <row r="4506" spans="1:9" x14ac:dyDescent="0.3">
      <c r="A4506" s="26">
        <v>45345</v>
      </c>
      <c r="B4506" t="s">
        <v>1060</v>
      </c>
      <c r="C4506" t="s">
        <v>916</v>
      </c>
      <c r="D4506">
        <v>0.33</v>
      </c>
      <c r="E4506" t="s">
        <v>234</v>
      </c>
      <c r="F4506" t="s">
        <v>754</v>
      </c>
      <c r="G4506" t="s">
        <v>1071</v>
      </c>
      <c r="H4506" t="s">
        <v>32</v>
      </c>
      <c r="I4506" s="28" t="s">
        <v>28</v>
      </c>
    </row>
    <row r="4507" spans="1:9" x14ac:dyDescent="0.3">
      <c r="A4507" s="26">
        <v>45345</v>
      </c>
      <c r="B4507" t="s">
        <v>1060</v>
      </c>
      <c r="C4507" t="s">
        <v>916</v>
      </c>
      <c r="D4507">
        <v>0.33</v>
      </c>
      <c r="E4507" t="s">
        <v>237</v>
      </c>
      <c r="F4507" t="s">
        <v>754</v>
      </c>
      <c r="G4507" t="s">
        <v>1071</v>
      </c>
      <c r="H4507" t="s">
        <v>32</v>
      </c>
      <c r="I4507" s="28" t="s">
        <v>28</v>
      </c>
    </row>
    <row r="4508" spans="1:9" x14ac:dyDescent="0.3">
      <c r="A4508" s="26">
        <v>45345</v>
      </c>
      <c r="B4508" t="s">
        <v>1060</v>
      </c>
      <c r="C4508" t="s">
        <v>916</v>
      </c>
      <c r="D4508">
        <v>0.33</v>
      </c>
      <c r="E4508" t="s">
        <v>602</v>
      </c>
      <c r="F4508" t="s">
        <v>754</v>
      </c>
      <c r="G4508" t="s">
        <v>1071</v>
      </c>
      <c r="H4508" t="s">
        <v>32</v>
      </c>
      <c r="I4508" s="28" t="s">
        <v>28</v>
      </c>
    </row>
    <row r="4509" spans="1:9" x14ac:dyDescent="0.3">
      <c r="A4509" s="26">
        <v>45345</v>
      </c>
      <c r="B4509" t="s">
        <v>1060</v>
      </c>
      <c r="C4509" t="s">
        <v>916</v>
      </c>
      <c r="D4509">
        <v>0.33</v>
      </c>
      <c r="E4509" t="s">
        <v>2797</v>
      </c>
      <c r="F4509" t="s">
        <v>754</v>
      </c>
      <c r="G4509" t="s">
        <v>1071</v>
      </c>
      <c r="H4509" t="s">
        <v>32</v>
      </c>
      <c r="I4509" s="28" t="s">
        <v>28</v>
      </c>
    </row>
    <row r="4510" spans="1:9" x14ac:dyDescent="0.3">
      <c r="A4510" s="26">
        <v>45345</v>
      </c>
      <c r="B4510" t="s">
        <v>1060</v>
      </c>
      <c r="C4510" t="s">
        <v>916</v>
      </c>
      <c r="D4510">
        <v>0.33</v>
      </c>
      <c r="E4510" t="s">
        <v>624</v>
      </c>
      <c r="F4510" t="s">
        <v>754</v>
      </c>
      <c r="G4510" t="s">
        <v>3898</v>
      </c>
      <c r="H4510" t="s">
        <v>32</v>
      </c>
      <c r="I4510" s="28" t="s">
        <v>28</v>
      </c>
    </row>
    <row r="4511" spans="1:9" x14ac:dyDescent="0.3">
      <c r="A4511" s="26">
        <v>45345</v>
      </c>
      <c r="B4511" t="s">
        <v>1060</v>
      </c>
      <c r="C4511" t="s">
        <v>916</v>
      </c>
      <c r="D4511">
        <v>0.33</v>
      </c>
      <c r="E4511" t="s">
        <v>644</v>
      </c>
      <c r="F4511" t="s">
        <v>754</v>
      </c>
      <c r="G4511" t="s">
        <v>1071</v>
      </c>
      <c r="H4511" t="s">
        <v>32</v>
      </c>
      <c r="I4511" s="28" t="s">
        <v>28</v>
      </c>
    </row>
    <row r="4512" spans="1:9" x14ac:dyDescent="0.3">
      <c r="A4512" s="26">
        <v>45345</v>
      </c>
      <c r="B4512" t="s">
        <v>1060</v>
      </c>
      <c r="C4512" t="s">
        <v>874</v>
      </c>
      <c r="D4512">
        <v>1</v>
      </c>
      <c r="E4512" t="s">
        <v>7</v>
      </c>
      <c r="F4512" t="s">
        <v>772</v>
      </c>
      <c r="G4512" t="s">
        <v>3899</v>
      </c>
      <c r="H4512" t="s">
        <v>32</v>
      </c>
      <c r="I4512" s="28" t="s">
        <v>28</v>
      </c>
    </row>
    <row r="4513" spans="1:9" x14ac:dyDescent="0.3">
      <c r="A4513" s="26">
        <v>45345</v>
      </c>
      <c r="B4513" t="s">
        <v>2945</v>
      </c>
      <c r="C4513" t="s">
        <v>771</v>
      </c>
      <c r="D4513">
        <v>8.2799999999999994</v>
      </c>
      <c r="E4513" t="s">
        <v>7</v>
      </c>
      <c r="F4513" t="s">
        <v>772</v>
      </c>
      <c r="G4513" t="s">
        <v>3900</v>
      </c>
      <c r="H4513" t="s">
        <v>32</v>
      </c>
      <c r="I4513" s="28" t="s">
        <v>28</v>
      </c>
    </row>
    <row r="4514" spans="1:9" x14ac:dyDescent="0.3">
      <c r="A4514" s="26">
        <v>45345</v>
      </c>
      <c r="B4514" t="s">
        <v>1074</v>
      </c>
      <c r="C4514" t="s">
        <v>753</v>
      </c>
      <c r="D4514">
        <v>1.5</v>
      </c>
      <c r="E4514" t="s">
        <v>964</v>
      </c>
      <c r="F4514" t="s">
        <v>754</v>
      </c>
      <c r="G4514" t="s">
        <v>3901</v>
      </c>
      <c r="H4514" t="s">
        <v>32</v>
      </c>
      <c r="I4514" s="28" t="s">
        <v>28</v>
      </c>
    </row>
    <row r="4515" spans="1:9" x14ac:dyDescent="0.3">
      <c r="A4515" s="26">
        <v>45345</v>
      </c>
      <c r="B4515" t="s">
        <v>1074</v>
      </c>
      <c r="C4515" t="s">
        <v>771</v>
      </c>
      <c r="D4515">
        <v>1</v>
      </c>
      <c r="E4515" t="s">
        <v>7</v>
      </c>
      <c r="F4515" t="s">
        <v>772</v>
      </c>
      <c r="G4515" t="s">
        <v>3902</v>
      </c>
      <c r="H4515" t="s">
        <v>32</v>
      </c>
      <c r="I4515" s="28" t="s">
        <v>28</v>
      </c>
    </row>
    <row r="4516" spans="1:9" x14ac:dyDescent="0.3">
      <c r="A4516" s="26">
        <v>45345</v>
      </c>
      <c r="B4516" t="s">
        <v>1081</v>
      </c>
      <c r="C4516" t="s">
        <v>771</v>
      </c>
      <c r="D4516">
        <v>1</v>
      </c>
      <c r="E4516" t="s">
        <v>7</v>
      </c>
      <c r="F4516" t="s">
        <v>772</v>
      </c>
      <c r="G4516" t="e">
        <f>- check Aventus portal for HMO results - check Intellicare portal for New members</f>
        <v>#NAME?</v>
      </c>
      <c r="H4516" t="s">
        <v>32</v>
      </c>
      <c r="I4516" s="28" t="s">
        <v>28</v>
      </c>
    </row>
    <row r="4517" spans="1:9" x14ac:dyDescent="0.3">
      <c r="A4517" s="26">
        <v>45345</v>
      </c>
      <c r="B4517" t="s">
        <v>1081</v>
      </c>
      <c r="C4517" t="s">
        <v>771</v>
      </c>
      <c r="D4517">
        <v>4</v>
      </c>
      <c r="E4517" t="s">
        <v>7</v>
      </c>
      <c r="F4517" t="s">
        <v>772</v>
      </c>
      <c r="G4517" t="e">
        <f>- check possible venue for March Team dinner - Update salary of promoted employees  - send Update re Conflict of Interest Register - Update direct reports in Sprout - endorse addition and deletion of members to Life Insurance</f>
        <v>#NAME?</v>
      </c>
      <c r="H4517" t="s">
        <v>32</v>
      </c>
      <c r="I4517" s="28" t="s">
        <v>28</v>
      </c>
    </row>
    <row r="4518" spans="1:9" x14ac:dyDescent="0.3">
      <c r="A4518" s="26">
        <v>45345</v>
      </c>
      <c r="B4518" t="s">
        <v>1081</v>
      </c>
      <c r="C4518" t="s">
        <v>942</v>
      </c>
      <c r="D4518">
        <v>3</v>
      </c>
      <c r="E4518" t="s">
        <v>7</v>
      </c>
      <c r="F4518" t="s">
        <v>772</v>
      </c>
      <c r="G4518" t="s">
        <v>3903</v>
      </c>
      <c r="H4518" t="s">
        <v>32</v>
      </c>
      <c r="I4518" s="28" t="s">
        <v>28</v>
      </c>
    </row>
    <row r="4519" spans="1:9" x14ac:dyDescent="0.3">
      <c r="A4519" s="26">
        <v>45347</v>
      </c>
      <c r="B4519" t="s">
        <v>895</v>
      </c>
      <c r="C4519" t="s">
        <v>919</v>
      </c>
      <c r="D4519">
        <v>2.5</v>
      </c>
      <c r="E4519" t="s">
        <v>898</v>
      </c>
      <c r="F4519" t="s">
        <v>772</v>
      </c>
      <c r="G4519" t="s">
        <v>3904</v>
      </c>
      <c r="H4519" t="s">
        <v>4516</v>
      </c>
      <c r="I4519" s="28" t="s">
        <v>4521</v>
      </c>
    </row>
    <row r="4520" spans="1:9" x14ac:dyDescent="0.3">
      <c r="A4520" s="26">
        <v>45348</v>
      </c>
      <c r="B4520" t="s">
        <v>752</v>
      </c>
      <c r="C4520" t="s">
        <v>753</v>
      </c>
      <c r="D4520">
        <v>0.05</v>
      </c>
      <c r="E4520" t="s">
        <v>561</v>
      </c>
      <c r="F4520" t="s">
        <v>754</v>
      </c>
      <c r="G4520" t="s">
        <v>758</v>
      </c>
      <c r="H4520" t="s">
        <v>4516</v>
      </c>
      <c r="I4520" s="28" t="s">
        <v>24</v>
      </c>
    </row>
    <row r="4521" spans="1:9" x14ac:dyDescent="0.3">
      <c r="A4521" s="26">
        <v>45348</v>
      </c>
      <c r="B4521" t="s">
        <v>752</v>
      </c>
      <c r="C4521" t="s">
        <v>753</v>
      </c>
      <c r="D4521">
        <v>7.0000000000000007E-2</v>
      </c>
      <c r="E4521" t="s">
        <v>757</v>
      </c>
      <c r="F4521" t="s">
        <v>754</v>
      </c>
      <c r="G4521" t="s">
        <v>755</v>
      </c>
      <c r="H4521" t="s">
        <v>4516</v>
      </c>
      <c r="I4521" s="28" t="s">
        <v>24</v>
      </c>
    </row>
    <row r="4522" spans="1:9" x14ac:dyDescent="0.3">
      <c r="A4522" s="26">
        <v>45348</v>
      </c>
      <c r="B4522" t="s">
        <v>752</v>
      </c>
      <c r="C4522" t="s">
        <v>753</v>
      </c>
      <c r="D4522">
        <v>0.08</v>
      </c>
      <c r="E4522" t="s">
        <v>210</v>
      </c>
      <c r="F4522" t="s">
        <v>754</v>
      </c>
      <c r="G4522" t="s">
        <v>755</v>
      </c>
      <c r="H4522" t="s">
        <v>4516</v>
      </c>
      <c r="I4522" s="28" t="s">
        <v>24</v>
      </c>
    </row>
    <row r="4523" spans="1:9" x14ac:dyDescent="0.3">
      <c r="A4523" s="26">
        <v>45348</v>
      </c>
      <c r="B4523" t="s">
        <v>752</v>
      </c>
      <c r="C4523" t="s">
        <v>753</v>
      </c>
      <c r="D4523">
        <v>0.1</v>
      </c>
      <c r="E4523" t="s">
        <v>430</v>
      </c>
      <c r="F4523" t="s">
        <v>754</v>
      </c>
      <c r="G4523" t="s">
        <v>769</v>
      </c>
      <c r="H4523" t="s">
        <v>4516</v>
      </c>
      <c r="I4523" s="28" t="s">
        <v>24</v>
      </c>
    </row>
    <row r="4524" spans="1:9" x14ac:dyDescent="0.3">
      <c r="A4524" s="26">
        <v>45348</v>
      </c>
      <c r="B4524" t="s">
        <v>752</v>
      </c>
      <c r="C4524" t="s">
        <v>753</v>
      </c>
      <c r="D4524">
        <v>0.1</v>
      </c>
      <c r="E4524" t="s">
        <v>561</v>
      </c>
      <c r="F4524" t="s">
        <v>754</v>
      </c>
      <c r="G4524" t="s">
        <v>765</v>
      </c>
      <c r="H4524" t="s">
        <v>4516</v>
      </c>
      <c r="I4524" s="28" t="s">
        <v>24</v>
      </c>
    </row>
    <row r="4525" spans="1:9" x14ac:dyDescent="0.3">
      <c r="A4525" s="26">
        <v>45348</v>
      </c>
      <c r="B4525" t="s">
        <v>752</v>
      </c>
      <c r="C4525" t="s">
        <v>753</v>
      </c>
      <c r="D4525">
        <v>0.17</v>
      </c>
      <c r="E4525" t="s">
        <v>430</v>
      </c>
      <c r="F4525" t="s">
        <v>754</v>
      </c>
      <c r="G4525" t="s">
        <v>758</v>
      </c>
      <c r="H4525" t="s">
        <v>4516</v>
      </c>
      <c r="I4525" s="28" t="s">
        <v>24</v>
      </c>
    </row>
    <row r="4526" spans="1:9" x14ac:dyDescent="0.3">
      <c r="A4526" s="26">
        <v>45348</v>
      </c>
      <c r="B4526" t="s">
        <v>752</v>
      </c>
      <c r="C4526" t="s">
        <v>753</v>
      </c>
      <c r="D4526">
        <v>0.32</v>
      </c>
      <c r="E4526" t="s">
        <v>630</v>
      </c>
      <c r="F4526" t="s">
        <v>754</v>
      </c>
      <c r="G4526" t="s">
        <v>765</v>
      </c>
      <c r="H4526" t="s">
        <v>4516</v>
      </c>
      <c r="I4526" s="28" t="s">
        <v>24</v>
      </c>
    </row>
    <row r="4527" spans="1:9" x14ac:dyDescent="0.3">
      <c r="A4527" s="26">
        <v>45348</v>
      </c>
      <c r="B4527" t="s">
        <v>752</v>
      </c>
      <c r="C4527" t="s">
        <v>753</v>
      </c>
      <c r="D4527">
        <v>0.4</v>
      </c>
      <c r="E4527" t="s">
        <v>664</v>
      </c>
      <c r="F4527" t="s">
        <v>754</v>
      </c>
      <c r="G4527" t="s">
        <v>1088</v>
      </c>
      <c r="H4527" t="s">
        <v>4516</v>
      </c>
      <c r="I4527" s="28" t="s">
        <v>24</v>
      </c>
    </row>
    <row r="4528" spans="1:9" x14ac:dyDescent="0.3">
      <c r="A4528" s="26">
        <v>45348</v>
      </c>
      <c r="B4528" t="s">
        <v>752</v>
      </c>
      <c r="C4528" t="s">
        <v>753</v>
      </c>
      <c r="D4528">
        <v>0.63</v>
      </c>
      <c r="E4528" t="s">
        <v>430</v>
      </c>
      <c r="F4528" t="s">
        <v>754</v>
      </c>
      <c r="G4528" t="s">
        <v>2407</v>
      </c>
      <c r="H4528" t="s">
        <v>4516</v>
      </c>
      <c r="I4528" s="28" t="s">
        <v>24</v>
      </c>
    </row>
    <row r="4529" spans="1:9" x14ac:dyDescent="0.3">
      <c r="A4529" s="26">
        <v>45348</v>
      </c>
      <c r="B4529" t="s">
        <v>752</v>
      </c>
      <c r="C4529" t="s">
        <v>753</v>
      </c>
      <c r="D4529">
        <v>0.7</v>
      </c>
      <c r="E4529" t="s">
        <v>602</v>
      </c>
      <c r="F4529" t="s">
        <v>754</v>
      </c>
      <c r="G4529" t="s">
        <v>765</v>
      </c>
      <c r="H4529" t="s">
        <v>4516</v>
      </c>
      <c r="I4529" s="28" t="s">
        <v>24</v>
      </c>
    </row>
    <row r="4530" spans="1:9" x14ac:dyDescent="0.3">
      <c r="A4530" s="26">
        <v>45348</v>
      </c>
      <c r="B4530" t="s">
        <v>752</v>
      </c>
      <c r="C4530" t="s">
        <v>753</v>
      </c>
      <c r="D4530">
        <v>0.77</v>
      </c>
      <c r="E4530" t="s">
        <v>1084</v>
      </c>
      <c r="F4530" t="s">
        <v>754</v>
      </c>
      <c r="G4530" t="s">
        <v>1055</v>
      </c>
      <c r="H4530" t="s">
        <v>4516</v>
      </c>
      <c r="I4530" s="28" t="s">
        <v>24</v>
      </c>
    </row>
    <row r="4531" spans="1:9" x14ac:dyDescent="0.3">
      <c r="A4531" s="26">
        <v>45348</v>
      </c>
      <c r="B4531" t="s">
        <v>752</v>
      </c>
      <c r="C4531" t="s">
        <v>753</v>
      </c>
      <c r="D4531">
        <v>1.03</v>
      </c>
      <c r="E4531" t="s">
        <v>1084</v>
      </c>
      <c r="F4531" t="s">
        <v>754</v>
      </c>
      <c r="G4531" t="s">
        <v>769</v>
      </c>
      <c r="H4531" t="s">
        <v>4516</v>
      </c>
      <c r="I4531" s="28" t="s">
        <v>24</v>
      </c>
    </row>
    <row r="4532" spans="1:9" x14ac:dyDescent="0.3">
      <c r="A4532" s="26">
        <v>45348</v>
      </c>
      <c r="B4532" t="s">
        <v>752</v>
      </c>
      <c r="C4532" t="s">
        <v>753</v>
      </c>
      <c r="D4532">
        <v>1.22</v>
      </c>
      <c r="E4532" t="s">
        <v>602</v>
      </c>
      <c r="F4532" t="s">
        <v>754</v>
      </c>
      <c r="G4532" t="s">
        <v>766</v>
      </c>
      <c r="H4532" t="s">
        <v>4516</v>
      </c>
      <c r="I4532" s="28" t="s">
        <v>24</v>
      </c>
    </row>
    <row r="4533" spans="1:9" x14ac:dyDescent="0.3">
      <c r="A4533" s="26">
        <v>45348</v>
      </c>
      <c r="B4533" t="s">
        <v>752</v>
      </c>
      <c r="C4533" t="s">
        <v>771</v>
      </c>
      <c r="D4533">
        <v>0.25</v>
      </c>
      <c r="E4533" t="s">
        <v>7</v>
      </c>
      <c r="F4533" t="s">
        <v>772</v>
      </c>
      <c r="G4533" t="s">
        <v>774</v>
      </c>
      <c r="H4533" t="s">
        <v>4516</v>
      </c>
      <c r="I4533" s="28" t="s">
        <v>24</v>
      </c>
    </row>
    <row r="4534" spans="1:9" x14ac:dyDescent="0.3">
      <c r="A4534" s="26">
        <v>45348</v>
      </c>
      <c r="B4534" t="s">
        <v>752</v>
      </c>
      <c r="C4534" t="s">
        <v>771</v>
      </c>
      <c r="D4534">
        <v>0.25</v>
      </c>
      <c r="E4534" t="s">
        <v>7</v>
      </c>
      <c r="F4534" t="s">
        <v>772</v>
      </c>
      <c r="G4534" t="s">
        <v>775</v>
      </c>
      <c r="H4534" t="s">
        <v>4516</v>
      </c>
      <c r="I4534" s="28" t="s">
        <v>24</v>
      </c>
    </row>
    <row r="4535" spans="1:9" x14ac:dyDescent="0.3">
      <c r="A4535" s="26">
        <v>45348</v>
      </c>
      <c r="B4535" t="s">
        <v>752</v>
      </c>
      <c r="C4535" t="s">
        <v>776</v>
      </c>
      <c r="D4535">
        <v>0.53</v>
      </c>
      <c r="E4535" t="s">
        <v>458</v>
      </c>
      <c r="F4535" t="s">
        <v>754</v>
      </c>
      <c r="G4535" t="s">
        <v>3905</v>
      </c>
      <c r="H4535" t="s">
        <v>4516</v>
      </c>
      <c r="I4535" s="28" t="s">
        <v>24</v>
      </c>
    </row>
    <row r="4536" spans="1:9" x14ac:dyDescent="0.3">
      <c r="A4536" s="26">
        <v>45348</v>
      </c>
      <c r="B4536" t="s">
        <v>752</v>
      </c>
      <c r="C4536" t="s">
        <v>776</v>
      </c>
      <c r="D4536">
        <v>0.55000000000000004</v>
      </c>
      <c r="E4536" t="s">
        <v>659</v>
      </c>
      <c r="F4536" t="s">
        <v>754</v>
      </c>
      <c r="H4536" t="s">
        <v>4516</v>
      </c>
      <c r="I4536" s="28" t="s">
        <v>24</v>
      </c>
    </row>
    <row r="4537" spans="1:9" x14ac:dyDescent="0.3">
      <c r="A4537" s="26">
        <v>45348</v>
      </c>
      <c r="B4537" t="s">
        <v>752</v>
      </c>
      <c r="C4537" t="s">
        <v>776</v>
      </c>
      <c r="D4537">
        <v>0.78</v>
      </c>
      <c r="E4537" t="s">
        <v>458</v>
      </c>
      <c r="F4537" t="s">
        <v>754</v>
      </c>
      <c r="H4537" t="s">
        <v>4516</v>
      </c>
      <c r="I4537" s="28" t="s">
        <v>24</v>
      </c>
    </row>
    <row r="4538" spans="1:9" x14ac:dyDescent="0.3">
      <c r="A4538" s="26">
        <v>45348</v>
      </c>
      <c r="B4538" t="s">
        <v>1093</v>
      </c>
      <c r="C4538" t="s">
        <v>1522</v>
      </c>
      <c r="D4538">
        <v>0.57999999999999996</v>
      </c>
      <c r="E4538" t="s">
        <v>455</v>
      </c>
      <c r="F4538" t="s">
        <v>754</v>
      </c>
      <c r="G4538" t="s">
        <v>3906</v>
      </c>
      <c r="H4538" t="s">
        <v>4516</v>
      </c>
      <c r="I4538" s="28" t="s">
        <v>24</v>
      </c>
    </row>
    <row r="4539" spans="1:9" x14ac:dyDescent="0.3">
      <c r="A4539" s="26">
        <v>45348</v>
      </c>
      <c r="B4539" t="s">
        <v>1093</v>
      </c>
      <c r="C4539" t="s">
        <v>1309</v>
      </c>
      <c r="D4539">
        <v>1</v>
      </c>
      <c r="E4539" t="s">
        <v>455</v>
      </c>
      <c r="F4539" t="s">
        <v>754</v>
      </c>
      <c r="G4539" t="s">
        <v>3907</v>
      </c>
      <c r="H4539" t="s">
        <v>4516</v>
      </c>
      <c r="I4539" s="28" t="s">
        <v>24</v>
      </c>
    </row>
    <row r="4540" spans="1:9" x14ac:dyDescent="0.3">
      <c r="A4540" s="26">
        <v>45348</v>
      </c>
      <c r="B4540" t="s">
        <v>1093</v>
      </c>
      <c r="C4540" t="s">
        <v>1524</v>
      </c>
      <c r="D4540">
        <v>0.5</v>
      </c>
      <c r="E4540" t="s">
        <v>455</v>
      </c>
      <c r="F4540" t="s">
        <v>754</v>
      </c>
      <c r="G4540" t="s">
        <v>3908</v>
      </c>
      <c r="H4540" t="s">
        <v>4516</v>
      </c>
      <c r="I4540" s="28" t="s">
        <v>24</v>
      </c>
    </row>
    <row r="4541" spans="1:9" x14ac:dyDescent="0.3">
      <c r="A4541" s="26">
        <v>45348</v>
      </c>
      <c r="B4541" t="s">
        <v>1093</v>
      </c>
      <c r="C4541" t="s">
        <v>1094</v>
      </c>
      <c r="D4541">
        <v>0.42</v>
      </c>
      <c r="E4541" t="s">
        <v>455</v>
      </c>
      <c r="F4541" t="s">
        <v>754</v>
      </c>
      <c r="G4541" t="s">
        <v>3909</v>
      </c>
      <c r="H4541" t="s">
        <v>4516</v>
      </c>
      <c r="I4541" s="28" t="s">
        <v>24</v>
      </c>
    </row>
    <row r="4542" spans="1:9" x14ac:dyDescent="0.3">
      <c r="A4542" s="26">
        <v>45348</v>
      </c>
      <c r="B4542" t="s">
        <v>21</v>
      </c>
      <c r="C4542" t="s">
        <v>753</v>
      </c>
      <c r="D4542">
        <v>0.48</v>
      </c>
      <c r="E4542" t="s">
        <v>13</v>
      </c>
      <c r="F4542" t="s">
        <v>754</v>
      </c>
      <c r="H4542" t="s">
        <v>4516</v>
      </c>
      <c r="I4542" s="28" t="s">
        <v>24</v>
      </c>
    </row>
    <row r="4543" spans="1:9" x14ac:dyDescent="0.3">
      <c r="A4543" s="26">
        <v>45348</v>
      </c>
      <c r="B4543" t="s">
        <v>21</v>
      </c>
      <c r="C4543" t="s">
        <v>753</v>
      </c>
      <c r="D4543">
        <v>0.77</v>
      </c>
      <c r="E4543" t="s">
        <v>589</v>
      </c>
      <c r="F4543" t="s">
        <v>754</v>
      </c>
      <c r="H4543" t="s">
        <v>4516</v>
      </c>
      <c r="I4543" s="28" t="s">
        <v>24</v>
      </c>
    </row>
    <row r="4544" spans="1:9" x14ac:dyDescent="0.3">
      <c r="A4544" s="26">
        <v>45348</v>
      </c>
      <c r="B4544" t="s">
        <v>21</v>
      </c>
      <c r="C4544" t="s">
        <v>771</v>
      </c>
      <c r="D4544">
        <v>0.38</v>
      </c>
      <c r="E4544" t="s">
        <v>7</v>
      </c>
      <c r="F4544" t="s">
        <v>772</v>
      </c>
      <c r="G4544" t="s">
        <v>3910</v>
      </c>
      <c r="H4544" t="s">
        <v>4516</v>
      </c>
      <c r="I4544" s="28" t="s">
        <v>24</v>
      </c>
    </row>
    <row r="4545" spans="1:9" x14ac:dyDescent="0.3">
      <c r="A4545" s="26">
        <v>45348</v>
      </c>
      <c r="B4545" t="s">
        <v>21</v>
      </c>
      <c r="C4545" t="s">
        <v>771</v>
      </c>
      <c r="D4545">
        <v>0.38</v>
      </c>
      <c r="E4545" t="s">
        <v>7</v>
      </c>
      <c r="F4545" t="s">
        <v>772</v>
      </c>
      <c r="G4545" t="s">
        <v>3911</v>
      </c>
      <c r="H4545" t="s">
        <v>4516</v>
      </c>
      <c r="I4545" s="28" t="s">
        <v>24</v>
      </c>
    </row>
    <row r="4546" spans="1:9" x14ac:dyDescent="0.3">
      <c r="A4546" s="26">
        <v>45348</v>
      </c>
      <c r="B4546" t="s">
        <v>21</v>
      </c>
      <c r="C4546" t="s">
        <v>771</v>
      </c>
      <c r="D4546">
        <v>0.43</v>
      </c>
      <c r="E4546" t="s">
        <v>7</v>
      </c>
      <c r="F4546" t="s">
        <v>772</v>
      </c>
      <c r="G4546" t="s">
        <v>3912</v>
      </c>
      <c r="H4546" t="s">
        <v>4516</v>
      </c>
      <c r="I4546" s="28" t="s">
        <v>24</v>
      </c>
    </row>
    <row r="4547" spans="1:9" x14ac:dyDescent="0.3">
      <c r="A4547" s="26">
        <v>45348</v>
      </c>
      <c r="B4547" t="s">
        <v>21</v>
      </c>
      <c r="C4547" t="s">
        <v>771</v>
      </c>
      <c r="D4547">
        <v>0.63</v>
      </c>
      <c r="E4547" t="s">
        <v>7</v>
      </c>
      <c r="F4547" t="s">
        <v>772</v>
      </c>
      <c r="G4547" t="s">
        <v>3913</v>
      </c>
      <c r="H4547" t="s">
        <v>4516</v>
      </c>
      <c r="I4547" s="28" t="s">
        <v>24</v>
      </c>
    </row>
    <row r="4548" spans="1:9" x14ac:dyDescent="0.3">
      <c r="A4548" s="26">
        <v>45348</v>
      </c>
      <c r="B4548" t="s">
        <v>21</v>
      </c>
      <c r="C4548" t="s">
        <v>771</v>
      </c>
      <c r="D4548">
        <v>0.68</v>
      </c>
      <c r="E4548" t="s">
        <v>7</v>
      </c>
      <c r="F4548" t="s">
        <v>772</v>
      </c>
      <c r="G4548" t="s">
        <v>3914</v>
      </c>
      <c r="H4548" t="s">
        <v>4516</v>
      </c>
      <c r="I4548" s="28" t="s">
        <v>24</v>
      </c>
    </row>
    <row r="4549" spans="1:9" x14ac:dyDescent="0.3">
      <c r="A4549" s="26">
        <v>45348</v>
      </c>
      <c r="B4549" t="s">
        <v>21</v>
      </c>
      <c r="C4549" t="s">
        <v>771</v>
      </c>
      <c r="D4549">
        <v>0.87</v>
      </c>
      <c r="E4549" t="s">
        <v>7</v>
      </c>
      <c r="F4549" t="s">
        <v>772</v>
      </c>
      <c r="G4549" t="s">
        <v>3915</v>
      </c>
      <c r="H4549" t="s">
        <v>4516</v>
      </c>
      <c r="I4549" s="28" t="s">
        <v>24</v>
      </c>
    </row>
    <row r="4550" spans="1:9" x14ac:dyDescent="0.3">
      <c r="A4550" s="26">
        <v>45348</v>
      </c>
      <c r="B4550" t="s">
        <v>21</v>
      </c>
      <c r="C4550" t="s">
        <v>771</v>
      </c>
      <c r="D4550">
        <v>1.25</v>
      </c>
      <c r="E4550" t="s">
        <v>7</v>
      </c>
      <c r="F4550" t="s">
        <v>772</v>
      </c>
      <c r="G4550" t="s">
        <v>3916</v>
      </c>
      <c r="H4550" t="s">
        <v>4516</v>
      </c>
      <c r="I4550" s="28" t="s">
        <v>24</v>
      </c>
    </row>
    <row r="4551" spans="1:9" x14ac:dyDescent="0.3">
      <c r="A4551" s="26">
        <v>45348</v>
      </c>
      <c r="B4551" t="s">
        <v>785</v>
      </c>
      <c r="C4551" t="s">
        <v>786</v>
      </c>
      <c r="D4551">
        <v>8</v>
      </c>
      <c r="E4551" t="s">
        <v>7</v>
      </c>
      <c r="F4551" t="s">
        <v>772</v>
      </c>
      <c r="G4551" t="s">
        <v>3917</v>
      </c>
      <c r="H4551" t="s">
        <v>4516</v>
      </c>
      <c r="I4551" s="28" t="s">
        <v>24</v>
      </c>
    </row>
    <row r="4552" spans="1:9" x14ac:dyDescent="0.3">
      <c r="A4552" s="26">
        <v>45348</v>
      </c>
      <c r="B4552" t="s">
        <v>788</v>
      </c>
      <c r="C4552" t="s">
        <v>786</v>
      </c>
      <c r="D4552">
        <v>7</v>
      </c>
      <c r="E4552" t="s">
        <v>7</v>
      </c>
      <c r="F4552" t="s">
        <v>772</v>
      </c>
      <c r="H4552" t="s">
        <v>4516</v>
      </c>
      <c r="I4552" s="28" t="s">
        <v>24</v>
      </c>
    </row>
    <row r="4553" spans="1:9" x14ac:dyDescent="0.3">
      <c r="A4553" s="26">
        <v>45348</v>
      </c>
      <c r="B4553" t="s">
        <v>792</v>
      </c>
      <c r="C4553" t="s">
        <v>753</v>
      </c>
      <c r="D4553">
        <v>1.4</v>
      </c>
      <c r="E4553" t="s">
        <v>790</v>
      </c>
      <c r="F4553" t="s">
        <v>754</v>
      </c>
      <c r="G4553" t="s">
        <v>3918</v>
      </c>
      <c r="H4553" t="s">
        <v>4516</v>
      </c>
      <c r="I4553" s="28" t="s">
        <v>24</v>
      </c>
    </row>
    <row r="4554" spans="1:9" x14ac:dyDescent="0.3">
      <c r="A4554" s="26">
        <v>45348</v>
      </c>
      <c r="B4554" t="s">
        <v>792</v>
      </c>
      <c r="C4554" t="s">
        <v>753</v>
      </c>
      <c r="D4554">
        <v>1.88</v>
      </c>
      <c r="E4554" t="s">
        <v>790</v>
      </c>
      <c r="F4554" t="s">
        <v>754</v>
      </c>
      <c r="G4554" t="s">
        <v>793</v>
      </c>
      <c r="H4554" t="s">
        <v>4516</v>
      </c>
      <c r="I4554" s="28" t="s">
        <v>24</v>
      </c>
    </row>
    <row r="4555" spans="1:9" x14ac:dyDescent="0.3">
      <c r="A4555" s="26">
        <v>45348</v>
      </c>
      <c r="B4555" t="s">
        <v>792</v>
      </c>
      <c r="C4555" t="s">
        <v>753</v>
      </c>
      <c r="D4555">
        <v>5.22</v>
      </c>
      <c r="E4555" t="s">
        <v>790</v>
      </c>
      <c r="F4555" t="s">
        <v>754</v>
      </c>
      <c r="G4555" t="s">
        <v>3919</v>
      </c>
      <c r="H4555" t="s">
        <v>4516</v>
      </c>
      <c r="I4555" s="28" t="s">
        <v>24</v>
      </c>
    </row>
    <row r="4556" spans="1:9" x14ac:dyDescent="0.3">
      <c r="A4556" s="26">
        <v>45348</v>
      </c>
      <c r="B4556" t="s">
        <v>801</v>
      </c>
      <c r="C4556" t="s">
        <v>802</v>
      </c>
      <c r="D4556">
        <v>11.73</v>
      </c>
      <c r="E4556" t="s">
        <v>7</v>
      </c>
      <c r="F4556" t="s">
        <v>772</v>
      </c>
      <c r="H4556" t="s">
        <v>4516</v>
      </c>
      <c r="I4556" s="28" t="s">
        <v>24</v>
      </c>
    </row>
    <row r="4557" spans="1:9" x14ac:dyDescent="0.3">
      <c r="A4557" s="26">
        <v>45348</v>
      </c>
      <c r="B4557" t="s">
        <v>803</v>
      </c>
      <c r="C4557" t="s">
        <v>804</v>
      </c>
      <c r="D4557">
        <v>0.02</v>
      </c>
      <c r="E4557" t="s">
        <v>3920</v>
      </c>
      <c r="F4557" t="s">
        <v>772</v>
      </c>
      <c r="H4557" t="s">
        <v>4516</v>
      </c>
      <c r="I4557" s="28" t="s">
        <v>24</v>
      </c>
    </row>
    <row r="4558" spans="1:9" x14ac:dyDescent="0.3">
      <c r="A4558" s="26">
        <v>45348</v>
      </c>
      <c r="B4558" t="s">
        <v>806</v>
      </c>
      <c r="C4558" t="s">
        <v>802</v>
      </c>
      <c r="D4558">
        <v>3</v>
      </c>
      <c r="E4558" t="s">
        <v>7</v>
      </c>
      <c r="F4558" t="s">
        <v>772</v>
      </c>
      <c r="G4558" t="s">
        <v>3921</v>
      </c>
      <c r="H4558" t="s">
        <v>4516</v>
      </c>
      <c r="I4558" s="28" t="s">
        <v>24</v>
      </c>
    </row>
    <row r="4559" spans="1:9" x14ac:dyDescent="0.3">
      <c r="A4559" s="26">
        <v>45348</v>
      </c>
      <c r="B4559" t="s">
        <v>808</v>
      </c>
      <c r="C4559" t="s">
        <v>802</v>
      </c>
      <c r="D4559">
        <v>9.27</v>
      </c>
      <c r="E4559" t="s">
        <v>7</v>
      </c>
      <c r="F4559" t="s">
        <v>772</v>
      </c>
      <c r="G4559" t="s">
        <v>3922</v>
      </c>
      <c r="H4559" t="s">
        <v>4516</v>
      </c>
      <c r="I4559" s="28" t="s">
        <v>24</v>
      </c>
    </row>
    <row r="4560" spans="1:9" x14ac:dyDescent="0.3">
      <c r="A4560" s="26">
        <v>45348</v>
      </c>
      <c r="B4560" t="s">
        <v>810</v>
      </c>
      <c r="C4560" t="s">
        <v>957</v>
      </c>
      <c r="D4560">
        <v>8</v>
      </c>
      <c r="E4560" t="s">
        <v>7</v>
      </c>
      <c r="F4560" t="s">
        <v>772</v>
      </c>
      <c r="G4560" t="s">
        <v>3923</v>
      </c>
      <c r="H4560" t="s">
        <v>4516</v>
      </c>
      <c r="I4560" s="28" t="s">
        <v>24</v>
      </c>
    </row>
    <row r="4561" spans="1:9" x14ac:dyDescent="0.3">
      <c r="A4561" s="26">
        <v>45348</v>
      </c>
      <c r="B4561" t="s">
        <v>225</v>
      </c>
      <c r="C4561" t="s">
        <v>821</v>
      </c>
      <c r="D4561">
        <v>2.5</v>
      </c>
      <c r="E4561" t="s">
        <v>630</v>
      </c>
      <c r="F4561" t="s">
        <v>754</v>
      </c>
      <c r="G4561" t="s">
        <v>3924</v>
      </c>
      <c r="H4561" t="s">
        <v>4516</v>
      </c>
      <c r="I4561" s="28" t="s">
        <v>24</v>
      </c>
    </row>
    <row r="4562" spans="1:9" x14ac:dyDescent="0.3">
      <c r="A4562" s="26">
        <v>45348</v>
      </c>
      <c r="B4562" t="s">
        <v>225</v>
      </c>
      <c r="C4562" t="s">
        <v>823</v>
      </c>
      <c r="D4562">
        <v>0.25</v>
      </c>
      <c r="E4562" t="s">
        <v>602</v>
      </c>
      <c r="F4562" t="s">
        <v>754</v>
      </c>
      <c r="G4562" t="s">
        <v>3925</v>
      </c>
      <c r="H4562" t="s">
        <v>4516</v>
      </c>
      <c r="I4562" s="28" t="s">
        <v>24</v>
      </c>
    </row>
    <row r="4563" spans="1:9" x14ac:dyDescent="0.3">
      <c r="A4563" s="26">
        <v>45348</v>
      </c>
      <c r="B4563" t="s">
        <v>829</v>
      </c>
      <c r="C4563" t="s">
        <v>753</v>
      </c>
      <c r="D4563">
        <v>0.38</v>
      </c>
      <c r="E4563" t="s">
        <v>375</v>
      </c>
      <c r="F4563" t="s">
        <v>754</v>
      </c>
      <c r="G4563" t="s">
        <v>3926</v>
      </c>
      <c r="H4563" t="s">
        <v>4516</v>
      </c>
      <c r="I4563" s="28" t="s">
        <v>24</v>
      </c>
    </row>
    <row r="4564" spans="1:9" x14ac:dyDescent="0.3">
      <c r="A4564" s="26">
        <v>45348</v>
      </c>
      <c r="B4564" t="s">
        <v>829</v>
      </c>
      <c r="C4564" t="s">
        <v>771</v>
      </c>
      <c r="D4564">
        <v>0.25</v>
      </c>
      <c r="E4564" t="s">
        <v>7</v>
      </c>
      <c r="F4564" t="s">
        <v>772</v>
      </c>
      <c r="G4564" t="s">
        <v>781</v>
      </c>
      <c r="H4564" t="s">
        <v>4516</v>
      </c>
      <c r="I4564" s="28" t="s">
        <v>24</v>
      </c>
    </row>
    <row r="4565" spans="1:9" x14ac:dyDescent="0.3">
      <c r="A4565" s="26">
        <v>45348</v>
      </c>
      <c r="B4565" t="s">
        <v>829</v>
      </c>
      <c r="C4565" t="s">
        <v>771</v>
      </c>
      <c r="D4565">
        <v>0.55000000000000004</v>
      </c>
      <c r="E4565" t="s">
        <v>7</v>
      </c>
      <c r="F4565" t="s">
        <v>772</v>
      </c>
      <c r="G4565" t="s">
        <v>3927</v>
      </c>
      <c r="H4565" t="s">
        <v>4516</v>
      </c>
      <c r="I4565" s="28" t="s">
        <v>24</v>
      </c>
    </row>
    <row r="4566" spans="1:9" x14ac:dyDescent="0.3">
      <c r="A4566" s="26">
        <v>45348</v>
      </c>
      <c r="B4566" t="s">
        <v>829</v>
      </c>
      <c r="C4566" t="s">
        <v>835</v>
      </c>
      <c r="D4566">
        <v>1.8</v>
      </c>
      <c r="E4566" t="s">
        <v>857</v>
      </c>
      <c r="F4566" t="s">
        <v>754</v>
      </c>
      <c r="G4566" t="s">
        <v>3928</v>
      </c>
      <c r="H4566" t="s">
        <v>4516</v>
      </c>
      <c r="I4566" s="28" t="s">
        <v>24</v>
      </c>
    </row>
    <row r="4567" spans="1:9" x14ac:dyDescent="0.3">
      <c r="A4567" s="26">
        <v>45348</v>
      </c>
      <c r="B4567" t="s">
        <v>829</v>
      </c>
      <c r="C4567" t="s">
        <v>776</v>
      </c>
      <c r="D4567">
        <v>1.02</v>
      </c>
      <c r="E4567" t="s">
        <v>259</v>
      </c>
      <c r="F4567" t="s">
        <v>754</v>
      </c>
      <c r="G4567" t="s">
        <v>838</v>
      </c>
      <c r="H4567" t="s">
        <v>4516</v>
      </c>
      <c r="I4567" s="28" t="s">
        <v>24</v>
      </c>
    </row>
    <row r="4568" spans="1:9" x14ac:dyDescent="0.3">
      <c r="A4568" s="26">
        <v>45348</v>
      </c>
      <c r="B4568" t="s">
        <v>829</v>
      </c>
      <c r="C4568" t="s">
        <v>784</v>
      </c>
      <c r="D4568">
        <v>4</v>
      </c>
      <c r="E4568" t="s">
        <v>7</v>
      </c>
      <c r="F4568" t="s">
        <v>772</v>
      </c>
      <c r="G4568" t="s">
        <v>3929</v>
      </c>
      <c r="H4568" t="s">
        <v>4516</v>
      </c>
      <c r="I4568" s="28" t="s">
        <v>24</v>
      </c>
    </row>
    <row r="4569" spans="1:9" x14ac:dyDescent="0.3">
      <c r="A4569" s="26">
        <v>45348</v>
      </c>
      <c r="B4569" t="s">
        <v>840</v>
      </c>
      <c r="C4569" t="s">
        <v>771</v>
      </c>
      <c r="D4569">
        <v>10.35</v>
      </c>
      <c r="E4569" t="s">
        <v>7</v>
      </c>
      <c r="F4569" t="s">
        <v>772</v>
      </c>
      <c r="G4569" t="e">
        <f>- Emails to TLs for Zoho project. - Calendar invites to the team. - Booked Air BnB for the team. - Arranged Office access cards transfer. - Arranged the small Meeting room requirement. - ASIC - ATO</f>
        <v>#NAME?</v>
      </c>
      <c r="H4569" t="s">
        <v>4516</v>
      </c>
      <c r="I4569" s="28" t="s">
        <v>24</v>
      </c>
    </row>
    <row r="4570" spans="1:9" x14ac:dyDescent="0.3">
      <c r="A4570" s="26">
        <v>45348</v>
      </c>
      <c r="B4570" t="s">
        <v>843</v>
      </c>
      <c r="C4570" t="s">
        <v>753</v>
      </c>
      <c r="D4570">
        <v>0.6</v>
      </c>
      <c r="E4570" t="s">
        <v>170</v>
      </c>
      <c r="F4570" t="s">
        <v>772</v>
      </c>
      <c r="G4570" t="s">
        <v>3930</v>
      </c>
      <c r="H4570" t="s">
        <v>4516</v>
      </c>
      <c r="I4570" s="28" t="s">
        <v>24</v>
      </c>
    </row>
    <row r="4571" spans="1:9" x14ac:dyDescent="0.3">
      <c r="A4571" s="26">
        <v>45348</v>
      </c>
      <c r="B4571" t="s">
        <v>843</v>
      </c>
      <c r="C4571" t="s">
        <v>753</v>
      </c>
      <c r="D4571">
        <v>0.77</v>
      </c>
      <c r="E4571" t="s">
        <v>234</v>
      </c>
      <c r="F4571" t="s">
        <v>754</v>
      </c>
      <c r="G4571" t="s">
        <v>3931</v>
      </c>
      <c r="H4571" t="s">
        <v>4516</v>
      </c>
      <c r="I4571" s="28" t="s">
        <v>24</v>
      </c>
    </row>
    <row r="4572" spans="1:9" x14ac:dyDescent="0.3">
      <c r="A4572" s="26">
        <v>45348</v>
      </c>
      <c r="B4572" t="s">
        <v>843</v>
      </c>
      <c r="C4572" t="s">
        <v>753</v>
      </c>
      <c r="D4572">
        <v>0.85</v>
      </c>
      <c r="E4572" t="s">
        <v>845</v>
      </c>
      <c r="F4572" t="s">
        <v>754</v>
      </c>
      <c r="G4572" t="s">
        <v>3932</v>
      </c>
      <c r="H4572" t="s">
        <v>4516</v>
      </c>
      <c r="I4572" s="28" t="s">
        <v>24</v>
      </c>
    </row>
    <row r="4573" spans="1:9" x14ac:dyDescent="0.3">
      <c r="A4573" s="26">
        <v>45348</v>
      </c>
      <c r="B4573" t="s">
        <v>843</v>
      </c>
      <c r="C4573" t="s">
        <v>753</v>
      </c>
      <c r="D4573">
        <v>2.13</v>
      </c>
      <c r="E4573" t="s">
        <v>628</v>
      </c>
      <c r="F4573" t="s">
        <v>754</v>
      </c>
      <c r="G4573" t="s">
        <v>3933</v>
      </c>
      <c r="H4573" t="s">
        <v>4516</v>
      </c>
      <c r="I4573" s="28" t="s">
        <v>24</v>
      </c>
    </row>
    <row r="4574" spans="1:9" x14ac:dyDescent="0.3">
      <c r="A4574" s="26">
        <v>45348</v>
      </c>
      <c r="B4574" t="s">
        <v>843</v>
      </c>
      <c r="C4574" t="s">
        <v>753</v>
      </c>
      <c r="D4574">
        <v>2.4700000000000002</v>
      </c>
      <c r="E4574" t="s">
        <v>690</v>
      </c>
      <c r="F4574" t="s">
        <v>754</v>
      </c>
      <c r="G4574" t="s">
        <v>2278</v>
      </c>
      <c r="H4574" t="s">
        <v>4516</v>
      </c>
      <c r="I4574" s="28" t="s">
        <v>24</v>
      </c>
    </row>
    <row r="4575" spans="1:9" x14ac:dyDescent="0.3">
      <c r="A4575" s="26">
        <v>45348</v>
      </c>
      <c r="B4575" t="s">
        <v>843</v>
      </c>
      <c r="C4575" t="s">
        <v>853</v>
      </c>
      <c r="D4575">
        <v>0.68</v>
      </c>
      <c r="E4575" t="s">
        <v>259</v>
      </c>
      <c r="F4575" t="s">
        <v>754</v>
      </c>
      <c r="G4575" t="s">
        <v>2278</v>
      </c>
      <c r="H4575" t="s">
        <v>4516</v>
      </c>
      <c r="I4575" s="28" t="s">
        <v>24</v>
      </c>
    </row>
    <row r="4576" spans="1:9" x14ac:dyDescent="0.3">
      <c r="A4576" s="26">
        <v>45348</v>
      </c>
      <c r="B4576" t="s">
        <v>843</v>
      </c>
      <c r="C4576" t="s">
        <v>771</v>
      </c>
      <c r="D4576">
        <v>0.5</v>
      </c>
      <c r="E4576" t="s">
        <v>7</v>
      </c>
      <c r="F4576" t="s">
        <v>772</v>
      </c>
      <c r="G4576" t="s">
        <v>781</v>
      </c>
      <c r="H4576" t="s">
        <v>4516</v>
      </c>
      <c r="I4576" s="28" t="s">
        <v>24</v>
      </c>
    </row>
    <row r="4577" spans="1:9" x14ac:dyDescent="0.3">
      <c r="A4577" s="26">
        <v>45348</v>
      </c>
      <c r="B4577" t="s">
        <v>856</v>
      </c>
      <c r="C4577" t="s">
        <v>753</v>
      </c>
      <c r="D4577">
        <v>0.73</v>
      </c>
      <c r="E4577" t="s">
        <v>226</v>
      </c>
      <c r="F4577" t="s">
        <v>754</v>
      </c>
      <c r="G4577" t="s">
        <v>1990</v>
      </c>
      <c r="H4577" t="s">
        <v>4516</v>
      </c>
      <c r="I4577" s="28" t="s">
        <v>24</v>
      </c>
    </row>
    <row r="4578" spans="1:9" x14ac:dyDescent="0.3">
      <c r="A4578" s="26">
        <v>45348</v>
      </c>
      <c r="B4578" t="s">
        <v>856</v>
      </c>
      <c r="C4578" t="s">
        <v>753</v>
      </c>
      <c r="D4578">
        <v>0.75</v>
      </c>
      <c r="E4578" t="s">
        <v>173</v>
      </c>
      <c r="F4578" t="s">
        <v>754</v>
      </c>
      <c r="G4578" t="s">
        <v>3934</v>
      </c>
      <c r="H4578" t="s">
        <v>4516</v>
      </c>
      <c r="I4578" s="28" t="s">
        <v>24</v>
      </c>
    </row>
    <row r="4579" spans="1:9" x14ac:dyDescent="0.3">
      <c r="A4579" s="26">
        <v>45348</v>
      </c>
      <c r="B4579" t="s">
        <v>856</v>
      </c>
      <c r="C4579" t="s">
        <v>753</v>
      </c>
      <c r="D4579">
        <v>1.48</v>
      </c>
      <c r="E4579" t="s">
        <v>173</v>
      </c>
      <c r="F4579" t="s">
        <v>754</v>
      </c>
      <c r="G4579" t="s">
        <v>3664</v>
      </c>
      <c r="H4579" t="s">
        <v>4516</v>
      </c>
      <c r="I4579" s="28" t="s">
        <v>24</v>
      </c>
    </row>
    <row r="4580" spans="1:9" x14ac:dyDescent="0.3">
      <c r="A4580" s="26">
        <v>45348</v>
      </c>
      <c r="B4580" t="s">
        <v>856</v>
      </c>
      <c r="C4580" t="s">
        <v>753</v>
      </c>
      <c r="D4580">
        <v>3.38</v>
      </c>
      <c r="E4580" t="s">
        <v>226</v>
      </c>
      <c r="F4580" t="s">
        <v>754</v>
      </c>
      <c r="G4580" t="s">
        <v>3662</v>
      </c>
      <c r="H4580" t="s">
        <v>4516</v>
      </c>
      <c r="I4580" s="28" t="s">
        <v>24</v>
      </c>
    </row>
    <row r="4581" spans="1:9" x14ac:dyDescent="0.3">
      <c r="A4581" s="26">
        <v>45348</v>
      </c>
      <c r="B4581" t="s">
        <v>856</v>
      </c>
      <c r="C4581" t="s">
        <v>789</v>
      </c>
      <c r="D4581">
        <v>0.27</v>
      </c>
      <c r="E4581" t="s">
        <v>879</v>
      </c>
      <c r="F4581" t="s">
        <v>772</v>
      </c>
      <c r="G4581" t="s">
        <v>3935</v>
      </c>
      <c r="H4581" t="s">
        <v>4516</v>
      </c>
      <c r="I4581" s="28" t="s">
        <v>24</v>
      </c>
    </row>
    <row r="4582" spans="1:9" x14ac:dyDescent="0.3">
      <c r="A4582" s="26">
        <v>45348</v>
      </c>
      <c r="B4582" t="s">
        <v>856</v>
      </c>
      <c r="C4582" t="s">
        <v>771</v>
      </c>
      <c r="D4582">
        <v>0.1</v>
      </c>
      <c r="E4582" t="s">
        <v>7</v>
      </c>
      <c r="F4582" t="s">
        <v>772</v>
      </c>
      <c r="G4582" t="s">
        <v>3936</v>
      </c>
      <c r="H4582" t="s">
        <v>4516</v>
      </c>
      <c r="I4582" s="28" t="s">
        <v>24</v>
      </c>
    </row>
    <row r="4583" spans="1:9" x14ac:dyDescent="0.3">
      <c r="A4583" s="26">
        <v>45348</v>
      </c>
      <c r="B4583" t="s">
        <v>856</v>
      </c>
      <c r="C4583" t="s">
        <v>835</v>
      </c>
      <c r="D4583">
        <v>1.52</v>
      </c>
      <c r="E4583" t="s">
        <v>857</v>
      </c>
      <c r="F4583" t="s">
        <v>754</v>
      </c>
      <c r="G4583" t="s">
        <v>1780</v>
      </c>
      <c r="H4583" t="s">
        <v>4516</v>
      </c>
      <c r="I4583" s="28" t="s">
        <v>24</v>
      </c>
    </row>
    <row r="4584" spans="1:9" x14ac:dyDescent="0.3">
      <c r="A4584" s="26">
        <v>45348</v>
      </c>
      <c r="B4584" t="s">
        <v>856</v>
      </c>
      <c r="C4584" t="s">
        <v>776</v>
      </c>
      <c r="D4584">
        <v>0.22</v>
      </c>
      <c r="E4584" t="s">
        <v>879</v>
      </c>
      <c r="F4584" t="s">
        <v>754</v>
      </c>
      <c r="G4584" t="s">
        <v>3937</v>
      </c>
      <c r="H4584" t="s">
        <v>4516</v>
      </c>
      <c r="I4584" s="28" t="s">
        <v>24</v>
      </c>
    </row>
    <row r="4585" spans="1:9" x14ac:dyDescent="0.3">
      <c r="A4585" s="26">
        <v>45348</v>
      </c>
      <c r="B4585" t="s">
        <v>33</v>
      </c>
      <c r="C4585" t="s">
        <v>753</v>
      </c>
      <c r="D4585">
        <v>6.45</v>
      </c>
      <c r="E4585" t="s">
        <v>817</v>
      </c>
      <c r="F4585" t="s">
        <v>754</v>
      </c>
      <c r="H4585" t="s">
        <v>4516</v>
      </c>
      <c r="I4585" s="28" t="s">
        <v>24</v>
      </c>
    </row>
    <row r="4586" spans="1:9" x14ac:dyDescent="0.3">
      <c r="A4586" s="26">
        <v>45348</v>
      </c>
      <c r="B4586" t="s">
        <v>33</v>
      </c>
      <c r="C4586" t="s">
        <v>771</v>
      </c>
      <c r="D4586">
        <v>0.48</v>
      </c>
      <c r="E4586" t="s">
        <v>7</v>
      </c>
      <c r="F4586" t="s">
        <v>772</v>
      </c>
      <c r="G4586" t="s">
        <v>3938</v>
      </c>
      <c r="H4586" t="s">
        <v>4516</v>
      </c>
      <c r="I4586" s="28" t="s">
        <v>24</v>
      </c>
    </row>
    <row r="4587" spans="1:9" x14ac:dyDescent="0.3">
      <c r="A4587" s="26">
        <v>45348</v>
      </c>
      <c r="B4587" t="s">
        <v>33</v>
      </c>
      <c r="C4587" t="s">
        <v>771</v>
      </c>
      <c r="D4587">
        <v>1.1499999999999999</v>
      </c>
      <c r="E4587" t="s">
        <v>7</v>
      </c>
      <c r="F4587" t="s">
        <v>772</v>
      </c>
      <c r="G4587" t="s">
        <v>3939</v>
      </c>
      <c r="H4587" t="s">
        <v>4516</v>
      </c>
      <c r="I4587" s="28" t="s">
        <v>24</v>
      </c>
    </row>
    <row r="4588" spans="1:9" x14ac:dyDescent="0.3">
      <c r="A4588" s="26">
        <v>45348</v>
      </c>
      <c r="B4588" t="s">
        <v>876</v>
      </c>
      <c r="C4588" t="s">
        <v>753</v>
      </c>
      <c r="D4588">
        <v>4.8499999999999996</v>
      </c>
      <c r="E4588" t="s">
        <v>11</v>
      </c>
      <c r="F4588" t="s">
        <v>754</v>
      </c>
      <c r="H4588" t="s">
        <v>4516</v>
      </c>
      <c r="I4588" s="28" t="s">
        <v>24</v>
      </c>
    </row>
    <row r="4589" spans="1:9" x14ac:dyDescent="0.3">
      <c r="A4589" s="26">
        <v>45348</v>
      </c>
      <c r="B4589" t="s">
        <v>876</v>
      </c>
      <c r="C4589" t="s">
        <v>771</v>
      </c>
      <c r="D4589">
        <v>0.2</v>
      </c>
      <c r="E4589" t="s">
        <v>7</v>
      </c>
      <c r="F4589" t="s">
        <v>772</v>
      </c>
      <c r="G4589" t="s">
        <v>760</v>
      </c>
      <c r="H4589" t="s">
        <v>4516</v>
      </c>
      <c r="I4589" s="28" t="s">
        <v>24</v>
      </c>
    </row>
    <row r="4590" spans="1:9" x14ac:dyDescent="0.3">
      <c r="A4590" s="26">
        <v>45348</v>
      </c>
      <c r="B4590" t="s">
        <v>876</v>
      </c>
      <c r="C4590" t="s">
        <v>776</v>
      </c>
      <c r="D4590">
        <v>2.95</v>
      </c>
      <c r="E4590" t="s">
        <v>151</v>
      </c>
      <c r="F4590" t="s">
        <v>754</v>
      </c>
      <c r="H4590" t="s">
        <v>4516</v>
      </c>
      <c r="I4590" s="28" t="s">
        <v>24</v>
      </c>
    </row>
    <row r="4591" spans="1:9" x14ac:dyDescent="0.3">
      <c r="A4591" s="26">
        <v>45348</v>
      </c>
      <c r="B4591" t="s">
        <v>877</v>
      </c>
      <c r="C4591" t="s">
        <v>878</v>
      </c>
      <c r="D4591">
        <v>0.5</v>
      </c>
      <c r="E4591" t="s">
        <v>879</v>
      </c>
      <c r="F4591" t="s">
        <v>754</v>
      </c>
      <c r="G4591" t="s">
        <v>3940</v>
      </c>
      <c r="H4591" t="s">
        <v>4516</v>
      </c>
      <c r="I4591" s="28" t="s">
        <v>24</v>
      </c>
    </row>
    <row r="4592" spans="1:9" x14ac:dyDescent="0.3">
      <c r="A4592" s="26">
        <v>45348</v>
      </c>
      <c r="B4592" t="s">
        <v>877</v>
      </c>
      <c r="C4592" t="s">
        <v>878</v>
      </c>
      <c r="D4592">
        <v>8.83</v>
      </c>
      <c r="E4592" t="s">
        <v>879</v>
      </c>
      <c r="F4592" t="s">
        <v>754</v>
      </c>
      <c r="G4592" t="s">
        <v>3941</v>
      </c>
      <c r="H4592" t="s">
        <v>4516</v>
      </c>
      <c r="I4592" s="28" t="s">
        <v>24</v>
      </c>
    </row>
    <row r="4593" spans="1:9" x14ac:dyDescent="0.3">
      <c r="A4593" s="26">
        <v>45348</v>
      </c>
      <c r="B4593" t="s">
        <v>884</v>
      </c>
      <c r="C4593" t="s">
        <v>753</v>
      </c>
      <c r="D4593">
        <v>0.33</v>
      </c>
      <c r="E4593" t="s">
        <v>885</v>
      </c>
      <c r="F4593" t="s">
        <v>754</v>
      </c>
      <c r="G4593" t="s">
        <v>3005</v>
      </c>
      <c r="H4593" t="s">
        <v>4516</v>
      </c>
      <c r="I4593" s="28" t="s">
        <v>24</v>
      </c>
    </row>
    <row r="4594" spans="1:9" x14ac:dyDescent="0.3">
      <c r="A4594" s="26">
        <v>45348</v>
      </c>
      <c r="B4594" t="s">
        <v>884</v>
      </c>
      <c r="C4594" t="s">
        <v>753</v>
      </c>
      <c r="D4594">
        <v>0.4</v>
      </c>
      <c r="E4594" t="s">
        <v>316</v>
      </c>
      <c r="F4594" t="s">
        <v>754</v>
      </c>
      <c r="G4594" t="s">
        <v>3942</v>
      </c>
      <c r="H4594" t="s">
        <v>4516</v>
      </c>
      <c r="I4594" s="28" t="s">
        <v>24</v>
      </c>
    </row>
    <row r="4595" spans="1:9" x14ac:dyDescent="0.3">
      <c r="A4595" s="26">
        <v>45348</v>
      </c>
      <c r="B4595" t="s">
        <v>884</v>
      </c>
      <c r="C4595" t="s">
        <v>753</v>
      </c>
      <c r="D4595">
        <v>0.42</v>
      </c>
      <c r="E4595" t="s">
        <v>562</v>
      </c>
      <c r="F4595" t="s">
        <v>754</v>
      </c>
      <c r="G4595" t="s">
        <v>3943</v>
      </c>
      <c r="H4595" t="s">
        <v>4516</v>
      </c>
      <c r="I4595" s="28" t="s">
        <v>24</v>
      </c>
    </row>
    <row r="4596" spans="1:9" x14ac:dyDescent="0.3">
      <c r="A4596" s="26">
        <v>45348</v>
      </c>
      <c r="B4596" t="s">
        <v>884</v>
      </c>
      <c r="C4596" t="s">
        <v>753</v>
      </c>
      <c r="D4596">
        <v>0.52</v>
      </c>
      <c r="E4596" t="s">
        <v>288</v>
      </c>
      <c r="F4596" t="s">
        <v>754</v>
      </c>
      <c r="G4596" t="s">
        <v>3944</v>
      </c>
      <c r="H4596" t="s">
        <v>4516</v>
      </c>
      <c r="I4596" s="28" t="s">
        <v>24</v>
      </c>
    </row>
    <row r="4597" spans="1:9" x14ac:dyDescent="0.3">
      <c r="A4597" s="26">
        <v>45348</v>
      </c>
      <c r="B4597" t="s">
        <v>884</v>
      </c>
      <c r="C4597" t="s">
        <v>753</v>
      </c>
      <c r="D4597">
        <v>0.56999999999999995</v>
      </c>
      <c r="E4597" t="s">
        <v>248</v>
      </c>
      <c r="F4597" t="s">
        <v>754</v>
      </c>
      <c r="G4597" t="s">
        <v>3945</v>
      </c>
      <c r="H4597" t="s">
        <v>4516</v>
      </c>
      <c r="I4597" s="28" t="s">
        <v>24</v>
      </c>
    </row>
    <row r="4598" spans="1:9" x14ac:dyDescent="0.3">
      <c r="A4598" s="26">
        <v>45348</v>
      </c>
      <c r="B4598" t="s">
        <v>884</v>
      </c>
      <c r="C4598" t="s">
        <v>753</v>
      </c>
      <c r="D4598">
        <v>0.6</v>
      </c>
      <c r="E4598" t="s">
        <v>288</v>
      </c>
      <c r="F4598" t="s">
        <v>754</v>
      </c>
      <c r="G4598" t="s">
        <v>3946</v>
      </c>
      <c r="H4598" t="s">
        <v>4516</v>
      </c>
      <c r="I4598" s="28" t="s">
        <v>24</v>
      </c>
    </row>
    <row r="4599" spans="1:9" x14ac:dyDescent="0.3">
      <c r="A4599" s="26">
        <v>45348</v>
      </c>
      <c r="B4599" t="s">
        <v>884</v>
      </c>
      <c r="C4599" t="s">
        <v>753</v>
      </c>
      <c r="D4599">
        <v>0.77</v>
      </c>
      <c r="E4599" t="s">
        <v>375</v>
      </c>
      <c r="F4599" t="s">
        <v>754</v>
      </c>
      <c r="H4599" t="s">
        <v>4516</v>
      </c>
      <c r="I4599" s="28" t="s">
        <v>24</v>
      </c>
    </row>
    <row r="4600" spans="1:9" x14ac:dyDescent="0.3">
      <c r="A4600" s="26">
        <v>45348</v>
      </c>
      <c r="B4600" t="s">
        <v>884</v>
      </c>
      <c r="C4600" t="s">
        <v>753</v>
      </c>
      <c r="D4600">
        <v>0.87</v>
      </c>
      <c r="E4600" t="s">
        <v>375</v>
      </c>
      <c r="F4600" t="s">
        <v>754</v>
      </c>
      <c r="G4600" t="s">
        <v>3947</v>
      </c>
      <c r="H4600" t="s">
        <v>4516</v>
      </c>
      <c r="I4600" s="28" t="s">
        <v>24</v>
      </c>
    </row>
    <row r="4601" spans="1:9" x14ac:dyDescent="0.3">
      <c r="A4601" s="26">
        <v>45348</v>
      </c>
      <c r="B4601" t="s">
        <v>884</v>
      </c>
      <c r="C4601" t="s">
        <v>753</v>
      </c>
      <c r="D4601">
        <v>0.92</v>
      </c>
      <c r="E4601" t="s">
        <v>885</v>
      </c>
      <c r="F4601" t="s">
        <v>754</v>
      </c>
      <c r="G4601" t="s">
        <v>3948</v>
      </c>
      <c r="H4601" t="s">
        <v>4516</v>
      </c>
      <c r="I4601" s="28" t="s">
        <v>24</v>
      </c>
    </row>
    <row r="4602" spans="1:9" x14ac:dyDescent="0.3">
      <c r="A4602" s="26">
        <v>45348</v>
      </c>
      <c r="B4602" t="s">
        <v>884</v>
      </c>
      <c r="C4602" t="s">
        <v>753</v>
      </c>
      <c r="D4602">
        <v>1.03</v>
      </c>
      <c r="E4602" t="s">
        <v>562</v>
      </c>
      <c r="F4602" t="s">
        <v>754</v>
      </c>
      <c r="G4602" t="s">
        <v>3949</v>
      </c>
      <c r="H4602" t="s">
        <v>4516</v>
      </c>
      <c r="I4602" s="28" t="s">
        <v>24</v>
      </c>
    </row>
    <row r="4603" spans="1:9" x14ac:dyDescent="0.3">
      <c r="A4603" s="26">
        <v>45348</v>
      </c>
      <c r="B4603" t="s">
        <v>884</v>
      </c>
      <c r="C4603" t="s">
        <v>753</v>
      </c>
      <c r="D4603">
        <v>1.58</v>
      </c>
      <c r="E4603" t="s">
        <v>562</v>
      </c>
      <c r="F4603" t="s">
        <v>754</v>
      </c>
      <c r="G4603" t="s">
        <v>3950</v>
      </c>
      <c r="H4603" t="s">
        <v>4516</v>
      </c>
      <c r="I4603" s="28" t="s">
        <v>24</v>
      </c>
    </row>
    <row r="4604" spans="1:9" x14ac:dyDescent="0.3">
      <c r="A4604" s="26">
        <v>45348</v>
      </c>
      <c r="B4604" t="s">
        <v>891</v>
      </c>
      <c r="C4604" t="s">
        <v>3169</v>
      </c>
      <c r="D4604">
        <v>8</v>
      </c>
      <c r="E4604" t="s">
        <v>7</v>
      </c>
      <c r="F4604" t="s">
        <v>772</v>
      </c>
      <c r="G4604" t="s">
        <v>3951</v>
      </c>
      <c r="H4604" t="s">
        <v>4516</v>
      </c>
      <c r="I4604" s="28" t="s">
        <v>24</v>
      </c>
    </row>
    <row r="4605" spans="1:9" x14ac:dyDescent="0.3">
      <c r="A4605" s="26">
        <v>45348</v>
      </c>
      <c r="B4605" t="s">
        <v>34</v>
      </c>
      <c r="C4605" t="s">
        <v>802</v>
      </c>
      <c r="D4605">
        <v>8</v>
      </c>
      <c r="E4605" t="s">
        <v>7</v>
      </c>
      <c r="F4605" t="s">
        <v>772</v>
      </c>
      <c r="H4605" t="s">
        <v>4516</v>
      </c>
      <c r="I4605" s="28" t="s">
        <v>24</v>
      </c>
    </row>
    <row r="4606" spans="1:9" x14ac:dyDescent="0.3">
      <c r="A4606" s="26">
        <v>45348</v>
      </c>
      <c r="B4606" t="s">
        <v>893</v>
      </c>
      <c r="C4606" t="s">
        <v>802</v>
      </c>
      <c r="D4606">
        <v>8</v>
      </c>
      <c r="E4606" t="s">
        <v>7</v>
      </c>
      <c r="F4606" t="s">
        <v>772</v>
      </c>
      <c r="G4606" t="s">
        <v>3952</v>
      </c>
      <c r="H4606" t="s">
        <v>4516</v>
      </c>
      <c r="I4606" s="28" t="s">
        <v>24</v>
      </c>
    </row>
    <row r="4607" spans="1:9" x14ac:dyDescent="0.3">
      <c r="A4607" s="26">
        <v>45348</v>
      </c>
      <c r="B4607" t="s">
        <v>895</v>
      </c>
      <c r="C4607" t="s">
        <v>753</v>
      </c>
      <c r="D4607">
        <v>0.1</v>
      </c>
      <c r="E4607" t="s">
        <v>516</v>
      </c>
      <c r="F4607" t="s">
        <v>754</v>
      </c>
      <c r="G4607" t="s">
        <v>3953</v>
      </c>
      <c r="H4607" t="s">
        <v>4516</v>
      </c>
      <c r="I4607" s="28" t="s">
        <v>24</v>
      </c>
    </row>
    <row r="4608" spans="1:9" x14ac:dyDescent="0.3">
      <c r="A4608" s="26">
        <v>45348</v>
      </c>
      <c r="B4608" t="s">
        <v>895</v>
      </c>
      <c r="C4608" t="s">
        <v>753</v>
      </c>
      <c r="D4608">
        <v>0.13</v>
      </c>
      <c r="E4608" t="s">
        <v>898</v>
      </c>
      <c r="F4608" t="s">
        <v>754</v>
      </c>
      <c r="G4608" t="s">
        <v>3954</v>
      </c>
      <c r="H4608" t="s">
        <v>4516</v>
      </c>
      <c r="I4608" s="28" t="s">
        <v>24</v>
      </c>
    </row>
    <row r="4609" spans="1:9" x14ac:dyDescent="0.3">
      <c r="A4609" s="26">
        <v>45348</v>
      </c>
      <c r="B4609" t="s">
        <v>895</v>
      </c>
      <c r="C4609" t="s">
        <v>753</v>
      </c>
      <c r="D4609">
        <v>0.15</v>
      </c>
      <c r="E4609" t="s">
        <v>813</v>
      </c>
      <c r="F4609" t="s">
        <v>754</v>
      </c>
      <c r="G4609" t="s">
        <v>3955</v>
      </c>
      <c r="H4609" t="s">
        <v>4516</v>
      </c>
      <c r="I4609" s="28" t="s">
        <v>24</v>
      </c>
    </row>
    <row r="4610" spans="1:9" x14ac:dyDescent="0.3">
      <c r="A4610" s="26">
        <v>45348</v>
      </c>
      <c r="B4610" t="s">
        <v>895</v>
      </c>
      <c r="C4610" t="s">
        <v>753</v>
      </c>
      <c r="D4610">
        <v>0.15</v>
      </c>
      <c r="E4610" t="s">
        <v>898</v>
      </c>
      <c r="F4610" t="s">
        <v>754</v>
      </c>
      <c r="G4610" t="s">
        <v>3956</v>
      </c>
      <c r="H4610" t="s">
        <v>4516</v>
      </c>
      <c r="I4610" s="28" t="s">
        <v>24</v>
      </c>
    </row>
    <row r="4611" spans="1:9" x14ac:dyDescent="0.3">
      <c r="A4611" s="26">
        <v>45348</v>
      </c>
      <c r="B4611" t="s">
        <v>895</v>
      </c>
      <c r="C4611" t="s">
        <v>753</v>
      </c>
      <c r="D4611">
        <v>0.25</v>
      </c>
      <c r="E4611" t="s">
        <v>903</v>
      </c>
      <c r="F4611" t="s">
        <v>754</v>
      </c>
      <c r="G4611" t="s">
        <v>3957</v>
      </c>
      <c r="H4611" t="s">
        <v>4516</v>
      </c>
      <c r="I4611" s="28" t="s">
        <v>24</v>
      </c>
    </row>
    <row r="4612" spans="1:9" x14ac:dyDescent="0.3">
      <c r="A4612" s="26">
        <v>45348</v>
      </c>
      <c r="B4612" t="s">
        <v>895</v>
      </c>
      <c r="C4612" t="s">
        <v>753</v>
      </c>
      <c r="D4612">
        <v>0.25</v>
      </c>
      <c r="E4612" t="s">
        <v>811</v>
      </c>
      <c r="F4612" t="s">
        <v>754</v>
      </c>
      <c r="G4612" t="s">
        <v>3958</v>
      </c>
      <c r="H4612" t="s">
        <v>4516</v>
      </c>
      <c r="I4612" s="28" t="s">
        <v>24</v>
      </c>
    </row>
    <row r="4613" spans="1:9" x14ac:dyDescent="0.3">
      <c r="A4613" s="26">
        <v>45348</v>
      </c>
      <c r="B4613" t="s">
        <v>895</v>
      </c>
      <c r="C4613" t="s">
        <v>753</v>
      </c>
      <c r="D4613">
        <v>0.53</v>
      </c>
      <c r="E4613" t="s">
        <v>898</v>
      </c>
      <c r="F4613" t="s">
        <v>754</v>
      </c>
      <c r="G4613" t="s">
        <v>3959</v>
      </c>
      <c r="H4613" t="s">
        <v>4516</v>
      </c>
      <c r="I4613" s="28" t="s">
        <v>24</v>
      </c>
    </row>
    <row r="4614" spans="1:9" x14ac:dyDescent="0.3">
      <c r="A4614" s="26">
        <v>45348</v>
      </c>
      <c r="B4614" t="s">
        <v>895</v>
      </c>
      <c r="C4614" t="s">
        <v>753</v>
      </c>
      <c r="D4614">
        <v>0.55000000000000004</v>
      </c>
      <c r="E4614" t="s">
        <v>516</v>
      </c>
      <c r="F4614" t="s">
        <v>754</v>
      </c>
      <c r="G4614" t="s">
        <v>3960</v>
      </c>
      <c r="H4614" t="s">
        <v>4516</v>
      </c>
      <c r="I4614" s="28" t="s">
        <v>24</v>
      </c>
    </row>
    <row r="4615" spans="1:9" x14ac:dyDescent="0.3">
      <c r="A4615" s="26">
        <v>45348</v>
      </c>
      <c r="B4615" t="s">
        <v>895</v>
      </c>
      <c r="C4615" t="s">
        <v>909</v>
      </c>
      <c r="D4615">
        <v>7.0000000000000007E-2</v>
      </c>
      <c r="E4615" t="s">
        <v>910</v>
      </c>
      <c r="F4615" t="s">
        <v>754</v>
      </c>
      <c r="G4615" t="s">
        <v>3961</v>
      </c>
      <c r="H4615" t="s">
        <v>4516</v>
      </c>
      <c r="I4615" s="28" t="s">
        <v>24</v>
      </c>
    </row>
    <row r="4616" spans="1:9" x14ac:dyDescent="0.3">
      <c r="A4616" s="26">
        <v>45348</v>
      </c>
      <c r="B4616" t="s">
        <v>895</v>
      </c>
      <c r="C4616" t="s">
        <v>909</v>
      </c>
      <c r="D4616">
        <v>0.55000000000000004</v>
      </c>
      <c r="E4616" t="s">
        <v>2797</v>
      </c>
      <c r="F4616" t="s">
        <v>754</v>
      </c>
      <c r="G4616" t="s">
        <v>3962</v>
      </c>
      <c r="H4616" t="s">
        <v>4516</v>
      </c>
      <c r="I4616" s="28" t="s">
        <v>24</v>
      </c>
    </row>
    <row r="4617" spans="1:9" x14ac:dyDescent="0.3">
      <c r="A4617" s="26">
        <v>45348</v>
      </c>
      <c r="B4617" t="s">
        <v>895</v>
      </c>
      <c r="C4617" t="s">
        <v>909</v>
      </c>
      <c r="D4617">
        <v>0.57999999999999996</v>
      </c>
      <c r="E4617" t="s">
        <v>2605</v>
      </c>
      <c r="F4617" t="s">
        <v>754</v>
      </c>
      <c r="G4617" t="s">
        <v>3963</v>
      </c>
      <c r="H4617" t="s">
        <v>4516</v>
      </c>
      <c r="I4617" s="28" t="s">
        <v>24</v>
      </c>
    </row>
    <row r="4618" spans="1:9" x14ac:dyDescent="0.3">
      <c r="A4618" s="26">
        <v>45348</v>
      </c>
      <c r="B4618" t="s">
        <v>895</v>
      </c>
      <c r="C4618" t="s">
        <v>789</v>
      </c>
      <c r="D4618">
        <v>0.25</v>
      </c>
      <c r="E4618" t="s">
        <v>903</v>
      </c>
      <c r="F4618" t="s">
        <v>754</v>
      </c>
      <c r="G4618" t="s">
        <v>2307</v>
      </c>
      <c r="H4618" t="s">
        <v>4516</v>
      </c>
      <c r="I4618" s="28" t="s">
        <v>24</v>
      </c>
    </row>
    <row r="4619" spans="1:9" x14ac:dyDescent="0.3">
      <c r="A4619" s="26">
        <v>45348</v>
      </c>
      <c r="B4619" t="s">
        <v>895</v>
      </c>
      <c r="C4619" t="s">
        <v>771</v>
      </c>
      <c r="D4619">
        <v>0.15</v>
      </c>
      <c r="E4619" t="s">
        <v>7</v>
      </c>
      <c r="F4619" t="s">
        <v>772</v>
      </c>
      <c r="G4619" t="s">
        <v>3964</v>
      </c>
      <c r="H4619" t="s">
        <v>4516</v>
      </c>
      <c r="I4619" s="28" t="s">
        <v>24</v>
      </c>
    </row>
    <row r="4620" spans="1:9" x14ac:dyDescent="0.3">
      <c r="A4620" s="26">
        <v>45348</v>
      </c>
      <c r="B4620" t="s">
        <v>895</v>
      </c>
      <c r="C4620" t="s">
        <v>771</v>
      </c>
      <c r="D4620">
        <v>0.48</v>
      </c>
      <c r="E4620" t="s">
        <v>7</v>
      </c>
      <c r="F4620" t="s">
        <v>772</v>
      </c>
      <c r="G4620" t="s">
        <v>760</v>
      </c>
      <c r="H4620" t="s">
        <v>4516</v>
      </c>
      <c r="I4620" s="28" t="s">
        <v>24</v>
      </c>
    </row>
    <row r="4621" spans="1:9" x14ac:dyDescent="0.3">
      <c r="A4621" s="26">
        <v>45348</v>
      </c>
      <c r="B4621" t="s">
        <v>895</v>
      </c>
      <c r="C4621" t="s">
        <v>874</v>
      </c>
      <c r="D4621">
        <v>1.33</v>
      </c>
      <c r="E4621" t="s">
        <v>7</v>
      </c>
      <c r="F4621" t="s">
        <v>772</v>
      </c>
      <c r="G4621" t="s">
        <v>3965</v>
      </c>
      <c r="H4621" t="s">
        <v>4516</v>
      </c>
      <c r="I4621" s="28" t="s">
        <v>24</v>
      </c>
    </row>
    <row r="4622" spans="1:9" x14ac:dyDescent="0.3">
      <c r="A4622" s="26">
        <v>45348</v>
      </c>
      <c r="B4622" t="s">
        <v>895</v>
      </c>
      <c r="C4622" t="s">
        <v>776</v>
      </c>
      <c r="D4622">
        <v>0.05</v>
      </c>
      <c r="E4622" t="s">
        <v>879</v>
      </c>
      <c r="F4622" t="s">
        <v>754</v>
      </c>
      <c r="G4622" t="s">
        <v>3966</v>
      </c>
      <c r="H4622" t="s">
        <v>4516</v>
      </c>
      <c r="I4622" s="28" t="s">
        <v>24</v>
      </c>
    </row>
    <row r="4623" spans="1:9" x14ac:dyDescent="0.3">
      <c r="A4623" s="26">
        <v>45348</v>
      </c>
      <c r="B4623" t="s">
        <v>895</v>
      </c>
      <c r="C4623" t="s">
        <v>776</v>
      </c>
      <c r="D4623">
        <v>0.13</v>
      </c>
      <c r="E4623" t="s">
        <v>879</v>
      </c>
      <c r="F4623" t="s">
        <v>754</v>
      </c>
      <c r="G4623" t="s">
        <v>3967</v>
      </c>
      <c r="H4623" t="s">
        <v>4516</v>
      </c>
      <c r="I4623" s="28" t="s">
        <v>24</v>
      </c>
    </row>
    <row r="4624" spans="1:9" x14ac:dyDescent="0.3">
      <c r="A4624" s="26">
        <v>45348</v>
      </c>
      <c r="B4624" t="s">
        <v>895</v>
      </c>
      <c r="C4624" t="s">
        <v>776</v>
      </c>
      <c r="D4624">
        <v>0.17</v>
      </c>
      <c r="E4624" t="s">
        <v>985</v>
      </c>
      <c r="F4624" t="s">
        <v>754</v>
      </c>
      <c r="G4624" t="s">
        <v>3968</v>
      </c>
      <c r="H4624" t="s">
        <v>4516</v>
      </c>
      <c r="I4624" s="28" t="s">
        <v>24</v>
      </c>
    </row>
    <row r="4625" spans="1:9" x14ac:dyDescent="0.3">
      <c r="A4625" s="26">
        <v>45348</v>
      </c>
      <c r="B4625" t="s">
        <v>895</v>
      </c>
      <c r="C4625" t="s">
        <v>776</v>
      </c>
      <c r="D4625">
        <v>0.25</v>
      </c>
      <c r="E4625" t="s">
        <v>879</v>
      </c>
      <c r="F4625" t="s">
        <v>754</v>
      </c>
      <c r="G4625" t="s">
        <v>3969</v>
      </c>
      <c r="H4625" t="s">
        <v>4516</v>
      </c>
      <c r="I4625" s="28" t="s">
        <v>24</v>
      </c>
    </row>
    <row r="4626" spans="1:9" x14ac:dyDescent="0.3">
      <c r="A4626" s="26">
        <v>45348</v>
      </c>
      <c r="B4626" t="s">
        <v>895</v>
      </c>
      <c r="C4626" t="s">
        <v>776</v>
      </c>
      <c r="D4626">
        <v>0.25</v>
      </c>
      <c r="E4626" t="s">
        <v>879</v>
      </c>
      <c r="F4626" t="s">
        <v>754</v>
      </c>
      <c r="G4626" t="s">
        <v>3970</v>
      </c>
      <c r="H4626" t="s">
        <v>4516</v>
      </c>
      <c r="I4626" s="28" t="s">
        <v>24</v>
      </c>
    </row>
    <row r="4627" spans="1:9" x14ac:dyDescent="0.3">
      <c r="A4627" s="26">
        <v>45348</v>
      </c>
      <c r="B4627" t="s">
        <v>895</v>
      </c>
      <c r="C4627" t="s">
        <v>776</v>
      </c>
      <c r="D4627">
        <v>0.8</v>
      </c>
      <c r="E4627" t="s">
        <v>879</v>
      </c>
      <c r="F4627" t="s">
        <v>754</v>
      </c>
      <c r="G4627" t="s">
        <v>3971</v>
      </c>
      <c r="H4627" t="s">
        <v>4516</v>
      </c>
      <c r="I4627" s="28" t="s">
        <v>24</v>
      </c>
    </row>
    <row r="4628" spans="1:9" x14ac:dyDescent="0.3">
      <c r="A4628" s="26">
        <v>45348</v>
      </c>
      <c r="B4628" t="s">
        <v>1391</v>
      </c>
      <c r="C4628" t="s">
        <v>874</v>
      </c>
      <c r="D4628">
        <v>0.5</v>
      </c>
      <c r="E4628" t="s">
        <v>7</v>
      </c>
      <c r="F4628" t="s">
        <v>772</v>
      </c>
      <c r="G4628" t="s">
        <v>1393</v>
      </c>
      <c r="H4628" t="s">
        <v>4516</v>
      </c>
      <c r="I4628" s="28" t="s">
        <v>24</v>
      </c>
    </row>
    <row r="4629" spans="1:9" x14ac:dyDescent="0.3">
      <c r="A4629" s="26">
        <v>45348</v>
      </c>
      <c r="B4629" t="s">
        <v>1391</v>
      </c>
      <c r="C4629" t="s">
        <v>1094</v>
      </c>
      <c r="D4629">
        <v>0.08</v>
      </c>
      <c r="E4629" t="s">
        <v>455</v>
      </c>
      <c r="F4629" t="s">
        <v>754</v>
      </c>
      <c r="G4629" t="s">
        <v>3972</v>
      </c>
      <c r="H4629" t="s">
        <v>4516</v>
      </c>
      <c r="I4629" s="28" t="s">
        <v>24</v>
      </c>
    </row>
    <row r="4630" spans="1:9" x14ac:dyDescent="0.3">
      <c r="A4630" s="26">
        <v>45348</v>
      </c>
      <c r="B4630" t="s">
        <v>929</v>
      </c>
      <c r="C4630" t="s">
        <v>789</v>
      </c>
      <c r="D4630">
        <v>0.05</v>
      </c>
      <c r="E4630" t="s">
        <v>169</v>
      </c>
      <c r="F4630" t="s">
        <v>772</v>
      </c>
      <c r="G4630" t="s">
        <v>3973</v>
      </c>
      <c r="H4630" t="s">
        <v>4516</v>
      </c>
      <c r="I4630" s="28" t="s">
        <v>24</v>
      </c>
    </row>
    <row r="4631" spans="1:9" x14ac:dyDescent="0.3">
      <c r="A4631" s="26">
        <v>45348</v>
      </c>
      <c r="B4631" t="s">
        <v>929</v>
      </c>
      <c r="C4631" t="s">
        <v>789</v>
      </c>
      <c r="D4631">
        <v>0.05</v>
      </c>
      <c r="E4631" t="s">
        <v>815</v>
      </c>
      <c r="F4631" t="s">
        <v>772</v>
      </c>
      <c r="G4631" t="s">
        <v>3974</v>
      </c>
      <c r="H4631" t="s">
        <v>4516</v>
      </c>
      <c r="I4631" s="28" t="s">
        <v>24</v>
      </c>
    </row>
    <row r="4632" spans="1:9" x14ac:dyDescent="0.3">
      <c r="A4632" s="26">
        <v>45348</v>
      </c>
      <c r="B4632" t="s">
        <v>929</v>
      </c>
      <c r="C4632" t="s">
        <v>789</v>
      </c>
      <c r="D4632">
        <v>0.05</v>
      </c>
      <c r="E4632" t="s">
        <v>811</v>
      </c>
      <c r="F4632" t="s">
        <v>772</v>
      </c>
      <c r="G4632" t="s">
        <v>3974</v>
      </c>
      <c r="H4632" t="s">
        <v>4516</v>
      </c>
      <c r="I4632" s="28" t="s">
        <v>24</v>
      </c>
    </row>
    <row r="4633" spans="1:9" x14ac:dyDescent="0.3">
      <c r="A4633" s="26">
        <v>45348</v>
      </c>
      <c r="B4633" t="s">
        <v>929</v>
      </c>
      <c r="C4633" t="s">
        <v>789</v>
      </c>
      <c r="D4633">
        <v>0.05</v>
      </c>
      <c r="E4633" t="s">
        <v>813</v>
      </c>
      <c r="F4633" t="s">
        <v>772</v>
      </c>
      <c r="G4633" t="s">
        <v>3974</v>
      </c>
      <c r="H4633" t="s">
        <v>4516</v>
      </c>
      <c r="I4633" s="28" t="s">
        <v>24</v>
      </c>
    </row>
    <row r="4634" spans="1:9" x14ac:dyDescent="0.3">
      <c r="A4634" s="26">
        <v>45348</v>
      </c>
      <c r="B4634" t="s">
        <v>929</v>
      </c>
      <c r="C4634" t="s">
        <v>789</v>
      </c>
      <c r="D4634">
        <v>0.05</v>
      </c>
      <c r="E4634" t="s">
        <v>1069</v>
      </c>
      <c r="F4634" t="s">
        <v>772</v>
      </c>
      <c r="G4634" t="s">
        <v>3974</v>
      </c>
      <c r="H4634" t="s">
        <v>4516</v>
      </c>
      <c r="I4634" s="28" t="s">
        <v>24</v>
      </c>
    </row>
    <row r="4635" spans="1:9" x14ac:dyDescent="0.3">
      <c r="A4635" s="26">
        <v>45348</v>
      </c>
      <c r="B4635" t="s">
        <v>929</v>
      </c>
      <c r="C4635" t="s">
        <v>789</v>
      </c>
      <c r="D4635">
        <v>0.08</v>
      </c>
      <c r="E4635" t="s">
        <v>169</v>
      </c>
      <c r="F4635" t="s">
        <v>772</v>
      </c>
      <c r="G4635" t="s">
        <v>1398</v>
      </c>
      <c r="H4635" t="s">
        <v>4516</v>
      </c>
      <c r="I4635" s="28" t="s">
        <v>24</v>
      </c>
    </row>
    <row r="4636" spans="1:9" x14ac:dyDescent="0.3">
      <c r="A4636" s="26">
        <v>45348</v>
      </c>
      <c r="B4636" t="s">
        <v>929</v>
      </c>
      <c r="C4636" t="s">
        <v>789</v>
      </c>
      <c r="D4636">
        <v>0.08</v>
      </c>
      <c r="E4636" t="s">
        <v>624</v>
      </c>
      <c r="F4636" t="s">
        <v>772</v>
      </c>
      <c r="G4636" t="s">
        <v>3975</v>
      </c>
      <c r="H4636" t="s">
        <v>4516</v>
      </c>
      <c r="I4636" s="28" t="s">
        <v>24</v>
      </c>
    </row>
    <row r="4637" spans="1:9" x14ac:dyDescent="0.3">
      <c r="A4637" s="26">
        <v>45348</v>
      </c>
      <c r="B4637" t="s">
        <v>929</v>
      </c>
      <c r="C4637" t="s">
        <v>789</v>
      </c>
      <c r="D4637">
        <v>0.1</v>
      </c>
      <c r="E4637" t="s">
        <v>814</v>
      </c>
      <c r="F4637" t="s">
        <v>772</v>
      </c>
      <c r="G4637" t="s">
        <v>3974</v>
      </c>
      <c r="H4637" t="s">
        <v>4516</v>
      </c>
      <c r="I4637" s="28" t="s">
        <v>24</v>
      </c>
    </row>
    <row r="4638" spans="1:9" x14ac:dyDescent="0.3">
      <c r="A4638" s="26">
        <v>45348</v>
      </c>
      <c r="B4638" t="s">
        <v>929</v>
      </c>
      <c r="C4638" t="s">
        <v>789</v>
      </c>
      <c r="D4638">
        <v>0.12</v>
      </c>
      <c r="E4638" t="s">
        <v>624</v>
      </c>
      <c r="F4638" t="s">
        <v>772</v>
      </c>
      <c r="G4638" t="s">
        <v>1398</v>
      </c>
      <c r="H4638" t="s">
        <v>4516</v>
      </c>
      <c r="I4638" s="28" t="s">
        <v>24</v>
      </c>
    </row>
    <row r="4639" spans="1:9" x14ac:dyDescent="0.3">
      <c r="A4639" s="26">
        <v>45348</v>
      </c>
      <c r="B4639" t="s">
        <v>929</v>
      </c>
      <c r="C4639" t="s">
        <v>789</v>
      </c>
      <c r="D4639">
        <v>0.27</v>
      </c>
      <c r="E4639" t="s">
        <v>226</v>
      </c>
      <c r="F4639" t="s">
        <v>772</v>
      </c>
      <c r="G4639" t="s">
        <v>3976</v>
      </c>
      <c r="H4639" t="s">
        <v>4516</v>
      </c>
      <c r="I4639" s="28" t="s">
        <v>24</v>
      </c>
    </row>
    <row r="4640" spans="1:9" x14ac:dyDescent="0.3">
      <c r="A4640" s="26">
        <v>45348</v>
      </c>
      <c r="B4640" t="s">
        <v>929</v>
      </c>
      <c r="C4640" t="s">
        <v>789</v>
      </c>
      <c r="D4640">
        <v>0.32</v>
      </c>
      <c r="E4640" t="s">
        <v>624</v>
      </c>
      <c r="F4640" t="s">
        <v>754</v>
      </c>
      <c r="G4640" t="s">
        <v>3977</v>
      </c>
      <c r="H4640" t="s">
        <v>4516</v>
      </c>
      <c r="I4640" s="28" t="s">
        <v>24</v>
      </c>
    </row>
    <row r="4641" spans="1:9" x14ac:dyDescent="0.3">
      <c r="A4641" s="26">
        <v>45348</v>
      </c>
      <c r="B4641" t="s">
        <v>929</v>
      </c>
      <c r="C4641" t="s">
        <v>771</v>
      </c>
      <c r="D4641">
        <v>7.0000000000000007E-2</v>
      </c>
      <c r="E4641" t="s">
        <v>7</v>
      </c>
      <c r="F4641" t="s">
        <v>772</v>
      </c>
      <c r="G4641" t="s">
        <v>3978</v>
      </c>
      <c r="H4641" t="s">
        <v>4516</v>
      </c>
      <c r="I4641" s="28" t="s">
        <v>24</v>
      </c>
    </row>
    <row r="4642" spans="1:9" x14ac:dyDescent="0.3">
      <c r="A4642" s="26">
        <v>45348</v>
      </c>
      <c r="B4642" t="s">
        <v>929</v>
      </c>
      <c r="C4642" t="s">
        <v>771</v>
      </c>
      <c r="D4642">
        <v>0.08</v>
      </c>
      <c r="E4642" t="s">
        <v>7</v>
      </c>
      <c r="F4642" t="s">
        <v>772</v>
      </c>
      <c r="G4642" t="s">
        <v>3979</v>
      </c>
      <c r="H4642" t="s">
        <v>4516</v>
      </c>
      <c r="I4642" s="28" t="s">
        <v>24</v>
      </c>
    </row>
    <row r="4643" spans="1:9" x14ac:dyDescent="0.3">
      <c r="A4643" s="26">
        <v>45348</v>
      </c>
      <c r="B4643" t="s">
        <v>929</v>
      </c>
      <c r="C4643" t="s">
        <v>771</v>
      </c>
      <c r="D4643">
        <v>0.08</v>
      </c>
      <c r="E4643" t="s">
        <v>7</v>
      </c>
      <c r="F4643" t="s">
        <v>772</v>
      </c>
      <c r="G4643" t="s">
        <v>3980</v>
      </c>
      <c r="H4643" t="s">
        <v>4516</v>
      </c>
      <c r="I4643" s="28" t="s">
        <v>24</v>
      </c>
    </row>
    <row r="4644" spans="1:9" x14ac:dyDescent="0.3">
      <c r="A4644" s="26">
        <v>45348</v>
      </c>
      <c r="B4644" t="s">
        <v>929</v>
      </c>
      <c r="C4644" t="s">
        <v>771</v>
      </c>
      <c r="D4644">
        <v>0.17</v>
      </c>
      <c r="E4644" t="s">
        <v>7</v>
      </c>
      <c r="F4644" t="s">
        <v>772</v>
      </c>
      <c r="G4644" t="s">
        <v>3981</v>
      </c>
      <c r="H4644" t="s">
        <v>4516</v>
      </c>
      <c r="I4644" s="28" t="s">
        <v>24</v>
      </c>
    </row>
    <row r="4645" spans="1:9" x14ac:dyDescent="0.3">
      <c r="A4645" s="26">
        <v>45348</v>
      </c>
      <c r="B4645" t="s">
        <v>929</v>
      </c>
      <c r="C4645" t="s">
        <v>771</v>
      </c>
      <c r="D4645">
        <v>0.25</v>
      </c>
      <c r="E4645" t="s">
        <v>7</v>
      </c>
      <c r="F4645" t="s">
        <v>772</v>
      </c>
      <c r="G4645" t="s">
        <v>3982</v>
      </c>
      <c r="H4645" t="s">
        <v>4516</v>
      </c>
      <c r="I4645" s="28" t="s">
        <v>24</v>
      </c>
    </row>
    <row r="4646" spans="1:9" x14ac:dyDescent="0.3">
      <c r="A4646" s="26">
        <v>45348</v>
      </c>
      <c r="B4646" t="s">
        <v>929</v>
      </c>
      <c r="C4646" t="s">
        <v>771</v>
      </c>
      <c r="D4646">
        <v>0.25</v>
      </c>
      <c r="E4646" t="s">
        <v>7</v>
      </c>
      <c r="F4646" t="s">
        <v>772</v>
      </c>
      <c r="G4646" t="s">
        <v>3983</v>
      </c>
      <c r="H4646" t="s">
        <v>4516</v>
      </c>
      <c r="I4646" s="28" t="s">
        <v>24</v>
      </c>
    </row>
    <row r="4647" spans="1:9" x14ac:dyDescent="0.3">
      <c r="A4647" s="26">
        <v>45348</v>
      </c>
      <c r="B4647" t="s">
        <v>929</v>
      </c>
      <c r="C4647" t="s">
        <v>3984</v>
      </c>
      <c r="D4647">
        <v>0.05</v>
      </c>
      <c r="E4647" t="s">
        <v>169</v>
      </c>
      <c r="F4647" t="s">
        <v>772</v>
      </c>
      <c r="G4647" t="s">
        <v>3985</v>
      </c>
      <c r="H4647" t="s">
        <v>4516</v>
      </c>
      <c r="I4647" s="28" t="s">
        <v>24</v>
      </c>
    </row>
    <row r="4648" spans="1:9" x14ac:dyDescent="0.3">
      <c r="A4648" s="26">
        <v>45348</v>
      </c>
      <c r="B4648" t="s">
        <v>929</v>
      </c>
      <c r="C4648" t="s">
        <v>3986</v>
      </c>
      <c r="D4648">
        <v>7.0000000000000007E-2</v>
      </c>
      <c r="E4648" t="s">
        <v>169</v>
      </c>
      <c r="F4648" t="s">
        <v>772</v>
      </c>
      <c r="G4648" t="s">
        <v>3985</v>
      </c>
      <c r="H4648" t="s">
        <v>4516</v>
      </c>
      <c r="I4648" s="28" t="s">
        <v>24</v>
      </c>
    </row>
    <row r="4649" spans="1:9" x14ac:dyDescent="0.3">
      <c r="A4649" s="26">
        <v>45348</v>
      </c>
      <c r="B4649" t="s">
        <v>929</v>
      </c>
      <c r="C4649" t="s">
        <v>916</v>
      </c>
      <c r="D4649">
        <v>0.1</v>
      </c>
      <c r="E4649" t="s">
        <v>606</v>
      </c>
      <c r="F4649" t="s">
        <v>772</v>
      </c>
      <c r="H4649" t="s">
        <v>4516</v>
      </c>
      <c r="I4649" s="28" t="s">
        <v>24</v>
      </c>
    </row>
    <row r="4650" spans="1:9" x14ac:dyDescent="0.3">
      <c r="A4650" s="26">
        <v>45348</v>
      </c>
      <c r="B4650" t="s">
        <v>929</v>
      </c>
      <c r="C4650" t="s">
        <v>916</v>
      </c>
      <c r="D4650">
        <v>0.13</v>
      </c>
      <c r="E4650" t="s">
        <v>624</v>
      </c>
      <c r="F4650" t="s">
        <v>772</v>
      </c>
      <c r="G4650" t="s">
        <v>3987</v>
      </c>
      <c r="H4650" t="s">
        <v>4516</v>
      </c>
      <c r="I4650" s="28" t="s">
        <v>24</v>
      </c>
    </row>
    <row r="4651" spans="1:9" x14ac:dyDescent="0.3">
      <c r="A4651" s="26">
        <v>45348</v>
      </c>
      <c r="B4651" t="s">
        <v>929</v>
      </c>
      <c r="C4651" t="s">
        <v>916</v>
      </c>
      <c r="D4651">
        <v>0.18</v>
      </c>
      <c r="E4651" t="s">
        <v>169</v>
      </c>
      <c r="F4651" t="s">
        <v>772</v>
      </c>
      <c r="G4651" t="s">
        <v>3988</v>
      </c>
      <c r="H4651" t="s">
        <v>4516</v>
      </c>
      <c r="I4651" s="28" t="s">
        <v>24</v>
      </c>
    </row>
    <row r="4652" spans="1:9" x14ac:dyDescent="0.3">
      <c r="A4652" s="26">
        <v>45348</v>
      </c>
      <c r="B4652" t="s">
        <v>929</v>
      </c>
      <c r="C4652" t="s">
        <v>916</v>
      </c>
      <c r="D4652">
        <v>0.3</v>
      </c>
      <c r="E4652" t="s">
        <v>624</v>
      </c>
      <c r="F4652" t="s">
        <v>772</v>
      </c>
      <c r="G4652" t="s">
        <v>3989</v>
      </c>
      <c r="H4652" t="s">
        <v>4516</v>
      </c>
      <c r="I4652" s="28" t="s">
        <v>24</v>
      </c>
    </row>
    <row r="4653" spans="1:9" x14ac:dyDescent="0.3">
      <c r="A4653" s="26">
        <v>45348</v>
      </c>
      <c r="B4653" t="s">
        <v>929</v>
      </c>
      <c r="C4653" t="s">
        <v>916</v>
      </c>
      <c r="D4653">
        <v>0.32</v>
      </c>
      <c r="E4653" t="s">
        <v>624</v>
      </c>
      <c r="F4653" t="s">
        <v>754</v>
      </c>
      <c r="G4653" t="s">
        <v>3990</v>
      </c>
      <c r="H4653" t="s">
        <v>4516</v>
      </c>
      <c r="I4653" s="28" t="s">
        <v>24</v>
      </c>
    </row>
    <row r="4654" spans="1:9" x14ac:dyDescent="0.3">
      <c r="A4654" s="26">
        <v>45348</v>
      </c>
      <c r="B4654" t="s">
        <v>929</v>
      </c>
      <c r="C4654" t="s">
        <v>916</v>
      </c>
      <c r="D4654">
        <v>0.67</v>
      </c>
      <c r="E4654" t="s">
        <v>516</v>
      </c>
      <c r="F4654" t="s">
        <v>754</v>
      </c>
      <c r="H4654" t="s">
        <v>4516</v>
      </c>
      <c r="I4654" s="28" t="s">
        <v>24</v>
      </c>
    </row>
    <row r="4655" spans="1:9" x14ac:dyDescent="0.3">
      <c r="A4655" s="26">
        <v>45348</v>
      </c>
      <c r="B4655" t="s">
        <v>929</v>
      </c>
      <c r="C4655" t="s">
        <v>916</v>
      </c>
      <c r="D4655">
        <v>0.75</v>
      </c>
      <c r="E4655" t="s">
        <v>934</v>
      </c>
      <c r="F4655" t="s">
        <v>772</v>
      </c>
      <c r="G4655" t="s">
        <v>3991</v>
      </c>
      <c r="H4655" t="s">
        <v>4516</v>
      </c>
      <c r="I4655" s="28" t="s">
        <v>24</v>
      </c>
    </row>
    <row r="4656" spans="1:9" x14ac:dyDescent="0.3">
      <c r="A4656" s="26">
        <v>45348</v>
      </c>
      <c r="B4656" t="s">
        <v>929</v>
      </c>
      <c r="C4656" t="s">
        <v>916</v>
      </c>
      <c r="D4656">
        <v>1.6</v>
      </c>
      <c r="E4656" t="s">
        <v>606</v>
      </c>
      <c r="F4656" t="s">
        <v>754</v>
      </c>
      <c r="G4656" t="s">
        <v>2493</v>
      </c>
      <c r="H4656" t="s">
        <v>4516</v>
      </c>
      <c r="I4656" s="28" t="s">
        <v>24</v>
      </c>
    </row>
    <row r="4657" spans="1:9" x14ac:dyDescent="0.3">
      <c r="A4657" s="26">
        <v>45348</v>
      </c>
      <c r="B4657" t="s">
        <v>929</v>
      </c>
      <c r="C4657" t="s">
        <v>834</v>
      </c>
      <c r="D4657">
        <v>0.57999999999999996</v>
      </c>
      <c r="E4657" t="s">
        <v>7</v>
      </c>
      <c r="F4657" t="s">
        <v>772</v>
      </c>
      <c r="G4657" t="s">
        <v>3992</v>
      </c>
      <c r="H4657" t="s">
        <v>4516</v>
      </c>
      <c r="I4657" s="28" t="s">
        <v>24</v>
      </c>
    </row>
    <row r="4658" spans="1:9" x14ac:dyDescent="0.3">
      <c r="A4658" s="26">
        <v>45348</v>
      </c>
      <c r="B4658" t="s">
        <v>929</v>
      </c>
      <c r="C4658" t="s">
        <v>874</v>
      </c>
      <c r="D4658">
        <v>0.13</v>
      </c>
      <c r="E4658" t="s">
        <v>7</v>
      </c>
      <c r="F4658" t="s">
        <v>772</v>
      </c>
      <c r="G4658" t="s">
        <v>3993</v>
      </c>
      <c r="H4658" t="s">
        <v>4516</v>
      </c>
      <c r="I4658" s="28" t="s">
        <v>24</v>
      </c>
    </row>
    <row r="4659" spans="1:9" x14ac:dyDescent="0.3">
      <c r="A4659" s="26">
        <v>45348</v>
      </c>
      <c r="B4659" t="s">
        <v>929</v>
      </c>
      <c r="C4659" t="s">
        <v>874</v>
      </c>
      <c r="D4659">
        <v>0.17</v>
      </c>
      <c r="E4659" t="s">
        <v>7</v>
      </c>
      <c r="F4659" t="s">
        <v>772</v>
      </c>
      <c r="G4659" t="s">
        <v>3994</v>
      </c>
      <c r="H4659" t="s">
        <v>4516</v>
      </c>
      <c r="I4659" s="28" t="s">
        <v>24</v>
      </c>
    </row>
    <row r="4660" spans="1:9" x14ac:dyDescent="0.3">
      <c r="A4660" s="26">
        <v>45348</v>
      </c>
      <c r="B4660" t="s">
        <v>929</v>
      </c>
      <c r="C4660" t="s">
        <v>874</v>
      </c>
      <c r="D4660">
        <v>0.22</v>
      </c>
      <c r="E4660" t="s">
        <v>7</v>
      </c>
      <c r="F4660" t="s">
        <v>772</v>
      </c>
      <c r="G4660" t="s">
        <v>3995</v>
      </c>
      <c r="H4660" t="s">
        <v>4516</v>
      </c>
      <c r="I4660" s="28" t="s">
        <v>24</v>
      </c>
    </row>
    <row r="4661" spans="1:9" x14ac:dyDescent="0.3">
      <c r="A4661" s="26">
        <v>45348</v>
      </c>
      <c r="B4661" t="s">
        <v>929</v>
      </c>
      <c r="C4661" t="s">
        <v>874</v>
      </c>
      <c r="D4661">
        <v>0.32</v>
      </c>
      <c r="E4661" t="s">
        <v>7</v>
      </c>
      <c r="F4661" t="s">
        <v>772</v>
      </c>
      <c r="G4661" t="s">
        <v>3996</v>
      </c>
      <c r="H4661" t="s">
        <v>4516</v>
      </c>
      <c r="I4661" s="28" t="s">
        <v>24</v>
      </c>
    </row>
    <row r="4662" spans="1:9" x14ac:dyDescent="0.3">
      <c r="A4662" s="26">
        <v>45348</v>
      </c>
      <c r="B4662" t="s">
        <v>929</v>
      </c>
      <c r="C4662" t="s">
        <v>954</v>
      </c>
      <c r="D4662">
        <v>0.38</v>
      </c>
      <c r="E4662" t="s">
        <v>7</v>
      </c>
      <c r="F4662" t="s">
        <v>772</v>
      </c>
      <c r="G4662" t="s">
        <v>3997</v>
      </c>
      <c r="H4662" t="s">
        <v>4516</v>
      </c>
      <c r="I4662" s="28" t="s">
        <v>24</v>
      </c>
    </row>
    <row r="4663" spans="1:9" x14ac:dyDescent="0.3">
      <c r="A4663" s="26">
        <v>45348</v>
      </c>
      <c r="B4663" t="s">
        <v>959</v>
      </c>
      <c r="C4663" t="s">
        <v>942</v>
      </c>
      <c r="D4663">
        <v>0.75</v>
      </c>
      <c r="E4663" t="s">
        <v>7</v>
      </c>
      <c r="F4663" t="s">
        <v>772</v>
      </c>
      <c r="G4663" t="s">
        <v>3998</v>
      </c>
      <c r="H4663" t="s">
        <v>4516</v>
      </c>
      <c r="I4663" s="28" t="s">
        <v>24</v>
      </c>
    </row>
    <row r="4664" spans="1:9" x14ac:dyDescent="0.3">
      <c r="A4664" s="26">
        <v>45348</v>
      </c>
      <c r="B4664" t="s">
        <v>959</v>
      </c>
      <c r="C4664" t="s">
        <v>874</v>
      </c>
      <c r="D4664">
        <v>0.25</v>
      </c>
      <c r="E4664" t="s">
        <v>7</v>
      </c>
      <c r="F4664" t="s">
        <v>772</v>
      </c>
      <c r="G4664" t="s">
        <v>3574</v>
      </c>
      <c r="H4664" t="s">
        <v>4516</v>
      </c>
      <c r="I4664" s="28" t="s">
        <v>24</v>
      </c>
    </row>
    <row r="4665" spans="1:9" x14ac:dyDescent="0.3">
      <c r="A4665" s="26">
        <v>45348</v>
      </c>
      <c r="B4665" t="s">
        <v>959</v>
      </c>
      <c r="C4665" t="s">
        <v>878</v>
      </c>
      <c r="D4665">
        <v>7</v>
      </c>
      <c r="E4665" t="s">
        <v>430</v>
      </c>
      <c r="F4665" t="s">
        <v>754</v>
      </c>
      <c r="G4665" t="s">
        <v>3999</v>
      </c>
      <c r="H4665" t="s">
        <v>4516</v>
      </c>
      <c r="I4665" s="28" t="s">
        <v>24</v>
      </c>
    </row>
    <row r="4666" spans="1:9" x14ac:dyDescent="0.3">
      <c r="A4666" s="26">
        <v>45348</v>
      </c>
      <c r="B4666" t="s">
        <v>961</v>
      </c>
      <c r="C4666" t="s">
        <v>753</v>
      </c>
      <c r="D4666">
        <v>0.68</v>
      </c>
      <c r="E4666" t="s">
        <v>585</v>
      </c>
      <c r="F4666" t="s">
        <v>754</v>
      </c>
      <c r="H4666" t="s">
        <v>4516</v>
      </c>
      <c r="I4666" s="28" t="s">
        <v>24</v>
      </c>
    </row>
    <row r="4667" spans="1:9" x14ac:dyDescent="0.3">
      <c r="A4667" s="26">
        <v>45348</v>
      </c>
      <c r="B4667" t="s">
        <v>961</v>
      </c>
      <c r="C4667" t="s">
        <v>753</v>
      </c>
      <c r="D4667">
        <v>7.32</v>
      </c>
      <c r="E4667" t="s">
        <v>790</v>
      </c>
      <c r="F4667" t="s">
        <v>754</v>
      </c>
      <c r="H4667" t="s">
        <v>4516</v>
      </c>
      <c r="I4667" s="28" t="s">
        <v>24</v>
      </c>
    </row>
    <row r="4668" spans="1:9" x14ac:dyDescent="0.3">
      <c r="A4668" s="26">
        <v>45348</v>
      </c>
      <c r="B4668" t="s">
        <v>961</v>
      </c>
      <c r="C4668" t="s">
        <v>776</v>
      </c>
      <c r="D4668">
        <v>0.2</v>
      </c>
      <c r="E4668" t="s">
        <v>585</v>
      </c>
      <c r="F4668" t="s">
        <v>754</v>
      </c>
      <c r="H4668" t="s">
        <v>4516</v>
      </c>
      <c r="I4668" s="28" t="s">
        <v>24</v>
      </c>
    </row>
    <row r="4669" spans="1:9" x14ac:dyDescent="0.3">
      <c r="A4669" s="26">
        <v>45348</v>
      </c>
      <c r="B4669" t="s">
        <v>962</v>
      </c>
      <c r="C4669" t="s">
        <v>753</v>
      </c>
      <c r="D4669">
        <v>0.5</v>
      </c>
      <c r="E4669" t="s">
        <v>717</v>
      </c>
      <c r="F4669" t="s">
        <v>754</v>
      </c>
      <c r="G4669" t="s">
        <v>4000</v>
      </c>
      <c r="H4669" t="s">
        <v>4516</v>
      </c>
      <c r="I4669" s="28" t="s">
        <v>24</v>
      </c>
    </row>
    <row r="4670" spans="1:9" x14ac:dyDescent="0.3">
      <c r="A4670" s="26">
        <v>45348</v>
      </c>
      <c r="B4670" t="s">
        <v>966</v>
      </c>
      <c r="C4670" t="s">
        <v>970</v>
      </c>
      <c r="D4670">
        <v>1.5</v>
      </c>
      <c r="E4670" t="s">
        <v>790</v>
      </c>
      <c r="F4670" t="s">
        <v>772</v>
      </c>
      <c r="G4670" t="s">
        <v>4001</v>
      </c>
      <c r="H4670" t="s">
        <v>4516</v>
      </c>
      <c r="I4670" s="28" t="s">
        <v>24</v>
      </c>
    </row>
    <row r="4671" spans="1:9" x14ac:dyDescent="0.3">
      <c r="A4671" s="26">
        <v>45348</v>
      </c>
      <c r="B4671" t="s">
        <v>966</v>
      </c>
      <c r="C4671" t="s">
        <v>967</v>
      </c>
      <c r="D4671">
        <v>2</v>
      </c>
      <c r="E4671" t="s">
        <v>7</v>
      </c>
      <c r="F4671" t="s">
        <v>772</v>
      </c>
      <c r="H4671" t="s">
        <v>4516</v>
      </c>
      <c r="I4671" s="28" t="s">
        <v>24</v>
      </c>
    </row>
    <row r="4672" spans="1:9" x14ac:dyDescent="0.3">
      <c r="A4672" s="26">
        <v>45348</v>
      </c>
      <c r="B4672" t="s">
        <v>966</v>
      </c>
      <c r="C4672" t="s">
        <v>967</v>
      </c>
      <c r="D4672">
        <v>4</v>
      </c>
      <c r="E4672" t="s">
        <v>790</v>
      </c>
      <c r="F4672" t="s">
        <v>754</v>
      </c>
      <c r="H4672" t="s">
        <v>4516</v>
      </c>
      <c r="I4672" s="28" t="s">
        <v>24</v>
      </c>
    </row>
    <row r="4673" spans="1:9" x14ac:dyDescent="0.3">
      <c r="A4673" s="26">
        <v>45348</v>
      </c>
      <c r="B4673" t="s">
        <v>966</v>
      </c>
      <c r="C4673" t="s">
        <v>771</v>
      </c>
      <c r="D4673">
        <v>0.5</v>
      </c>
      <c r="E4673" t="s">
        <v>7</v>
      </c>
      <c r="F4673" t="s">
        <v>772</v>
      </c>
      <c r="G4673" t="s">
        <v>781</v>
      </c>
      <c r="H4673" t="s">
        <v>4516</v>
      </c>
      <c r="I4673" s="28" t="s">
        <v>24</v>
      </c>
    </row>
    <row r="4674" spans="1:9" x14ac:dyDescent="0.3">
      <c r="A4674" s="26">
        <v>45348</v>
      </c>
      <c r="B4674" t="s">
        <v>969</v>
      </c>
      <c r="C4674" t="s">
        <v>753</v>
      </c>
      <c r="D4674">
        <v>0.28000000000000003</v>
      </c>
      <c r="E4674" t="s">
        <v>790</v>
      </c>
      <c r="F4674" t="s">
        <v>754</v>
      </c>
      <c r="G4674" t="s">
        <v>1014</v>
      </c>
      <c r="H4674" t="s">
        <v>4516</v>
      </c>
      <c r="I4674" s="28" t="s">
        <v>24</v>
      </c>
    </row>
    <row r="4675" spans="1:9" x14ac:dyDescent="0.3">
      <c r="A4675" s="26">
        <v>45348</v>
      </c>
      <c r="B4675" t="s">
        <v>969</v>
      </c>
      <c r="C4675" t="s">
        <v>753</v>
      </c>
      <c r="D4675">
        <v>2.93</v>
      </c>
      <c r="E4675" t="s">
        <v>790</v>
      </c>
      <c r="F4675" t="s">
        <v>754</v>
      </c>
      <c r="G4675" t="s">
        <v>4002</v>
      </c>
      <c r="H4675" t="s">
        <v>4516</v>
      </c>
      <c r="I4675" s="28" t="s">
        <v>24</v>
      </c>
    </row>
    <row r="4676" spans="1:9" x14ac:dyDescent="0.3">
      <c r="A4676" s="26">
        <v>45348</v>
      </c>
      <c r="B4676" t="s">
        <v>969</v>
      </c>
      <c r="C4676" t="s">
        <v>789</v>
      </c>
      <c r="D4676">
        <v>0.37</v>
      </c>
      <c r="E4676" t="s">
        <v>790</v>
      </c>
      <c r="F4676" t="s">
        <v>754</v>
      </c>
      <c r="G4676" t="s">
        <v>1012</v>
      </c>
      <c r="H4676" t="s">
        <v>4516</v>
      </c>
      <c r="I4676" s="28" t="s">
        <v>24</v>
      </c>
    </row>
    <row r="4677" spans="1:9" x14ac:dyDescent="0.3">
      <c r="A4677" s="26">
        <v>45348</v>
      </c>
      <c r="B4677" t="s">
        <v>969</v>
      </c>
      <c r="C4677" t="s">
        <v>771</v>
      </c>
      <c r="D4677">
        <v>0.87</v>
      </c>
      <c r="E4677" t="s">
        <v>7</v>
      </c>
      <c r="F4677" t="s">
        <v>772</v>
      </c>
      <c r="G4677" t="s">
        <v>4003</v>
      </c>
      <c r="H4677" t="s">
        <v>4516</v>
      </c>
      <c r="I4677" s="28" t="s">
        <v>24</v>
      </c>
    </row>
    <row r="4678" spans="1:9" x14ac:dyDescent="0.3">
      <c r="A4678" s="26">
        <v>45348</v>
      </c>
      <c r="B4678" t="s">
        <v>969</v>
      </c>
      <c r="C4678" t="s">
        <v>771</v>
      </c>
      <c r="D4678">
        <v>1.02</v>
      </c>
      <c r="E4678" t="s">
        <v>7</v>
      </c>
      <c r="F4678" t="s">
        <v>772</v>
      </c>
      <c r="G4678" t="s">
        <v>4004</v>
      </c>
      <c r="H4678" t="s">
        <v>4516</v>
      </c>
      <c r="I4678" s="28" t="s">
        <v>24</v>
      </c>
    </row>
    <row r="4679" spans="1:9" x14ac:dyDescent="0.3">
      <c r="A4679" s="26">
        <v>45348</v>
      </c>
      <c r="B4679" t="s">
        <v>969</v>
      </c>
      <c r="C4679" t="s">
        <v>835</v>
      </c>
      <c r="D4679">
        <v>2.5299999999999998</v>
      </c>
      <c r="E4679" t="s">
        <v>790</v>
      </c>
      <c r="F4679" t="s">
        <v>754</v>
      </c>
      <c r="G4679" t="s">
        <v>4005</v>
      </c>
      <c r="H4679" t="s">
        <v>4516</v>
      </c>
      <c r="I4679" s="28" t="s">
        <v>24</v>
      </c>
    </row>
    <row r="4680" spans="1:9" x14ac:dyDescent="0.3">
      <c r="A4680" s="26">
        <v>45348</v>
      </c>
      <c r="B4680" t="s">
        <v>977</v>
      </c>
      <c r="C4680" t="s">
        <v>753</v>
      </c>
      <c r="D4680">
        <v>1.88</v>
      </c>
      <c r="E4680" t="s">
        <v>978</v>
      </c>
      <c r="F4680" t="s">
        <v>754</v>
      </c>
      <c r="G4680" t="s">
        <v>4006</v>
      </c>
      <c r="H4680" t="s">
        <v>4516</v>
      </c>
      <c r="I4680" s="28" t="s">
        <v>24</v>
      </c>
    </row>
    <row r="4681" spans="1:9" x14ac:dyDescent="0.3">
      <c r="A4681" s="26">
        <v>45348</v>
      </c>
      <c r="B4681" t="s">
        <v>977</v>
      </c>
      <c r="C4681" t="s">
        <v>753</v>
      </c>
      <c r="D4681">
        <v>2.73</v>
      </c>
      <c r="E4681" t="s">
        <v>978</v>
      </c>
      <c r="F4681" t="s">
        <v>754</v>
      </c>
      <c r="G4681" t="s">
        <v>4007</v>
      </c>
      <c r="H4681" t="s">
        <v>4516</v>
      </c>
      <c r="I4681" s="28" t="s">
        <v>24</v>
      </c>
    </row>
    <row r="4682" spans="1:9" x14ac:dyDescent="0.3">
      <c r="A4682" s="26">
        <v>45348</v>
      </c>
      <c r="B4682" t="s">
        <v>977</v>
      </c>
      <c r="C4682" t="s">
        <v>771</v>
      </c>
      <c r="D4682">
        <v>0.5</v>
      </c>
      <c r="E4682" t="s">
        <v>7</v>
      </c>
      <c r="F4682" t="s">
        <v>772</v>
      </c>
      <c r="G4682" t="s">
        <v>820</v>
      </c>
      <c r="H4682" t="s">
        <v>4516</v>
      </c>
      <c r="I4682" s="28" t="s">
        <v>24</v>
      </c>
    </row>
    <row r="4683" spans="1:9" x14ac:dyDescent="0.3">
      <c r="A4683" s="26">
        <v>45348</v>
      </c>
      <c r="B4683" t="s">
        <v>977</v>
      </c>
      <c r="C4683" t="s">
        <v>834</v>
      </c>
      <c r="D4683">
        <v>1.2</v>
      </c>
      <c r="E4683" t="s">
        <v>7</v>
      </c>
      <c r="F4683" t="s">
        <v>772</v>
      </c>
      <c r="G4683" t="s">
        <v>4008</v>
      </c>
      <c r="H4683" t="s">
        <v>4516</v>
      </c>
      <c r="I4683" s="28" t="s">
        <v>24</v>
      </c>
    </row>
    <row r="4684" spans="1:9" x14ac:dyDescent="0.3">
      <c r="A4684" s="26">
        <v>45348</v>
      </c>
      <c r="B4684" t="s">
        <v>977</v>
      </c>
      <c r="C4684" t="s">
        <v>874</v>
      </c>
      <c r="D4684">
        <v>0.12</v>
      </c>
      <c r="E4684" t="s">
        <v>7</v>
      </c>
      <c r="F4684" t="s">
        <v>772</v>
      </c>
      <c r="G4684" t="s">
        <v>4009</v>
      </c>
      <c r="H4684" t="s">
        <v>4516</v>
      </c>
      <c r="I4684" s="28" t="s">
        <v>24</v>
      </c>
    </row>
    <row r="4685" spans="1:9" x14ac:dyDescent="0.3">
      <c r="A4685" s="26">
        <v>45348</v>
      </c>
      <c r="B4685" t="s">
        <v>977</v>
      </c>
      <c r="C4685" t="s">
        <v>776</v>
      </c>
      <c r="D4685">
        <v>1.57</v>
      </c>
      <c r="E4685" t="s">
        <v>978</v>
      </c>
      <c r="F4685" t="s">
        <v>754</v>
      </c>
      <c r="G4685" t="s">
        <v>4010</v>
      </c>
      <c r="H4685" t="s">
        <v>4516</v>
      </c>
      <c r="I4685" s="28" t="s">
        <v>24</v>
      </c>
    </row>
    <row r="4686" spans="1:9" x14ac:dyDescent="0.3">
      <c r="A4686" s="26">
        <v>45348</v>
      </c>
      <c r="B4686" t="s">
        <v>981</v>
      </c>
      <c r="C4686" t="s">
        <v>982</v>
      </c>
      <c r="D4686">
        <v>9</v>
      </c>
      <c r="E4686" t="s">
        <v>7</v>
      </c>
      <c r="F4686" t="s">
        <v>772</v>
      </c>
      <c r="G4686" t="s">
        <v>4011</v>
      </c>
      <c r="H4686" t="s">
        <v>4516</v>
      </c>
      <c r="I4686" s="28" t="s">
        <v>24</v>
      </c>
    </row>
    <row r="4687" spans="1:9" x14ac:dyDescent="0.3">
      <c r="A4687" s="26">
        <v>45348</v>
      </c>
      <c r="B4687" t="s">
        <v>984</v>
      </c>
      <c r="C4687" t="s">
        <v>753</v>
      </c>
      <c r="D4687">
        <v>0.56999999999999995</v>
      </c>
      <c r="E4687" t="s">
        <v>985</v>
      </c>
      <c r="F4687" t="s">
        <v>754</v>
      </c>
      <c r="G4687" t="s">
        <v>987</v>
      </c>
      <c r="H4687" t="s">
        <v>4516</v>
      </c>
      <c r="I4687" s="28" t="s">
        <v>24</v>
      </c>
    </row>
    <row r="4688" spans="1:9" x14ac:dyDescent="0.3">
      <c r="A4688" s="26">
        <v>45348</v>
      </c>
      <c r="B4688" t="s">
        <v>984</v>
      </c>
      <c r="C4688" t="s">
        <v>753</v>
      </c>
      <c r="D4688">
        <v>1.32</v>
      </c>
      <c r="E4688" t="s">
        <v>602</v>
      </c>
      <c r="F4688" t="s">
        <v>754</v>
      </c>
      <c r="H4688" t="s">
        <v>4516</v>
      </c>
      <c r="I4688" s="28" t="s">
        <v>24</v>
      </c>
    </row>
    <row r="4689" spans="1:9" x14ac:dyDescent="0.3">
      <c r="A4689" s="26">
        <v>45348</v>
      </c>
      <c r="B4689" t="s">
        <v>984</v>
      </c>
      <c r="C4689" t="s">
        <v>753</v>
      </c>
      <c r="D4689">
        <v>2.48</v>
      </c>
      <c r="E4689" t="s">
        <v>13</v>
      </c>
      <c r="F4689" t="s">
        <v>754</v>
      </c>
      <c r="G4689" t="s">
        <v>4012</v>
      </c>
      <c r="H4689" t="s">
        <v>4516</v>
      </c>
      <c r="I4689" s="28" t="s">
        <v>24</v>
      </c>
    </row>
    <row r="4690" spans="1:9" x14ac:dyDescent="0.3">
      <c r="A4690" s="26">
        <v>45348</v>
      </c>
      <c r="B4690" t="s">
        <v>984</v>
      </c>
      <c r="C4690" t="s">
        <v>753</v>
      </c>
      <c r="D4690">
        <v>2.5299999999999998</v>
      </c>
      <c r="E4690" t="s">
        <v>602</v>
      </c>
      <c r="F4690" t="s">
        <v>754</v>
      </c>
      <c r="G4690" t="s">
        <v>4013</v>
      </c>
      <c r="H4690" t="s">
        <v>4516</v>
      </c>
      <c r="I4690" s="28" t="s">
        <v>24</v>
      </c>
    </row>
    <row r="4691" spans="1:9" x14ac:dyDescent="0.3">
      <c r="A4691" s="26">
        <v>45348</v>
      </c>
      <c r="B4691" t="s">
        <v>984</v>
      </c>
      <c r="C4691" t="s">
        <v>771</v>
      </c>
      <c r="D4691">
        <v>1.1499999999999999</v>
      </c>
      <c r="E4691" t="s">
        <v>7</v>
      </c>
      <c r="F4691" t="s">
        <v>772</v>
      </c>
      <c r="G4691" t="s">
        <v>4014</v>
      </c>
      <c r="H4691" t="s">
        <v>4516</v>
      </c>
      <c r="I4691" s="28" t="s">
        <v>24</v>
      </c>
    </row>
    <row r="4692" spans="1:9" x14ac:dyDescent="0.3">
      <c r="A4692" s="26">
        <v>45348</v>
      </c>
      <c r="B4692" t="s">
        <v>991</v>
      </c>
      <c r="C4692" t="s">
        <v>992</v>
      </c>
      <c r="D4692">
        <v>1.82</v>
      </c>
      <c r="E4692" t="s">
        <v>7</v>
      </c>
      <c r="F4692" t="s">
        <v>772</v>
      </c>
      <c r="G4692" t="s">
        <v>4015</v>
      </c>
      <c r="H4692" t="s">
        <v>4516</v>
      </c>
      <c r="I4692" s="28" t="s">
        <v>24</v>
      </c>
    </row>
    <row r="4693" spans="1:9" x14ac:dyDescent="0.3">
      <c r="A4693" s="26">
        <v>45348</v>
      </c>
      <c r="B4693" t="s">
        <v>991</v>
      </c>
      <c r="C4693" t="s">
        <v>992</v>
      </c>
      <c r="D4693">
        <v>1.88</v>
      </c>
      <c r="E4693" t="s">
        <v>7</v>
      </c>
      <c r="F4693" t="s">
        <v>772</v>
      </c>
      <c r="G4693" t="s">
        <v>4016</v>
      </c>
      <c r="H4693" t="s">
        <v>4516</v>
      </c>
      <c r="I4693" s="28" t="s">
        <v>24</v>
      </c>
    </row>
    <row r="4694" spans="1:9" x14ac:dyDescent="0.3">
      <c r="A4694" s="26">
        <v>45348</v>
      </c>
      <c r="B4694" t="s">
        <v>991</v>
      </c>
      <c r="C4694" t="s">
        <v>992</v>
      </c>
      <c r="D4694">
        <v>4.68</v>
      </c>
      <c r="E4694" t="s">
        <v>7</v>
      </c>
      <c r="F4694" t="s">
        <v>772</v>
      </c>
      <c r="G4694" t="s">
        <v>4017</v>
      </c>
      <c r="H4694" t="s">
        <v>4516</v>
      </c>
      <c r="I4694" s="28" t="s">
        <v>24</v>
      </c>
    </row>
    <row r="4695" spans="1:9" x14ac:dyDescent="0.3">
      <c r="A4695" s="26">
        <v>45348</v>
      </c>
      <c r="B4695" t="s">
        <v>991</v>
      </c>
      <c r="C4695" t="s">
        <v>1870</v>
      </c>
      <c r="D4695">
        <v>1.77</v>
      </c>
      <c r="E4695" t="s">
        <v>999</v>
      </c>
      <c r="F4695" t="s">
        <v>772</v>
      </c>
      <c r="G4695" t="s">
        <v>4018</v>
      </c>
      <c r="H4695" t="s">
        <v>4516</v>
      </c>
      <c r="I4695" s="28" t="s">
        <v>24</v>
      </c>
    </row>
    <row r="4696" spans="1:9" x14ac:dyDescent="0.3">
      <c r="A4696" s="26">
        <v>45348</v>
      </c>
      <c r="B4696" t="s">
        <v>1002</v>
      </c>
      <c r="C4696" t="s">
        <v>1003</v>
      </c>
      <c r="D4696">
        <v>10</v>
      </c>
      <c r="E4696" t="s">
        <v>7</v>
      </c>
      <c r="F4696" t="s">
        <v>772</v>
      </c>
      <c r="G4696" t="s">
        <v>4019</v>
      </c>
      <c r="H4696" t="s">
        <v>4516</v>
      </c>
      <c r="I4696" s="28" t="s">
        <v>24</v>
      </c>
    </row>
    <row r="4697" spans="1:9" x14ac:dyDescent="0.3">
      <c r="A4697" s="26">
        <v>45348</v>
      </c>
      <c r="B4697" t="s">
        <v>1005</v>
      </c>
      <c r="C4697" t="s">
        <v>753</v>
      </c>
      <c r="D4697">
        <v>0.25</v>
      </c>
      <c r="E4697" t="s">
        <v>161</v>
      </c>
      <c r="F4697" t="s">
        <v>754</v>
      </c>
      <c r="H4697" t="s">
        <v>4516</v>
      </c>
      <c r="I4697" s="28" t="s">
        <v>24</v>
      </c>
    </row>
    <row r="4698" spans="1:9" x14ac:dyDescent="0.3">
      <c r="A4698" s="26">
        <v>45348</v>
      </c>
      <c r="B4698" t="s">
        <v>1005</v>
      </c>
      <c r="C4698" t="s">
        <v>753</v>
      </c>
      <c r="D4698">
        <v>0.5</v>
      </c>
      <c r="E4698" t="s">
        <v>201</v>
      </c>
      <c r="F4698" t="s">
        <v>754</v>
      </c>
      <c r="H4698" t="s">
        <v>4516</v>
      </c>
      <c r="I4698" s="28" t="s">
        <v>24</v>
      </c>
    </row>
    <row r="4699" spans="1:9" x14ac:dyDescent="0.3">
      <c r="A4699" s="26">
        <v>45348</v>
      </c>
      <c r="B4699" t="s">
        <v>1005</v>
      </c>
      <c r="C4699" t="s">
        <v>753</v>
      </c>
      <c r="D4699">
        <v>1.5</v>
      </c>
      <c r="E4699" t="s">
        <v>471</v>
      </c>
      <c r="F4699" t="s">
        <v>754</v>
      </c>
      <c r="H4699" t="s">
        <v>4516</v>
      </c>
      <c r="I4699" s="28" t="s">
        <v>24</v>
      </c>
    </row>
    <row r="4700" spans="1:9" x14ac:dyDescent="0.3">
      <c r="A4700" s="26">
        <v>45348</v>
      </c>
      <c r="B4700" t="s">
        <v>1005</v>
      </c>
      <c r="C4700" t="s">
        <v>753</v>
      </c>
      <c r="D4700">
        <v>2.5</v>
      </c>
      <c r="E4700" t="s">
        <v>430</v>
      </c>
      <c r="F4700" t="s">
        <v>754</v>
      </c>
      <c r="H4700" t="s">
        <v>4516</v>
      </c>
      <c r="I4700" s="28" t="s">
        <v>24</v>
      </c>
    </row>
    <row r="4701" spans="1:9" x14ac:dyDescent="0.3">
      <c r="A4701" s="26">
        <v>45348</v>
      </c>
      <c r="B4701" t="s">
        <v>1005</v>
      </c>
      <c r="C4701" t="s">
        <v>771</v>
      </c>
      <c r="D4701">
        <v>0.25</v>
      </c>
      <c r="E4701" t="s">
        <v>7</v>
      </c>
      <c r="F4701" t="s">
        <v>772</v>
      </c>
      <c r="G4701" t="s">
        <v>4020</v>
      </c>
      <c r="H4701" t="s">
        <v>4516</v>
      </c>
      <c r="I4701" s="28" t="s">
        <v>24</v>
      </c>
    </row>
    <row r="4702" spans="1:9" x14ac:dyDescent="0.3">
      <c r="A4702" s="26">
        <v>45348</v>
      </c>
      <c r="B4702" t="s">
        <v>1005</v>
      </c>
      <c r="C4702" t="s">
        <v>776</v>
      </c>
      <c r="D4702">
        <v>0.5</v>
      </c>
      <c r="E4702" t="s">
        <v>141</v>
      </c>
      <c r="F4702" t="s">
        <v>754</v>
      </c>
      <c r="H4702" t="s">
        <v>4516</v>
      </c>
      <c r="I4702" s="28" t="s">
        <v>24</v>
      </c>
    </row>
    <row r="4703" spans="1:9" x14ac:dyDescent="0.3">
      <c r="A4703" s="26">
        <v>45348</v>
      </c>
      <c r="B4703" t="s">
        <v>1006</v>
      </c>
      <c r="C4703" t="s">
        <v>909</v>
      </c>
      <c r="D4703">
        <v>0.05</v>
      </c>
      <c r="E4703" t="s">
        <v>922</v>
      </c>
      <c r="F4703" t="s">
        <v>754</v>
      </c>
      <c r="G4703" t="s">
        <v>1012</v>
      </c>
      <c r="H4703" t="s">
        <v>4516</v>
      </c>
      <c r="I4703" s="28" t="s">
        <v>24</v>
      </c>
    </row>
    <row r="4704" spans="1:9" x14ac:dyDescent="0.3">
      <c r="A4704" s="26">
        <v>45348</v>
      </c>
      <c r="B4704" t="s">
        <v>1006</v>
      </c>
      <c r="C4704" t="s">
        <v>909</v>
      </c>
      <c r="D4704">
        <v>0.05</v>
      </c>
      <c r="E4704" t="s">
        <v>757</v>
      </c>
      <c r="F4704" t="s">
        <v>754</v>
      </c>
      <c r="G4704" t="s">
        <v>1012</v>
      </c>
      <c r="H4704" t="s">
        <v>4516</v>
      </c>
      <c r="I4704" s="28" t="s">
        <v>24</v>
      </c>
    </row>
    <row r="4705" spans="1:9" x14ac:dyDescent="0.3">
      <c r="A4705" s="26">
        <v>45348</v>
      </c>
      <c r="B4705" t="s">
        <v>1006</v>
      </c>
      <c r="C4705" t="s">
        <v>909</v>
      </c>
      <c r="D4705">
        <v>0.1</v>
      </c>
      <c r="E4705" t="s">
        <v>2525</v>
      </c>
      <c r="F4705" t="s">
        <v>754</v>
      </c>
      <c r="G4705" t="s">
        <v>1012</v>
      </c>
      <c r="H4705" t="s">
        <v>4516</v>
      </c>
      <c r="I4705" s="28" t="s">
        <v>24</v>
      </c>
    </row>
    <row r="4706" spans="1:9" x14ac:dyDescent="0.3">
      <c r="A4706" s="26">
        <v>45348</v>
      </c>
      <c r="B4706" t="s">
        <v>1006</v>
      </c>
      <c r="C4706" t="s">
        <v>909</v>
      </c>
      <c r="D4706">
        <v>0.3</v>
      </c>
      <c r="E4706" t="s">
        <v>757</v>
      </c>
      <c r="F4706" t="s">
        <v>772</v>
      </c>
      <c r="G4706" t="s">
        <v>4021</v>
      </c>
      <c r="H4706" t="s">
        <v>4516</v>
      </c>
      <c r="I4706" s="28" t="s">
        <v>24</v>
      </c>
    </row>
    <row r="4707" spans="1:9" x14ac:dyDescent="0.3">
      <c r="A4707" s="26">
        <v>45348</v>
      </c>
      <c r="B4707" t="s">
        <v>1006</v>
      </c>
      <c r="C4707" t="s">
        <v>909</v>
      </c>
      <c r="D4707">
        <v>0.33</v>
      </c>
      <c r="E4707" t="s">
        <v>151</v>
      </c>
      <c r="F4707" t="s">
        <v>754</v>
      </c>
      <c r="G4707" t="s">
        <v>4022</v>
      </c>
      <c r="H4707" t="s">
        <v>4516</v>
      </c>
      <c r="I4707" s="28" t="s">
        <v>24</v>
      </c>
    </row>
    <row r="4708" spans="1:9" x14ac:dyDescent="0.3">
      <c r="A4708" s="26">
        <v>45348</v>
      </c>
      <c r="B4708" t="s">
        <v>1006</v>
      </c>
      <c r="C4708" t="s">
        <v>909</v>
      </c>
      <c r="D4708">
        <v>0.37</v>
      </c>
      <c r="E4708" t="s">
        <v>922</v>
      </c>
      <c r="F4708" t="s">
        <v>772</v>
      </c>
      <c r="G4708" t="s">
        <v>4023</v>
      </c>
      <c r="H4708" t="s">
        <v>4516</v>
      </c>
      <c r="I4708" s="28" t="s">
        <v>24</v>
      </c>
    </row>
    <row r="4709" spans="1:9" x14ac:dyDescent="0.3">
      <c r="A4709" s="26">
        <v>45348</v>
      </c>
      <c r="B4709" t="s">
        <v>1006</v>
      </c>
      <c r="C4709" t="s">
        <v>909</v>
      </c>
      <c r="D4709">
        <v>0.5</v>
      </c>
      <c r="E4709" t="s">
        <v>151</v>
      </c>
      <c r="F4709" t="s">
        <v>754</v>
      </c>
      <c r="G4709" t="s">
        <v>1012</v>
      </c>
      <c r="H4709" t="s">
        <v>4516</v>
      </c>
      <c r="I4709" s="28" t="s">
        <v>24</v>
      </c>
    </row>
    <row r="4710" spans="1:9" x14ac:dyDescent="0.3">
      <c r="A4710" s="26">
        <v>45348</v>
      </c>
      <c r="B4710" t="s">
        <v>1006</v>
      </c>
      <c r="C4710" t="s">
        <v>909</v>
      </c>
      <c r="D4710">
        <v>0.85</v>
      </c>
      <c r="E4710" t="s">
        <v>757</v>
      </c>
      <c r="F4710" t="s">
        <v>772</v>
      </c>
      <c r="G4710" t="s">
        <v>4024</v>
      </c>
      <c r="H4710" t="s">
        <v>4516</v>
      </c>
      <c r="I4710" s="28" t="s">
        <v>24</v>
      </c>
    </row>
    <row r="4711" spans="1:9" x14ac:dyDescent="0.3">
      <c r="A4711" s="26">
        <v>45348</v>
      </c>
      <c r="B4711" t="s">
        <v>1006</v>
      </c>
      <c r="C4711" t="s">
        <v>771</v>
      </c>
      <c r="D4711">
        <v>3.08</v>
      </c>
      <c r="E4711" t="s">
        <v>7</v>
      </c>
      <c r="F4711" t="s">
        <v>772</v>
      </c>
      <c r="G4711" t="s">
        <v>1010</v>
      </c>
      <c r="H4711" t="s">
        <v>4516</v>
      </c>
      <c r="I4711" s="28" t="s">
        <v>24</v>
      </c>
    </row>
    <row r="4712" spans="1:9" x14ac:dyDescent="0.3">
      <c r="A4712" s="26">
        <v>45348</v>
      </c>
      <c r="B4712" t="s">
        <v>1006</v>
      </c>
      <c r="C4712" t="s">
        <v>874</v>
      </c>
      <c r="D4712">
        <v>0.17</v>
      </c>
      <c r="E4712" t="s">
        <v>7</v>
      </c>
      <c r="F4712" t="s">
        <v>772</v>
      </c>
      <c r="G4712" t="s">
        <v>1448</v>
      </c>
      <c r="H4712" t="s">
        <v>4516</v>
      </c>
      <c r="I4712" s="28" t="s">
        <v>24</v>
      </c>
    </row>
    <row r="4713" spans="1:9" x14ac:dyDescent="0.3">
      <c r="A4713" s="26">
        <v>45348</v>
      </c>
      <c r="B4713" t="s">
        <v>1011</v>
      </c>
      <c r="C4713" t="s">
        <v>753</v>
      </c>
      <c r="D4713">
        <v>0.08</v>
      </c>
      <c r="E4713" t="s">
        <v>589</v>
      </c>
      <c r="F4713" t="s">
        <v>754</v>
      </c>
      <c r="G4713" t="s">
        <v>1243</v>
      </c>
      <c r="H4713" t="s">
        <v>4516</v>
      </c>
      <c r="I4713" s="28" t="s">
        <v>24</v>
      </c>
    </row>
    <row r="4714" spans="1:9" x14ac:dyDescent="0.3">
      <c r="A4714" s="26">
        <v>45348</v>
      </c>
      <c r="B4714" t="s">
        <v>1011</v>
      </c>
      <c r="C4714" t="s">
        <v>753</v>
      </c>
      <c r="D4714">
        <v>0.1</v>
      </c>
      <c r="E4714" t="s">
        <v>845</v>
      </c>
      <c r="F4714" t="s">
        <v>754</v>
      </c>
      <c r="H4714" t="s">
        <v>4516</v>
      </c>
      <c r="I4714" s="28" t="s">
        <v>24</v>
      </c>
    </row>
    <row r="4715" spans="1:9" x14ac:dyDescent="0.3">
      <c r="A4715" s="26">
        <v>45348</v>
      </c>
      <c r="B4715" t="s">
        <v>1011</v>
      </c>
      <c r="C4715" t="s">
        <v>753</v>
      </c>
      <c r="D4715">
        <v>0.65</v>
      </c>
      <c r="E4715" t="s">
        <v>1013</v>
      </c>
      <c r="F4715" t="s">
        <v>754</v>
      </c>
      <c r="G4715" t="s">
        <v>4025</v>
      </c>
      <c r="H4715" t="s">
        <v>4516</v>
      </c>
      <c r="I4715" s="28" t="s">
        <v>24</v>
      </c>
    </row>
    <row r="4716" spans="1:9" x14ac:dyDescent="0.3">
      <c r="A4716" s="26">
        <v>45348</v>
      </c>
      <c r="B4716" t="s">
        <v>1011</v>
      </c>
      <c r="C4716" t="s">
        <v>753</v>
      </c>
      <c r="D4716">
        <v>0.77</v>
      </c>
      <c r="E4716" t="s">
        <v>589</v>
      </c>
      <c r="F4716" t="s">
        <v>754</v>
      </c>
      <c r="G4716" t="s">
        <v>3229</v>
      </c>
      <c r="H4716" t="s">
        <v>4516</v>
      </c>
      <c r="I4716" s="28" t="s">
        <v>24</v>
      </c>
    </row>
    <row r="4717" spans="1:9" x14ac:dyDescent="0.3">
      <c r="A4717" s="26">
        <v>45348</v>
      </c>
      <c r="B4717" t="s">
        <v>1011</v>
      </c>
      <c r="C4717" t="s">
        <v>753</v>
      </c>
      <c r="D4717">
        <v>1.97</v>
      </c>
      <c r="E4717" t="s">
        <v>1013</v>
      </c>
      <c r="F4717" t="s">
        <v>754</v>
      </c>
      <c r="G4717" t="s">
        <v>3732</v>
      </c>
      <c r="H4717" t="s">
        <v>4516</v>
      </c>
      <c r="I4717" s="28" t="s">
        <v>24</v>
      </c>
    </row>
    <row r="4718" spans="1:9" x14ac:dyDescent="0.3">
      <c r="A4718" s="26">
        <v>45348</v>
      </c>
      <c r="B4718" t="s">
        <v>1011</v>
      </c>
      <c r="C4718" t="s">
        <v>789</v>
      </c>
      <c r="D4718">
        <v>0.95</v>
      </c>
      <c r="E4718" t="s">
        <v>1013</v>
      </c>
      <c r="F4718" t="s">
        <v>754</v>
      </c>
      <c r="G4718" t="s">
        <v>4026</v>
      </c>
      <c r="H4718" t="s">
        <v>4516</v>
      </c>
      <c r="I4718" s="28" t="s">
        <v>24</v>
      </c>
    </row>
    <row r="4719" spans="1:9" x14ac:dyDescent="0.3">
      <c r="A4719" s="26">
        <v>45348</v>
      </c>
      <c r="B4719" t="s">
        <v>1011</v>
      </c>
      <c r="C4719" t="s">
        <v>771</v>
      </c>
      <c r="D4719">
        <v>0.2</v>
      </c>
      <c r="E4719" t="s">
        <v>7</v>
      </c>
      <c r="F4719" t="s">
        <v>772</v>
      </c>
      <c r="G4719" t="s">
        <v>1933</v>
      </c>
      <c r="H4719" t="s">
        <v>4516</v>
      </c>
      <c r="I4719" s="28" t="s">
        <v>24</v>
      </c>
    </row>
    <row r="4720" spans="1:9" x14ac:dyDescent="0.3">
      <c r="A4720" s="26">
        <v>45348</v>
      </c>
      <c r="B4720" t="s">
        <v>1011</v>
      </c>
      <c r="C4720" t="s">
        <v>776</v>
      </c>
      <c r="D4720">
        <v>3.28</v>
      </c>
      <c r="E4720" t="s">
        <v>259</v>
      </c>
      <c r="F4720" t="s">
        <v>754</v>
      </c>
      <c r="H4720" t="s">
        <v>4516</v>
      </c>
      <c r="I4720" s="28" t="s">
        <v>24</v>
      </c>
    </row>
    <row r="4721" spans="1:9" x14ac:dyDescent="0.3">
      <c r="A4721" s="26">
        <v>45348</v>
      </c>
      <c r="B4721" t="s">
        <v>1020</v>
      </c>
      <c r="C4721" t="s">
        <v>753</v>
      </c>
      <c r="D4721">
        <v>2.4</v>
      </c>
      <c r="E4721" t="s">
        <v>964</v>
      </c>
      <c r="F4721" t="s">
        <v>754</v>
      </c>
      <c r="G4721" t="s">
        <v>4027</v>
      </c>
      <c r="H4721" t="s">
        <v>4516</v>
      </c>
      <c r="I4721" s="28" t="s">
        <v>24</v>
      </c>
    </row>
    <row r="4722" spans="1:9" x14ac:dyDescent="0.3">
      <c r="A4722" s="26">
        <v>45348</v>
      </c>
      <c r="B4722" t="s">
        <v>1020</v>
      </c>
      <c r="C4722" t="s">
        <v>753</v>
      </c>
      <c r="D4722">
        <v>2.85</v>
      </c>
      <c r="E4722" t="s">
        <v>11</v>
      </c>
      <c r="F4722" t="s">
        <v>754</v>
      </c>
      <c r="H4722" t="s">
        <v>4516</v>
      </c>
      <c r="I4722" s="28" t="s">
        <v>24</v>
      </c>
    </row>
    <row r="4723" spans="1:9" x14ac:dyDescent="0.3">
      <c r="A4723" s="26">
        <v>45348</v>
      </c>
      <c r="B4723" t="s">
        <v>1020</v>
      </c>
      <c r="C4723" t="s">
        <v>784</v>
      </c>
      <c r="D4723">
        <v>4</v>
      </c>
      <c r="E4723" t="s">
        <v>7</v>
      </c>
      <c r="F4723" t="s">
        <v>772</v>
      </c>
      <c r="H4723" t="s">
        <v>4516</v>
      </c>
      <c r="I4723" s="28" t="s">
        <v>24</v>
      </c>
    </row>
    <row r="4724" spans="1:9" x14ac:dyDescent="0.3">
      <c r="A4724" s="26">
        <v>45348</v>
      </c>
      <c r="B4724" t="s">
        <v>1026</v>
      </c>
      <c r="C4724" t="s">
        <v>771</v>
      </c>
      <c r="D4724">
        <v>0.37</v>
      </c>
      <c r="E4724" t="s">
        <v>7</v>
      </c>
      <c r="F4724" t="s">
        <v>772</v>
      </c>
      <c r="G4724" t="s">
        <v>4028</v>
      </c>
      <c r="H4724" t="s">
        <v>4516</v>
      </c>
      <c r="I4724" s="28" t="s">
        <v>24</v>
      </c>
    </row>
    <row r="4725" spans="1:9" x14ac:dyDescent="0.3">
      <c r="A4725" s="26">
        <v>45348</v>
      </c>
      <c r="B4725" t="s">
        <v>1026</v>
      </c>
      <c r="C4725" t="s">
        <v>771</v>
      </c>
      <c r="D4725">
        <v>0.62</v>
      </c>
      <c r="E4725" t="s">
        <v>7</v>
      </c>
      <c r="F4725" t="s">
        <v>772</v>
      </c>
      <c r="G4725" t="s">
        <v>4029</v>
      </c>
      <c r="H4725" t="s">
        <v>4516</v>
      </c>
      <c r="I4725" s="28" t="s">
        <v>24</v>
      </c>
    </row>
    <row r="4726" spans="1:9" x14ac:dyDescent="0.3">
      <c r="A4726" s="26">
        <v>45348</v>
      </c>
      <c r="B4726" t="s">
        <v>1026</v>
      </c>
      <c r="C4726" t="s">
        <v>771</v>
      </c>
      <c r="D4726">
        <v>2.1800000000000002</v>
      </c>
      <c r="E4726" t="s">
        <v>7</v>
      </c>
      <c r="F4726" t="s">
        <v>772</v>
      </c>
      <c r="G4726" t="s">
        <v>4030</v>
      </c>
      <c r="H4726" t="s">
        <v>4516</v>
      </c>
      <c r="I4726" s="28" t="s">
        <v>24</v>
      </c>
    </row>
    <row r="4727" spans="1:9" x14ac:dyDescent="0.3">
      <c r="A4727" s="26">
        <v>45348</v>
      </c>
      <c r="B4727" t="s">
        <v>1026</v>
      </c>
      <c r="C4727" t="s">
        <v>771</v>
      </c>
      <c r="D4727">
        <v>4.88</v>
      </c>
      <c r="E4727" t="s">
        <v>7</v>
      </c>
      <c r="F4727" t="s">
        <v>772</v>
      </c>
      <c r="G4727" t="s">
        <v>4031</v>
      </c>
      <c r="H4727" t="s">
        <v>4516</v>
      </c>
      <c r="I4727" s="28" t="s">
        <v>24</v>
      </c>
    </row>
    <row r="4728" spans="1:9" x14ac:dyDescent="0.3">
      <c r="A4728" s="26">
        <v>45348</v>
      </c>
      <c r="B4728" t="s">
        <v>1026</v>
      </c>
      <c r="C4728" t="s">
        <v>874</v>
      </c>
      <c r="D4728">
        <v>0.32</v>
      </c>
      <c r="E4728" t="s">
        <v>7</v>
      </c>
      <c r="F4728" t="s">
        <v>772</v>
      </c>
      <c r="G4728" t="s">
        <v>4032</v>
      </c>
      <c r="H4728" t="s">
        <v>4516</v>
      </c>
      <c r="I4728" s="28" t="s">
        <v>24</v>
      </c>
    </row>
    <row r="4729" spans="1:9" x14ac:dyDescent="0.3">
      <c r="A4729" s="26">
        <v>45348</v>
      </c>
      <c r="B4729" t="s">
        <v>1032</v>
      </c>
      <c r="C4729" t="s">
        <v>784</v>
      </c>
      <c r="D4729">
        <v>8</v>
      </c>
      <c r="E4729" t="s">
        <v>7</v>
      </c>
      <c r="F4729" t="s">
        <v>772</v>
      </c>
      <c r="H4729" t="s">
        <v>4516</v>
      </c>
      <c r="I4729" s="28" t="s">
        <v>24</v>
      </c>
    </row>
    <row r="4730" spans="1:9" x14ac:dyDescent="0.3">
      <c r="A4730" s="26">
        <v>45348</v>
      </c>
      <c r="B4730" t="s">
        <v>1034</v>
      </c>
      <c r="C4730" t="s">
        <v>753</v>
      </c>
      <c r="D4730">
        <v>0.22</v>
      </c>
      <c r="E4730" t="s">
        <v>234</v>
      </c>
      <c r="F4730" t="s">
        <v>754</v>
      </c>
      <c r="G4730" t="s">
        <v>4033</v>
      </c>
      <c r="H4730" t="s">
        <v>4516</v>
      </c>
      <c r="I4730" s="28" t="s">
        <v>24</v>
      </c>
    </row>
    <row r="4731" spans="1:9" x14ac:dyDescent="0.3">
      <c r="A4731" s="26">
        <v>45348</v>
      </c>
      <c r="B4731" t="s">
        <v>1034</v>
      </c>
      <c r="C4731" t="s">
        <v>753</v>
      </c>
      <c r="D4731">
        <v>0.38</v>
      </c>
      <c r="E4731" t="s">
        <v>170</v>
      </c>
      <c r="F4731" t="s">
        <v>754</v>
      </c>
      <c r="G4731" t="s">
        <v>4034</v>
      </c>
      <c r="H4731" t="s">
        <v>4516</v>
      </c>
      <c r="I4731" s="28" t="s">
        <v>24</v>
      </c>
    </row>
    <row r="4732" spans="1:9" x14ac:dyDescent="0.3">
      <c r="A4732" s="26">
        <v>45348</v>
      </c>
      <c r="B4732" t="s">
        <v>1034</v>
      </c>
      <c r="C4732" t="s">
        <v>753</v>
      </c>
      <c r="D4732">
        <v>0.56999999999999995</v>
      </c>
      <c r="E4732" t="s">
        <v>564</v>
      </c>
      <c r="F4732" t="s">
        <v>754</v>
      </c>
      <c r="G4732" t="s">
        <v>4034</v>
      </c>
      <c r="H4732" t="s">
        <v>4516</v>
      </c>
      <c r="I4732" s="28" t="s">
        <v>24</v>
      </c>
    </row>
    <row r="4733" spans="1:9" x14ac:dyDescent="0.3">
      <c r="A4733" s="26">
        <v>45348</v>
      </c>
      <c r="B4733" t="s">
        <v>1034</v>
      </c>
      <c r="C4733" t="s">
        <v>753</v>
      </c>
      <c r="D4733">
        <v>0.57999999999999996</v>
      </c>
      <c r="E4733" t="s">
        <v>690</v>
      </c>
      <c r="F4733" t="s">
        <v>754</v>
      </c>
      <c r="G4733" t="s">
        <v>4034</v>
      </c>
      <c r="H4733" t="s">
        <v>4516</v>
      </c>
      <c r="I4733" s="28" t="s">
        <v>24</v>
      </c>
    </row>
    <row r="4734" spans="1:9" x14ac:dyDescent="0.3">
      <c r="A4734" s="26">
        <v>45348</v>
      </c>
      <c r="B4734" t="s">
        <v>1034</v>
      </c>
      <c r="C4734" t="s">
        <v>771</v>
      </c>
      <c r="D4734">
        <v>0.48</v>
      </c>
      <c r="E4734" t="s">
        <v>7</v>
      </c>
      <c r="F4734" t="s">
        <v>772</v>
      </c>
      <c r="G4734" t="s">
        <v>4035</v>
      </c>
      <c r="H4734" t="s">
        <v>4516</v>
      </c>
      <c r="I4734" s="28" t="s">
        <v>24</v>
      </c>
    </row>
    <row r="4735" spans="1:9" x14ac:dyDescent="0.3">
      <c r="A4735" s="26">
        <v>45348</v>
      </c>
      <c r="B4735" t="s">
        <v>1034</v>
      </c>
      <c r="C4735" t="s">
        <v>771</v>
      </c>
      <c r="D4735">
        <v>0.5</v>
      </c>
      <c r="E4735" t="s">
        <v>7</v>
      </c>
      <c r="F4735" t="s">
        <v>772</v>
      </c>
      <c r="G4735" t="s">
        <v>820</v>
      </c>
      <c r="H4735" t="s">
        <v>4516</v>
      </c>
      <c r="I4735" s="28" t="s">
        <v>24</v>
      </c>
    </row>
    <row r="4736" spans="1:9" x14ac:dyDescent="0.3">
      <c r="A4736" s="26">
        <v>45348</v>
      </c>
      <c r="B4736" t="s">
        <v>1034</v>
      </c>
      <c r="C4736" t="s">
        <v>916</v>
      </c>
      <c r="D4736">
        <v>0.28000000000000003</v>
      </c>
      <c r="E4736" t="s">
        <v>1543</v>
      </c>
      <c r="F4736" t="s">
        <v>754</v>
      </c>
      <c r="G4736" t="s">
        <v>4036</v>
      </c>
      <c r="H4736" t="s">
        <v>4516</v>
      </c>
      <c r="I4736" s="28" t="s">
        <v>24</v>
      </c>
    </row>
    <row r="4737" spans="1:9" x14ac:dyDescent="0.3">
      <c r="A4737" s="26">
        <v>45348</v>
      </c>
      <c r="B4737" t="s">
        <v>1034</v>
      </c>
      <c r="C4737" t="s">
        <v>916</v>
      </c>
      <c r="D4737">
        <v>0.37</v>
      </c>
      <c r="E4737" t="s">
        <v>1543</v>
      </c>
      <c r="F4737" t="s">
        <v>754</v>
      </c>
      <c r="G4737" t="s">
        <v>4037</v>
      </c>
      <c r="H4737" t="s">
        <v>4516</v>
      </c>
      <c r="I4737" s="28" t="s">
        <v>24</v>
      </c>
    </row>
    <row r="4738" spans="1:9" x14ac:dyDescent="0.3">
      <c r="A4738" s="26">
        <v>45348</v>
      </c>
      <c r="B4738" t="s">
        <v>1034</v>
      </c>
      <c r="C4738" t="s">
        <v>874</v>
      </c>
      <c r="D4738">
        <v>1.7</v>
      </c>
      <c r="E4738" t="s">
        <v>7</v>
      </c>
      <c r="F4738" t="s">
        <v>772</v>
      </c>
      <c r="G4738" t="s">
        <v>4038</v>
      </c>
      <c r="H4738" t="s">
        <v>4516</v>
      </c>
      <c r="I4738" s="28" t="s">
        <v>24</v>
      </c>
    </row>
    <row r="4739" spans="1:9" x14ac:dyDescent="0.3">
      <c r="A4739" s="26">
        <v>45348</v>
      </c>
      <c r="B4739" t="s">
        <v>1034</v>
      </c>
      <c r="C4739" t="s">
        <v>776</v>
      </c>
      <c r="D4739">
        <v>7.0000000000000007E-2</v>
      </c>
      <c r="E4739" t="s">
        <v>288</v>
      </c>
      <c r="F4739" t="s">
        <v>754</v>
      </c>
      <c r="G4739" t="s">
        <v>4039</v>
      </c>
      <c r="H4739" t="s">
        <v>4516</v>
      </c>
      <c r="I4739" s="28" t="s">
        <v>24</v>
      </c>
    </row>
    <row r="4740" spans="1:9" x14ac:dyDescent="0.3">
      <c r="A4740" s="26">
        <v>45348</v>
      </c>
      <c r="B4740" t="s">
        <v>1034</v>
      </c>
      <c r="C4740" t="s">
        <v>776</v>
      </c>
      <c r="D4740">
        <v>0.2</v>
      </c>
      <c r="E4740" t="s">
        <v>879</v>
      </c>
      <c r="F4740" t="s">
        <v>754</v>
      </c>
      <c r="G4740" t="s">
        <v>4040</v>
      </c>
      <c r="H4740" t="s">
        <v>4516</v>
      </c>
      <c r="I4740" s="28" t="s">
        <v>24</v>
      </c>
    </row>
    <row r="4741" spans="1:9" x14ac:dyDescent="0.3">
      <c r="A4741" s="26">
        <v>45348</v>
      </c>
      <c r="B4741" t="s">
        <v>1034</v>
      </c>
      <c r="C4741" t="s">
        <v>776</v>
      </c>
      <c r="D4741">
        <v>0.32</v>
      </c>
      <c r="E4741" t="s">
        <v>879</v>
      </c>
      <c r="F4741" t="s">
        <v>754</v>
      </c>
      <c r="G4741" t="s">
        <v>3087</v>
      </c>
      <c r="H4741" t="s">
        <v>4516</v>
      </c>
      <c r="I4741" s="28" t="s">
        <v>24</v>
      </c>
    </row>
    <row r="4742" spans="1:9" x14ac:dyDescent="0.3">
      <c r="A4742" s="26">
        <v>45348</v>
      </c>
      <c r="B4742" t="s">
        <v>1034</v>
      </c>
      <c r="C4742" t="s">
        <v>776</v>
      </c>
      <c r="D4742">
        <v>0.45</v>
      </c>
      <c r="E4742" t="s">
        <v>151</v>
      </c>
      <c r="F4742" t="s">
        <v>754</v>
      </c>
      <c r="G4742" t="s">
        <v>1466</v>
      </c>
      <c r="H4742" t="s">
        <v>4516</v>
      </c>
      <c r="I4742" s="28" t="s">
        <v>24</v>
      </c>
    </row>
    <row r="4743" spans="1:9" x14ac:dyDescent="0.3">
      <c r="A4743" s="26">
        <v>45348</v>
      </c>
      <c r="B4743" t="s">
        <v>1034</v>
      </c>
      <c r="C4743" t="s">
        <v>776</v>
      </c>
      <c r="D4743">
        <v>0.52</v>
      </c>
      <c r="E4743" t="s">
        <v>879</v>
      </c>
      <c r="F4743" t="s">
        <v>754</v>
      </c>
      <c r="G4743" t="s">
        <v>4041</v>
      </c>
      <c r="H4743" t="s">
        <v>4516</v>
      </c>
      <c r="I4743" s="28" t="s">
        <v>24</v>
      </c>
    </row>
    <row r="4744" spans="1:9" x14ac:dyDescent="0.3">
      <c r="A4744" s="26">
        <v>45348</v>
      </c>
      <c r="B4744" t="s">
        <v>1034</v>
      </c>
      <c r="C4744" t="s">
        <v>776</v>
      </c>
      <c r="D4744">
        <v>0.62</v>
      </c>
      <c r="E4744" t="s">
        <v>879</v>
      </c>
      <c r="F4744" t="s">
        <v>754</v>
      </c>
      <c r="G4744" t="s">
        <v>4042</v>
      </c>
      <c r="H4744" t="s">
        <v>4516</v>
      </c>
      <c r="I4744" s="28" t="s">
        <v>24</v>
      </c>
    </row>
    <row r="4745" spans="1:9" x14ac:dyDescent="0.3">
      <c r="A4745" s="26">
        <v>45348</v>
      </c>
      <c r="B4745" t="s">
        <v>1034</v>
      </c>
      <c r="C4745" t="s">
        <v>776</v>
      </c>
      <c r="D4745">
        <v>0.75</v>
      </c>
      <c r="E4745" t="s">
        <v>978</v>
      </c>
      <c r="F4745" t="s">
        <v>754</v>
      </c>
      <c r="G4745" t="s">
        <v>4043</v>
      </c>
      <c r="H4745" t="s">
        <v>4516</v>
      </c>
      <c r="I4745" s="28" t="s">
        <v>24</v>
      </c>
    </row>
    <row r="4746" spans="1:9" x14ac:dyDescent="0.3">
      <c r="A4746" s="26">
        <v>45348</v>
      </c>
      <c r="B4746" t="s">
        <v>1049</v>
      </c>
      <c r="C4746" t="s">
        <v>753</v>
      </c>
      <c r="D4746">
        <v>0.55000000000000004</v>
      </c>
      <c r="E4746" t="s">
        <v>316</v>
      </c>
      <c r="F4746" t="s">
        <v>754</v>
      </c>
      <c r="G4746" t="s">
        <v>4044</v>
      </c>
      <c r="H4746" t="s">
        <v>4516</v>
      </c>
      <c r="I4746" s="28" t="s">
        <v>24</v>
      </c>
    </row>
    <row r="4747" spans="1:9" x14ac:dyDescent="0.3">
      <c r="A4747" s="26">
        <v>45348</v>
      </c>
      <c r="B4747" t="s">
        <v>1049</v>
      </c>
      <c r="C4747" t="s">
        <v>753</v>
      </c>
      <c r="D4747">
        <v>0.83</v>
      </c>
      <c r="E4747" t="s">
        <v>316</v>
      </c>
      <c r="F4747" t="s">
        <v>754</v>
      </c>
      <c r="G4747" t="s">
        <v>4045</v>
      </c>
      <c r="H4747" t="s">
        <v>4516</v>
      </c>
      <c r="I4747" s="28" t="s">
        <v>24</v>
      </c>
    </row>
    <row r="4748" spans="1:9" x14ac:dyDescent="0.3">
      <c r="A4748" s="26">
        <v>45348</v>
      </c>
      <c r="B4748" t="s">
        <v>1049</v>
      </c>
      <c r="C4748" t="s">
        <v>753</v>
      </c>
      <c r="D4748">
        <v>1.58</v>
      </c>
      <c r="E4748" t="s">
        <v>316</v>
      </c>
      <c r="F4748" t="s">
        <v>754</v>
      </c>
      <c r="G4748" t="s">
        <v>4046</v>
      </c>
      <c r="H4748" t="s">
        <v>4516</v>
      </c>
      <c r="I4748" s="28" t="s">
        <v>24</v>
      </c>
    </row>
    <row r="4749" spans="1:9" x14ac:dyDescent="0.3">
      <c r="A4749" s="26">
        <v>45348</v>
      </c>
      <c r="B4749" t="s">
        <v>1049</v>
      </c>
      <c r="C4749" t="s">
        <v>753</v>
      </c>
      <c r="D4749">
        <v>1.68</v>
      </c>
      <c r="E4749" t="s">
        <v>964</v>
      </c>
      <c r="F4749" t="s">
        <v>754</v>
      </c>
      <c r="G4749" t="s">
        <v>4047</v>
      </c>
      <c r="H4749" t="s">
        <v>4516</v>
      </c>
      <c r="I4749" s="28" t="s">
        <v>24</v>
      </c>
    </row>
    <row r="4750" spans="1:9" x14ac:dyDescent="0.3">
      <c r="A4750" s="26">
        <v>45348</v>
      </c>
      <c r="B4750" t="s">
        <v>1049</v>
      </c>
      <c r="C4750" t="s">
        <v>753</v>
      </c>
      <c r="D4750">
        <v>1.82</v>
      </c>
      <c r="E4750" t="s">
        <v>964</v>
      </c>
      <c r="F4750" t="s">
        <v>754</v>
      </c>
      <c r="G4750" t="s">
        <v>4048</v>
      </c>
      <c r="H4750" t="s">
        <v>4516</v>
      </c>
      <c r="I4750" s="28" t="s">
        <v>24</v>
      </c>
    </row>
    <row r="4751" spans="1:9" x14ac:dyDescent="0.3">
      <c r="A4751" s="26">
        <v>45348</v>
      </c>
      <c r="B4751" t="s">
        <v>1049</v>
      </c>
      <c r="C4751" t="s">
        <v>789</v>
      </c>
      <c r="D4751">
        <v>0.62</v>
      </c>
      <c r="E4751" t="s">
        <v>316</v>
      </c>
      <c r="F4751" t="s">
        <v>754</v>
      </c>
      <c r="G4751" t="s">
        <v>4049</v>
      </c>
      <c r="H4751" t="s">
        <v>4516</v>
      </c>
      <c r="I4751" s="28" t="s">
        <v>24</v>
      </c>
    </row>
    <row r="4752" spans="1:9" x14ac:dyDescent="0.3">
      <c r="A4752" s="26">
        <v>45348</v>
      </c>
      <c r="B4752" t="s">
        <v>1049</v>
      </c>
      <c r="C4752" t="s">
        <v>771</v>
      </c>
      <c r="D4752">
        <v>0.08</v>
      </c>
      <c r="E4752" t="s">
        <v>7</v>
      </c>
      <c r="F4752" t="s">
        <v>772</v>
      </c>
      <c r="G4752" t="s">
        <v>4050</v>
      </c>
      <c r="H4752" t="s">
        <v>4516</v>
      </c>
      <c r="I4752" s="28" t="s">
        <v>24</v>
      </c>
    </row>
    <row r="4753" spans="1:9" x14ac:dyDescent="0.3">
      <c r="A4753" s="26">
        <v>45348</v>
      </c>
      <c r="B4753" t="s">
        <v>1049</v>
      </c>
      <c r="C4753" t="s">
        <v>771</v>
      </c>
      <c r="D4753">
        <v>0.5</v>
      </c>
      <c r="E4753" t="s">
        <v>7</v>
      </c>
      <c r="F4753" t="s">
        <v>772</v>
      </c>
      <c r="G4753" t="s">
        <v>1058</v>
      </c>
      <c r="H4753" t="s">
        <v>4516</v>
      </c>
      <c r="I4753" s="28" t="s">
        <v>24</v>
      </c>
    </row>
    <row r="4754" spans="1:9" x14ac:dyDescent="0.3">
      <c r="A4754" s="26">
        <v>45348</v>
      </c>
      <c r="B4754" t="s">
        <v>1049</v>
      </c>
      <c r="C4754" t="s">
        <v>776</v>
      </c>
      <c r="D4754">
        <v>0.38</v>
      </c>
      <c r="E4754" t="s">
        <v>10</v>
      </c>
      <c r="F4754" t="s">
        <v>754</v>
      </c>
      <c r="H4754" t="s">
        <v>4516</v>
      </c>
      <c r="I4754" s="28" t="s">
        <v>24</v>
      </c>
    </row>
    <row r="4755" spans="1:9" x14ac:dyDescent="0.3">
      <c r="A4755" s="26">
        <v>45348</v>
      </c>
      <c r="B4755" t="s">
        <v>1060</v>
      </c>
      <c r="C4755" t="s">
        <v>909</v>
      </c>
      <c r="D4755">
        <v>0.5</v>
      </c>
      <c r="E4755" t="s">
        <v>964</v>
      </c>
      <c r="F4755" t="s">
        <v>772</v>
      </c>
      <c r="G4755" t="s">
        <v>4051</v>
      </c>
      <c r="H4755" t="s">
        <v>4516</v>
      </c>
      <c r="I4755" s="28" t="s">
        <v>24</v>
      </c>
    </row>
    <row r="4756" spans="1:9" x14ac:dyDescent="0.3">
      <c r="A4756" s="26">
        <v>45348</v>
      </c>
      <c r="B4756" t="s">
        <v>1060</v>
      </c>
      <c r="C4756" t="s">
        <v>909</v>
      </c>
      <c r="D4756">
        <v>0.75</v>
      </c>
      <c r="E4756" t="s">
        <v>288</v>
      </c>
      <c r="F4756" t="s">
        <v>754</v>
      </c>
      <c r="G4756" t="s">
        <v>4052</v>
      </c>
      <c r="H4756" t="s">
        <v>4516</v>
      </c>
      <c r="I4756" s="28" t="s">
        <v>24</v>
      </c>
    </row>
    <row r="4757" spans="1:9" x14ac:dyDescent="0.3">
      <c r="A4757" s="26">
        <v>45348</v>
      </c>
      <c r="B4757" t="s">
        <v>1060</v>
      </c>
      <c r="C4757" t="s">
        <v>909</v>
      </c>
      <c r="D4757">
        <v>1</v>
      </c>
      <c r="E4757" t="s">
        <v>316</v>
      </c>
      <c r="F4757" t="s">
        <v>754</v>
      </c>
      <c r="G4757" t="s">
        <v>4053</v>
      </c>
      <c r="H4757" t="s">
        <v>4516</v>
      </c>
      <c r="I4757" s="28" t="s">
        <v>24</v>
      </c>
    </row>
    <row r="4758" spans="1:9" x14ac:dyDescent="0.3">
      <c r="A4758" s="26">
        <v>45348</v>
      </c>
      <c r="B4758" t="s">
        <v>1060</v>
      </c>
      <c r="C4758" t="s">
        <v>771</v>
      </c>
      <c r="D4758">
        <v>1.5</v>
      </c>
      <c r="E4758" t="s">
        <v>7</v>
      </c>
      <c r="F4758" t="s">
        <v>772</v>
      </c>
      <c r="G4758" t="s">
        <v>4054</v>
      </c>
      <c r="H4758" t="s">
        <v>4516</v>
      </c>
      <c r="I4758" s="28" t="s">
        <v>24</v>
      </c>
    </row>
    <row r="4759" spans="1:9" x14ac:dyDescent="0.3">
      <c r="A4759" s="26">
        <v>45348</v>
      </c>
      <c r="B4759" t="s">
        <v>1060</v>
      </c>
      <c r="C4759" t="s">
        <v>916</v>
      </c>
      <c r="D4759">
        <v>0.33</v>
      </c>
      <c r="E4759" t="s">
        <v>624</v>
      </c>
      <c r="F4759" t="s">
        <v>754</v>
      </c>
      <c r="G4759" t="s">
        <v>4055</v>
      </c>
      <c r="H4759" t="s">
        <v>4516</v>
      </c>
      <c r="I4759" s="28" t="s">
        <v>24</v>
      </c>
    </row>
    <row r="4760" spans="1:9" x14ac:dyDescent="0.3">
      <c r="A4760" s="26">
        <v>45348</v>
      </c>
      <c r="B4760" t="s">
        <v>1060</v>
      </c>
      <c r="C4760" t="s">
        <v>916</v>
      </c>
      <c r="D4760">
        <v>0.5</v>
      </c>
      <c r="E4760" t="s">
        <v>606</v>
      </c>
      <c r="F4760" t="s">
        <v>754</v>
      </c>
      <c r="G4760" t="s">
        <v>4056</v>
      </c>
      <c r="H4760" t="s">
        <v>4516</v>
      </c>
      <c r="I4760" s="28" t="s">
        <v>24</v>
      </c>
    </row>
    <row r="4761" spans="1:9" x14ac:dyDescent="0.3">
      <c r="A4761" s="26">
        <v>45348</v>
      </c>
      <c r="B4761" t="s">
        <v>1060</v>
      </c>
      <c r="C4761" t="s">
        <v>834</v>
      </c>
      <c r="D4761">
        <v>2.5</v>
      </c>
      <c r="E4761" t="s">
        <v>7</v>
      </c>
      <c r="F4761" t="s">
        <v>772</v>
      </c>
      <c r="G4761" t="s">
        <v>4057</v>
      </c>
      <c r="H4761" t="s">
        <v>4516</v>
      </c>
      <c r="I4761" s="28" t="s">
        <v>24</v>
      </c>
    </row>
    <row r="4762" spans="1:9" x14ac:dyDescent="0.3">
      <c r="A4762" s="26">
        <v>45348</v>
      </c>
      <c r="B4762" t="s">
        <v>1060</v>
      </c>
      <c r="C4762" t="s">
        <v>874</v>
      </c>
      <c r="D4762">
        <v>0.33</v>
      </c>
      <c r="E4762" t="s">
        <v>7</v>
      </c>
      <c r="F4762" t="s">
        <v>772</v>
      </c>
      <c r="G4762" t="s">
        <v>1492</v>
      </c>
      <c r="H4762" t="s">
        <v>4516</v>
      </c>
      <c r="I4762" s="28" t="s">
        <v>24</v>
      </c>
    </row>
    <row r="4763" spans="1:9" x14ac:dyDescent="0.3">
      <c r="A4763" s="26">
        <v>45348</v>
      </c>
      <c r="B4763" t="s">
        <v>1060</v>
      </c>
      <c r="C4763" t="s">
        <v>874</v>
      </c>
      <c r="D4763">
        <v>0.5</v>
      </c>
      <c r="E4763" t="s">
        <v>7</v>
      </c>
      <c r="F4763" t="s">
        <v>772</v>
      </c>
      <c r="G4763" t="s">
        <v>2571</v>
      </c>
      <c r="H4763" t="s">
        <v>4516</v>
      </c>
      <c r="I4763" s="28" t="s">
        <v>24</v>
      </c>
    </row>
    <row r="4764" spans="1:9" x14ac:dyDescent="0.3">
      <c r="A4764" s="26">
        <v>45348</v>
      </c>
      <c r="B4764" t="s">
        <v>2945</v>
      </c>
      <c r="C4764" t="s">
        <v>771</v>
      </c>
      <c r="D4764">
        <v>8.83</v>
      </c>
      <c r="E4764" t="s">
        <v>7</v>
      </c>
      <c r="F4764" t="s">
        <v>772</v>
      </c>
      <c r="G4764" t="s">
        <v>4058</v>
      </c>
      <c r="H4764" t="s">
        <v>4516</v>
      </c>
      <c r="I4764" s="28" t="s">
        <v>24</v>
      </c>
    </row>
    <row r="4765" spans="1:9" x14ac:dyDescent="0.3">
      <c r="A4765" s="26">
        <v>45348</v>
      </c>
      <c r="B4765" t="s">
        <v>1074</v>
      </c>
      <c r="C4765" t="s">
        <v>753</v>
      </c>
      <c r="D4765">
        <v>0.8</v>
      </c>
      <c r="E4765" t="s">
        <v>964</v>
      </c>
      <c r="F4765" t="s">
        <v>754</v>
      </c>
      <c r="G4765" t="s">
        <v>4059</v>
      </c>
      <c r="H4765" t="s">
        <v>4516</v>
      </c>
      <c r="I4765" s="28" t="s">
        <v>24</v>
      </c>
    </row>
    <row r="4766" spans="1:9" x14ac:dyDescent="0.3">
      <c r="A4766" s="26">
        <v>45348</v>
      </c>
      <c r="B4766" t="s">
        <v>1074</v>
      </c>
      <c r="C4766" t="s">
        <v>906</v>
      </c>
      <c r="D4766">
        <v>0.2</v>
      </c>
      <c r="E4766" t="s">
        <v>7</v>
      </c>
      <c r="F4766" t="s">
        <v>772</v>
      </c>
      <c r="G4766" t="s">
        <v>4060</v>
      </c>
      <c r="H4766" t="s">
        <v>4516</v>
      </c>
      <c r="I4766" s="28" t="s">
        <v>24</v>
      </c>
    </row>
    <row r="4767" spans="1:9" x14ac:dyDescent="0.3">
      <c r="A4767" s="26">
        <v>45348</v>
      </c>
      <c r="B4767" t="s">
        <v>1074</v>
      </c>
      <c r="C4767" t="s">
        <v>906</v>
      </c>
      <c r="D4767">
        <v>0.65</v>
      </c>
      <c r="E4767" t="s">
        <v>7</v>
      </c>
      <c r="F4767" t="s">
        <v>772</v>
      </c>
      <c r="G4767" t="s">
        <v>4061</v>
      </c>
      <c r="H4767" t="s">
        <v>4516</v>
      </c>
      <c r="I4767" s="28" t="s">
        <v>24</v>
      </c>
    </row>
    <row r="4768" spans="1:9" x14ac:dyDescent="0.3">
      <c r="A4768" s="26">
        <v>45348</v>
      </c>
      <c r="B4768" t="s">
        <v>1074</v>
      </c>
      <c r="C4768" t="s">
        <v>909</v>
      </c>
      <c r="D4768">
        <v>1</v>
      </c>
      <c r="E4768" t="s">
        <v>964</v>
      </c>
      <c r="F4768" t="s">
        <v>754</v>
      </c>
      <c r="G4768" t="s">
        <v>4062</v>
      </c>
      <c r="H4768" t="s">
        <v>4516</v>
      </c>
      <c r="I4768" s="28" t="s">
        <v>24</v>
      </c>
    </row>
    <row r="4769" spans="1:9" x14ac:dyDescent="0.3">
      <c r="A4769" s="26">
        <v>45348</v>
      </c>
      <c r="B4769" t="s">
        <v>1074</v>
      </c>
      <c r="C4769" t="s">
        <v>1973</v>
      </c>
      <c r="D4769">
        <v>1</v>
      </c>
      <c r="E4769" t="s">
        <v>336</v>
      </c>
      <c r="F4769" t="s">
        <v>754</v>
      </c>
      <c r="G4769" t="s">
        <v>4063</v>
      </c>
      <c r="H4769" t="s">
        <v>4516</v>
      </c>
      <c r="I4769" s="28" t="s">
        <v>24</v>
      </c>
    </row>
    <row r="4770" spans="1:9" x14ac:dyDescent="0.3">
      <c r="A4770" s="26">
        <v>45348</v>
      </c>
      <c r="B4770" t="s">
        <v>1074</v>
      </c>
      <c r="C4770" t="s">
        <v>771</v>
      </c>
      <c r="D4770">
        <v>0.7</v>
      </c>
      <c r="E4770" t="s">
        <v>7</v>
      </c>
      <c r="F4770" t="s">
        <v>772</v>
      </c>
      <c r="G4770" t="s">
        <v>4064</v>
      </c>
      <c r="H4770" t="s">
        <v>4516</v>
      </c>
      <c r="I4770" s="28" t="s">
        <v>24</v>
      </c>
    </row>
    <row r="4771" spans="1:9" x14ac:dyDescent="0.3">
      <c r="A4771" s="26">
        <v>45348</v>
      </c>
      <c r="B4771" t="s">
        <v>1074</v>
      </c>
      <c r="C4771" t="s">
        <v>835</v>
      </c>
      <c r="D4771">
        <v>2.5</v>
      </c>
      <c r="E4771" t="s">
        <v>964</v>
      </c>
      <c r="F4771" t="s">
        <v>754</v>
      </c>
      <c r="H4771" t="s">
        <v>4516</v>
      </c>
      <c r="I4771" s="28" t="s">
        <v>24</v>
      </c>
    </row>
    <row r="4772" spans="1:9" x14ac:dyDescent="0.3">
      <c r="A4772" s="26">
        <v>45348</v>
      </c>
      <c r="B4772" t="s">
        <v>1074</v>
      </c>
      <c r="C4772" t="s">
        <v>874</v>
      </c>
      <c r="D4772">
        <v>0.4</v>
      </c>
      <c r="E4772" t="s">
        <v>7</v>
      </c>
      <c r="F4772" t="s">
        <v>772</v>
      </c>
      <c r="H4772" t="s">
        <v>4516</v>
      </c>
      <c r="I4772" s="28" t="s">
        <v>24</v>
      </c>
    </row>
    <row r="4773" spans="1:9" x14ac:dyDescent="0.3">
      <c r="A4773" s="26">
        <v>45348</v>
      </c>
      <c r="B4773" t="s">
        <v>1074</v>
      </c>
      <c r="C4773" t="s">
        <v>874</v>
      </c>
      <c r="D4773">
        <v>0.5</v>
      </c>
      <c r="E4773" t="s">
        <v>7</v>
      </c>
      <c r="F4773" t="s">
        <v>772</v>
      </c>
      <c r="G4773" t="s">
        <v>4065</v>
      </c>
      <c r="H4773" t="s">
        <v>4516</v>
      </c>
      <c r="I4773" s="28" t="s">
        <v>24</v>
      </c>
    </row>
    <row r="4774" spans="1:9" x14ac:dyDescent="0.3">
      <c r="A4774" s="26">
        <v>45348</v>
      </c>
      <c r="B4774" t="s">
        <v>1074</v>
      </c>
      <c r="C4774" t="s">
        <v>919</v>
      </c>
      <c r="D4774">
        <v>0.5</v>
      </c>
      <c r="E4774" t="s">
        <v>964</v>
      </c>
      <c r="F4774" t="s">
        <v>754</v>
      </c>
      <c r="G4774" t="s">
        <v>4066</v>
      </c>
      <c r="H4774" t="s">
        <v>4516</v>
      </c>
      <c r="I4774" s="28" t="s">
        <v>24</v>
      </c>
    </row>
    <row r="4775" spans="1:9" x14ac:dyDescent="0.3">
      <c r="A4775" s="26">
        <v>45348</v>
      </c>
      <c r="B4775" t="s">
        <v>1081</v>
      </c>
      <c r="C4775" t="s">
        <v>942</v>
      </c>
      <c r="D4775">
        <v>8</v>
      </c>
      <c r="E4775" t="s">
        <v>7</v>
      </c>
      <c r="F4775" t="s">
        <v>772</v>
      </c>
      <c r="H4775" t="s">
        <v>4516</v>
      </c>
      <c r="I4775" s="28" t="s">
        <v>24</v>
      </c>
    </row>
    <row r="4776" spans="1:9" x14ac:dyDescent="0.3">
      <c r="A4776" s="26">
        <v>45349</v>
      </c>
      <c r="B4776" t="s">
        <v>752</v>
      </c>
      <c r="C4776" t="s">
        <v>1163</v>
      </c>
      <c r="D4776">
        <v>8</v>
      </c>
      <c r="E4776" t="s">
        <v>7</v>
      </c>
      <c r="F4776" t="s">
        <v>772</v>
      </c>
      <c r="G4776" t="s">
        <v>4067</v>
      </c>
      <c r="H4776" t="s">
        <v>4516</v>
      </c>
      <c r="I4776" s="28" t="s">
        <v>25</v>
      </c>
    </row>
    <row r="4777" spans="1:9" x14ac:dyDescent="0.3">
      <c r="A4777" s="26">
        <v>45349</v>
      </c>
      <c r="B4777" t="s">
        <v>1093</v>
      </c>
      <c r="C4777" t="s">
        <v>1522</v>
      </c>
      <c r="D4777">
        <v>1</v>
      </c>
      <c r="E4777" t="s">
        <v>455</v>
      </c>
      <c r="F4777" t="s">
        <v>754</v>
      </c>
      <c r="G4777" t="s">
        <v>4068</v>
      </c>
      <c r="H4777" t="s">
        <v>4516</v>
      </c>
      <c r="I4777" s="28" t="s">
        <v>25</v>
      </c>
    </row>
    <row r="4778" spans="1:9" x14ac:dyDescent="0.3">
      <c r="A4778" s="26">
        <v>45349</v>
      </c>
      <c r="B4778" t="s">
        <v>1093</v>
      </c>
      <c r="C4778" t="s">
        <v>1309</v>
      </c>
      <c r="D4778">
        <v>1.17</v>
      </c>
      <c r="E4778" t="s">
        <v>455</v>
      </c>
      <c r="F4778" t="s">
        <v>754</v>
      </c>
      <c r="G4778" t="s">
        <v>4069</v>
      </c>
      <c r="H4778" t="s">
        <v>4516</v>
      </c>
      <c r="I4778" s="28" t="s">
        <v>25</v>
      </c>
    </row>
    <row r="4779" spans="1:9" x14ac:dyDescent="0.3">
      <c r="A4779" s="26">
        <v>45349</v>
      </c>
      <c r="B4779" t="s">
        <v>1093</v>
      </c>
      <c r="C4779" t="s">
        <v>1094</v>
      </c>
      <c r="D4779">
        <v>1.58</v>
      </c>
      <c r="E4779" t="s">
        <v>455</v>
      </c>
      <c r="F4779" t="s">
        <v>754</v>
      </c>
      <c r="G4779" t="s">
        <v>4070</v>
      </c>
      <c r="H4779" t="s">
        <v>4516</v>
      </c>
      <c r="I4779" s="28" t="s">
        <v>25</v>
      </c>
    </row>
    <row r="4780" spans="1:9" x14ac:dyDescent="0.3">
      <c r="A4780" s="26">
        <v>45349</v>
      </c>
      <c r="B4780" t="s">
        <v>21</v>
      </c>
      <c r="C4780" t="s">
        <v>753</v>
      </c>
      <c r="D4780">
        <v>1.2</v>
      </c>
      <c r="E4780" t="s">
        <v>13</v>
      </c>
      <c r="F4780" t="s">
        <v>754</v>
      </c>
      <c r="H4780" t="s">
        <v>4516</v>
      </c>
      <c r="I4780" s="28" t="s">
        <v>25</v>
      </c>
    </row>
    <row r="4781" spans="1:9" x14ac:dyDescent="0.3">
      <c r="A4781" s="26">
        <v>45349</v>
      </c>
      <c r="B4781" t="s">
        <v>21</v>
      </c>
      <c r="C4781" t="s">
        <v>753</v>
      </c>
      <c r="D4781">
        <v>1.35</v>
      </c>
      <c r="E4781" t="s">
        <v>589</v>
      </c>
      <c r="F4781" t="s">
        <v>754</v>
      </c>
      <c r="H4781" t="s">
        <v>4516</v>
      </c>
      <c r="I4781" s="28" t="s">
        <v>25</v>
      </c>
    </row>
    <row r="4782" spans="1:9" x14ac:dyDescent="0.3">
      <c r="A4782" s="26">
        <v>45349</v>
      </c>
      <c r="B4782" t="s">
        <v>21</v>
      </c>
      <c r="C4782" t="s">
        <v>771</v>
      </c>
      <c r="D4782">
        <v>0.2</v>
      </c>
      <c r="E4782" t="s">
        <v>7</v>
      </c>
      <c r="F4782" t="s">
        <v>772</v>
      </c>
      <c r="G4782" t="s">
        <v>4071</v>
      </c>
      <c r="H4782" t="s">
        <v>4516</v>
      </c>
      <c r="I4782" s="28" t="s">
        <v>25</v>
      </c>
    </row>
    <row r="4783" spans="1:9" x14ac:dyDescent="0.3">
      <c r="A4783" s="26">
        <v>45349</v>
      </c>
      <c r="B4783" t="s">
        <v>21</v>
      </c>
      <c r="C4783" t="s">
        <v>771</v>
      </c>
      <c r="D4783">
        <v>0.56999999999999995</v>
      </c>
      <c r="E4783" t="s">
        <v>7</v>
      </c>
      <c r="F4783" t="s">
        <v>772</v>
      </c>
      <c r="G4783" t="s">
        <v>3127</v>
      </c>
      <c r="H4783" t="s">
        <v>4516</v>
      </c>
      <c r="I4783" s="28" t="s">
        <v>25</v>
      </c>
    </row>
    <row r="4784" spans="1:9" x14ac:dyDescent="0.3">
      <c r="A4784" s="26">
        <v>45349</v>
      </c>
      <c r="B4784" t="s">
        <v>21</v>
      </c>
      <c r="C4784" t="s">
        <v>771</v>
      </c>
      <c r="D4784">
        <v>0.75</v>
      </c>
      <c r="E4784" t="s">
        <v>7</v>
      </c>
      <c r="F4784" t="s">
        <v>772</v>
      </c>
      <c r="G4784" t="s">
        <v>4072</v>
      </c>
      <c r="H4784" t="s">
        <v>4516</v>
      </c>
      <c r="I4784" s="28" t="s">
        <v>25</v>
      </c>
    </row>
    <row r="4785" spans="1:9" x14ac:dyDescent="0.3">
      <c r="A4785" s="26">
        <v>45349</v>
      </c>
      <c r="B4785" t="s">
        <v>21</v>
      </c>
      <c r="C4785" t="s">
        <v>771</v>
      </c>
      <c r="D4785">
        <v>0.82</v>
      </c>
      <c r="E4785" t="s">
        <v>7</v>
      </c>
      <c r="F4785" t="s">
        <v>772</v>
      </c>
      <c r="H4785" t="s">
        <v>4516</v>
      </c>
      <c r="I4785" s="28" t="s">
        <v>25</v>
      </c>
    </row>
    <row r="4786" spans="1:9" x14ac:dyDescent="0.3">
      <c r="A4786" s="26">
        <v>45349</v>
      </c>
      <c r="B4786" t="s">
        <v>21</v>
      </c>
      <c r="C4786" t="s">
        <v>834</v>
      </c>
      <c r="D4786">
        <v>0.48</v>
      </c>
      <c r="E4786" t="s">
        <v>7</v>
      </c>
      <c r="F4786" t="s">
        <v>772</v>
      </c>
      <c r="G4786" t="s">
        <v>4073</v>
      </c>
      <c r="H4786" t="s">
        <v>4516</v>
      </c>
      <c r="I4786" s="28" t="s">
        <v>25</v>
      </c>
    </row>
    <row r="4787" spans="1:9" x14ac:dyDescent="0.3">
      <c r="A4787" s="26">
        <v>45349</v>
      </c>
      <c r="B4787" t="s">
        <v>785</v>
      </c>
      <c r="C4787" t="s">
        <v>786</v>
      </c>
      <c r="D4787">
        <v>8</v>
      </c>
      <c r="E4787" t="s">
        <v>7</v>
      </c>
      <c r="F4787" t="s">
        <v>772</v>
      </c>
      <c r="G4787" t="s">
        <v>3917</v>
      </c>
      <c r="H4787" t="s">
        <v>4516</v>
      </c>
      <c r="I4787" s="28" t="s">
        <v>25</v>
      </c>
    </row>
    <row r="4788" spans="1:9" x14ac:dyDescent="0.3">
      <c r="A4788" s="26">
        <v>45349</v>
      </c>
      <c r="B4788" t="s">
        <v>788</v>
      </c>
      <c r="C4788" t="s">
        <v>786</v>
      </c>
      <c r="D4788">
        <v>7</v>
      </c>
      <c r="E4788" t="s">
        <v>7</v>
      </c>
      <c r="F4788" t="s">
        <v>772</v>
      </c>
      <c r="H4788" t="s">
        <v>4516</v>
      </c>
      <c r="I4788" s="28" t="s">
        <v>25</v>
      </c>
    </row>
    <row r="4789" spans="1:9" x14ac:dyDescent="0.3">
      <c r="A4789" s="26">
        <v>45349</v>
      </c>
      <c r="B4789" t="s">
        <v>792</v>
      </c>
      <c r="C4789" t="s">
        <v>753</v>
      </c>
      <c r="D4789">
        <v>1.53</v>
      </c>
      <c r="E4789" t="s">
        <v>790</v>
      </c>
      <c r="F4789" t="s">
        <v>754</v>
      </c>
      <c r="G4789" t="s">
        <v>2257</v>
      </c>
      <c r="H4789" t="s">
        <v>4516</v>
      </c>
      <c r="I4789" s="28" t="s">
        <v>25</v>
      </c>
    </row>
    <row r="4790" spans="1:9" x14ac:dyDescent="0.3">
      <c r="A4790" s="26">
        <v>45349</v>
      </c>
      <c r="B4790" t="s">
        <v>792</v>
      </c>
      <c r="C4790" t="s">
        <v>753</v>
      </c>
      <c r="D4790">
        <v>1.82</v>
      </c>
      <c r="E4790" t="s">
        <v>790</v>
      </c>
      <c r="F4790" t="s">
        <v>754</v>
      </c>
      <c r="G4790" t="s">
        <v>2426</v>
      </c>
      <c r="H4790" t="s">
        <v>4516</v>
      </c>
      <c r="I4790" s="28" t="s">
        <v>25</v>
      </c>
    </row>
    <row r="4791" spans="1:9" x14ac:dyDescent="0.3">
      <c r="A4791" s="26">
        <v>45349</v>
      </c>
      <c r="B4791" t="s">
        <v>792</v>
      </c>
      <c r="C4791" t="s">
        <v>753</v>
      </c>
      <c r="D4791">
        <v>2.3199999999999998</v>
      </c>
      <c r="E4791" t="s">
        <v>790</v>
      </c>
      <c r="F4791" t="s">
        <v>754</v>
      </c>
      <c r="G4791" t="s">
        <v>4074</v>
      </c>
      <c r="H4791" t="s">
        <v>4516</v>
      </c>
      <c r="I4791" s="28" t="s">
        <v>25</v>
      </c>
    </row>
    <row r="4792" spans="1:9" x14ac:dyDescent="0.3">
      <c r="A4792" s="26">
        <v>45349</v>
      </c>
      <c r="B4792" t="s">
        <v>792</v>
      </c>
      <c r="C4792" t="s">
        <v>753</v>
      </c>
      <c r="D4792">
        <v>2.6</v>
      </c>
      <c r="E4792" t="s">
        <v>790</v>
      </c>
      <c r="F4792" t="s">
        <v>754</v>
      </c>
      <c r="G4792" t="s">
        <v>2790</v>
      </c>
      <c r="H4792" t="s">
        <v>4516</v>
      </c>
      <c r="I4792" s="28" t="s">
        <v>25</v>
      </c>
    </row>
    <row r="4793" spans="1:9" x14ac:dyDescent="0.3">
      <c r="A4793" s="26">
        <v>45349</v>
      </c>
      <c r="B4793" t="s">
        <v>801</v>
      </c>
      <c r="C4793" t="s">
        <v>802</v>
      </c>
      <c r="D4793">
        <v>11.97</v>
      </c>
      <c r="E4793" t="s">
        <v>7</v>
      </c>
      <c r="F4793" t="s">
        <v>772</v>
      </c>
      <c r="H4793" t="s">
        <v>4516</v>
      </c>
      <c r="I4793" s="28" t="s">
        <v>25</v>
      </c>
    </row>
    <row r="4794" spans="1:9" x14ac:dyDescent="0.3">
      <c r="A4794" s="26">
        <v>45349</v>
      </c>
      <c r="B4794" t="s">
        <v>806</v>
      </c>
      <c r="C4794" t="s">
        <v>802</v>
      </c>
      <c r="D4794">
        <v>3.5</v>
      </c>
      <c r="E4794" t="s">
        <v>7</v>
      </c>
      <c r="F4794" t="s">
        <v>772</v>
      </c>
      <c r="G4794" t="s">
        <v>4075</v>
      </c>
      <c r="H4794" t="s">
        <v>4516</v>
      </c>
      <c r="I4794" s="28" t="s">
        <v>25</v>
      </c>
    </row>
    <row r="4795" spans="1:9" x14ac:dyDescent="0.3">
      <c r="A4795" s="26">
        <v>45349</v>
      </c>
      <c r="B4795" t="s">
        <v>808</v>
      </c>
      <c r="C4795" t="s">
        <v>802</v>
      </c>
      <c r="D4795">
        <v>9.08</v>
      </c>
      <c r="E4795" t="s">
        <v>7</v>
      </c>
      <c r="F4795" t="s">
        <v>772</v>
      </c>
      <c r="G4795" t="s">
        <v>3922</v>
      </c>
      <c r="H4795" t="s">
        <v>4516</v>
      </c>
      <c r="I4795" s="28" t="s">
        <v>25</v>
      </c>
    </row>
    <row r="4796" spans="1:9" x14ac:dyDescent="0.3">
      <c r="A4796" s="26">
        <v>45349</v>
      </c>
      <c r="B4796" t="s">
        <v>810</v>
      </c>
      <c r="C4796" t="s">
        <v>753</v>
      </c>
      <c r="D4796">
        <v>0.08</v>
      </c>
      <c r="E4796" t="s">
        <v>516</v>
      </c>
      <c r="F4796" t="s">
        <v>772</v>
      </c>
      <c r="G4796" t="s">
        <v>3464</v>
      </c>
      <c r="H4796" t="s">
        <v>4516</v>
      </c>
      <c r="I4796" s="28" t="s">
        <v>25</v>
      </c>
    </row>
    <row r="4797" spans="1:9" x14ac:dyDescent="0.3">
      <c r="A4797" s="26">
        <v>45349</v>
      </c>
      <c r="B4797" t="s">
        <v>810</v>
      </c>
      <c r="C4797" t="s">
        <v>753</v>
      </c>
      <c r="D4797">
        <v>0.08</v>
      </c>
      <c r="E4797" t="s">
        <v>628</v>
      </c>
      <c r="F4797" t="s">
        <v>772</v>
      </c>
      <c r="G4797" t="s">
        <v>1548</v>
      </c>
      <c r="H4797" t="s">
        <v>4516</v>
      </c>
      <c r="I4797" s="28" t="s">
        <v>25</v>
      </c>
    </row>
    <row r="4798" spans="1:9" x14ac:dyDescent="0.3">
      <c r="A4798" s="26">
        <v>45349</v>
      </c>
      <c r="B4798" t="s">
        <v>810</v>
      </c>
      <c r="C4798" t="s">
        <v>753</v>
      </c>
      <c r="D4798">
        <v>0.17</v>
      </c>
      <c r="E4798" t="s">
        <v>898</v>
      </c>
      <c r="F4798" t="s">
        <v>772</v>
      </c>
      <c r="G4798" t="s">
        <v>3464</v>
      </c>
      <c r="H4798" t="s">
        <v>4516</v>
      </c>
      <c r="I4798" s="28" t="s">
        <v>25</v>
      </c>
    </row>
    <row r="4799" spans="1:9" x14ac:dyDescent="0.3">
      <c r="A4799" s="26">
        <v>45349</v>
      </c>
      <c r="B4799" t="s">
        <v>810</v>
      </c>
      <c r="C4799" t="s">
        <v>753</v>
      </c>
      <c r="D4799">
        <v>0.33</v>
      </c>
      <c r="E4799" t="s">
        <v>1069</v>
      </c>
      <c r="F4799" t="s">
        <v>754</v>
      </c>
      <c r="G4799" t="s">
        <v>4076</v>
      </c>
      <c r="H4799" t="s">
        <v>4516</v>
      </c>
      <c r="I4799" s="28" t="s">
        <v>25</v>
      </c>
    </row>
    <row r="4800" spans="1:9" x14ac:dyDescent="0.3">
      <c r="A4800" s="26">
        <v>45349</v>
      </c>
      <c r="B4800" t="s">
        <v>810</v>
      </c>
      <c r="C4800" t="s">
        <v>753</v>
      </c>
      <c r="D4800">
        <v>0.33</v>
      </c>
      <c r="E4800" t="s">
        <v>516</v>
      </c>
      <c r="F4800" t="s">
        <v>754</v>
      </c>
      <c r="G4800" t="s">
        <v>4077</v>
      </c>
      <c r="H4800" t="s">
        <v>4516</v>
      </c>
      <c r="I4800" s="28" t="s">
        <v>25</v>
      </c>
    </row>
    <row r="4801" spans="1:9" x14ac:dyDescent="0.3">
      <c r="A4801" s="26">
        <v>45349</v>
      </c>
      <c r="B4801" t="s">
        <v>810</v>
      </c>
      <c r="C4801" t="s">
        <v>753</v>
      </c>
      <c r="D4801">
        <v>0.67</v>
      </c>
      <c r="E4801" t="s">
        <v>815</v>
      </c>
      <c r="F4801" t="s">
        <v>772</v>
      </c>
      <c r="G4801" t="s">
        <v>1336</v>
      </c>
      <c r="H4801" t="s">
        <v>4516</v>
      </c>
      <c r="I4801" s="28" t="s">
        <v>25</v>
      </c>
    </row>
    <row r="4802" spans="1:9" x14ac:dyDescent="0.3">
      <c r="A4802" s="26">
        <v>45349</v>
      </c>
      <c r="B4802" t="s">
        <v>810</v>
      </c>
      <c r="C4802" t="s">
        <v>753</v>
      </c>
      <c r="D4802">
        <v>0.67</v>
      </c>
      <c r="E4802" t="s">
        <v>813</v>
      </c>
      <c r="F4802" t="s">
        <v>754</v>
      </c>
      <c r="G4802" t="s">
        <v>4076</v>
      </c>
      <c r="H4802" t="s">
        <v>4516</v>
      </c>
      <c r="I4802" s="28" t="s">
        <v>25</v>
      </c>
    </row>
    <row r="4803" spans="1:9" x14ac:dyDescent="0.3">
      <c r="A4803" s="26">
        <v>45349</v>
      </c>
      <c r="B4803" t="s">
        <v>810</v>
      </c>
      <c r="C4803" t="s">
        <v>753</v>
      </c>
      <c r="D4803">
        <v>0.67</v>
      </c>
      <c r="E4803" t="s">
        <v>898</v>
      </c>
      <c r="F4803" t="s">
        <v>754</v>
      </c>
      <c r="G4803" t="s">
        <v>4078</v>
      </c>
      <c r="H4803" t="s">
        <v>4516</v>
      </c>
      <c r="I4803" s="28" t="s">
        <v>25</v>
      </c>
    </row>
    <row r="4804" spans="1:9" x14ac:dyDescent="0.3">
      <c r="A4804" s="26">
        <v>45349</v>
      </c>
      <c r="B4804" t="s">
        <v>810</v>
      </c>
      <c r="C4804" t="s">
        <v>753</v>
      </c>
      <c r="D4804">
        <v>1.08</v>
      </c>
      <c r="E4804" t="s">
        <v>811</v>
      </c>
      <c r="F4804" t="s">
        <v>754</v>
      </c>
      <c r="G4804" t="s">
        <v>4076</v>
      </c>
      <c r="H4804" t="s">
        <v>4516</v>
      </c>
      <c r="I4804" s="28" t="s">
        <v>25</v>
      </c>
    </row>
    <row r="4805" spans="1:9" x14ac:dyDescent="0.3">
      <c r="A4805" s="26">
        <v>45349</v>
      </c>
      <c r="B4805" t="s">
        <v>810</v>
      </c>
      <c r="C4805" t="s">
        <v>753</v>
      </c>
      <c r="D4805">
        <v>2.58</v>
      </c>
      <c r="E4805" t="s">
        <v>815</v>
      </c>
      <c r="F4805" t="s">
        <v>754</v>
      </c>
      <c r="G4805" t="s">
        <v>4079</v>
      </c>
      <c r="H4805" t="s">
        <v>4516</v>
      </c>
      <c r="I4805" s="28" t="s">
        <v>25</v>
      </c>
    </row>
    <row r="4806" spans="1:9" x14ac:dyDescent="0.3">
      <c r="A4806" s="26">
        <v>45349</v>
      </c>
      <c r="B4806" t="s">
        <v>810</v>
      </c>
      <c r="C4806" t="s">
        <v>771</v>
      </c>
      <c r="D4806">
        <v>0.5</v>
      </c>
      <c r="E4806" t="s">
        <v>7</v>
      </c>
      <c r="F4806" t="s">
        <v>772</v>
      </c>
      <c r="G4806" t="s">
        <v>781</v>
      </c>
      <c r="H4806" t="s">
        <v>4516</v>
      </c>
      <c r="I4806" s="28" t="s">
        <v>25</v>
      </c>
    </row>
    <row r="4807" spans="1:9" x14ac:dyDescent="0.3">
      <c r="A4807" s="26">
        <v>45349</v>
      </c>
      <c r="B4807" t="s">
        <v>810</v>
      </c>
      <c r="C4807" t="s">
        <v>919</v>
      </c>
      <c r="D4807">
        <v>0.25</v>
      </c>
      <c r="E4807" t="s">
        <v>2435</v>
      </c>
      <c r="F4807" t="s">
        <v>754</v>
      </c>
      <c r="G4807" t="s">
        <v>849</v>
      </c>
      <c r="H4807" t="s">
        <v>4516</v>
      </c>
      <c r="I4807" s="28" t="s">
        <v>25</v>
      </c>
    </row>
    <row r="4808" spans="1:9" x14ac:dyDescent="0.3">
      <c r="A4808" s="26">
        <v>45349</v>
      </c>
      <c r="B4808" t="s">
        <v>810</v>
      </c>
      <c r="C4808" t="s">
        <v>919</v>
      </c>
      <c r="D4808">
        <v>0.33</v>
      </c>
      <c r="E4808" t="s">
        <v>2797</v>
      </c>
      <c r="F4808" t="s">
        <v>754</v>
      </c>
      <c r="G4808" t="s">
        <v>4076</v>
      </c>
      <c r="H4808" t="s">
        <v>4516</v>
      </c>
      <c r="I4808" s="28" t="s">
        <v>25</v>
      </c>
    </row>
    <row r="4809" spans="1:9" x14ac:dyDescent="0.3">
      <c r="A4809" s="26">
        <v>45349</v>
      </c>
      <c r="B4809" t="s">
        <v>810</v>
      </c>
      <c r="C4809" t="s">
        <v>776</v>
      </c>
      <c r="D4809">
        <v>0.08</v>
      </c>
      <c r="E4809" t="s">
        <v>910</v>
      </c>
      <c r="F4809" t="s">
        <v>754</v>
      </c>
      <c r="G4809" t="s">
        <v>1764</v>
      </c>
      <c r="H4809" t="s">
        <v>4516</v>
      </c>
      <c r="I4809" s="28" t="s">
        <v>25</v>
      </c>
    </row>
    <row r="4810" spans="1:9" x14ac:dyDescent="0.3">
      <c r="A4810" s="26">
        <v>45349</v>
      </c>
      <c r="B4810" t="s">
        <v>810</v>
      </c>
      <c r="C4810" t="s">
        <v>776</v>
      </c>
      <c r="D4810">
        <v>0.17</v>
      </c>
      <c r="E4810" t="s">
        <v>628</v>
      </c>
      <c r="F4810" t="s">
        <v>754</v>
      </c>
      <c r="G4810" t="s">
        <v>1764</v>
      </c>
      <c r="H4810" t="s">
        <v>4516</v>
      </c>
      <c r="I4810" s="28" t="s">
        <v>25</v>
      </c>
    </row>
    <row r="4811" spans="1:9" x14ac:dyDescent="0.3">
      <c r="A4811" s="26">
        <v>45349</v>
      </c>
      <c r="B4811" t="s">
        <v>829</v>
      </c>
      <c r="C4811" t="s">
        <v>753</v>
      </c>
      <c r="D4811">
        <v>0.08</v>
      </c>
      <c r="E4811" t="s">
        <v>2613</v>
      </c>
      <c r="F4811" t="s">
        <v>754</v>
      </c>
      <c r="G4811" t="s">
        <v>4080</v>
      </c>
      <c r="H4811" t="s">
        <v>4516</v>
      </c>
      <c r="I4811" s="28" t="s">
        <v>25</v>
      </c>
    </row>
    <row r="4812" spans="1:9" x14ac:dyDescent="0.3">
      <c r="A4812" s="26">
        <v>45349</v>
      </c>
      <c r="B4812" t="s">
        <v>829</v>
      </c>
      <c r="C4812" t="s">
        <v>753</v>
      </c>
      <c r="D4812">
        <v>0.1</v>
      </c>
      <c r="E4812" t="s">
        <v>1438</v>
      </c>
      <c r="F4812" t="s">
        <v>772</v>
      </c>
      <c r="G4812" t="s">
        <v>4081</v>
      </c>
      <c r="H4812" t="s">
        <v>4516</v>
      </c>
      <c r="I4812" s="28" t="s">
        <v>25</v>
      </c>
    </row>
    <row r="4813" spans="1:9" x14ac:dyDescent="0.3">
      <c r="A4813" s="26">
        <v>45349</v>
      </c>
      <c r="B4813" t="s">
        <v>829</v>
      </c>
      <c r="C4813" t="s">
        <v>753</v>
      </c>
      <c r="D4813">
        <v>0.12</v>
      </c>
      <c r="E4813" t="s">
        <v>375</v>
      </c>
      <c r="F4813" t="s">
        <v>754</v>
      </c>
      <c r="G4813" t="s">
        <v>4082</v>
      </c>
      <c r="H4813" t="s">
        <v>4516</v>
      </c>
      <c r="I4813" s="28" t="s">
        <v>25</v>
      </c>
    </row>
    <row r="4814" spans="1:9" x14ac:dyDescent="0.3">
      <c r="A4814" s="26">
        <v>45349</v>
      </c>
      <c r="B4814" t="s">
        <v>829</v>
      </c>
      <c r="C4814" t="s">
        <v>753</v>
      </c>
      <c r="D4814">
        <v>0.28000000000000003</v>
      </c>
      <c r="E4814" t="s">
        <v>857</v>
      </c>
      <c r="F4814" t="s">
        <v>754</v>
      </c>
      <c r="G4814" t="s">
        <v>2617</v>
      </c>
      <c r="H4814" t="s">
        <v>4516</v>
      </c>
      <c r="I4814" s="28" t="s">
        <v>25</v>
      </c>
    </row>
    <row r="4815" spans="1:9" x14ac:dyDescent="0.3">
      <c r="A4815" s="26">
        <v>45349</v>
      </c>
      <c r="B4815" t="s">
        <v>829</v>
      </c>
      <c r="C4815" t="s">
        <v>753</v>
      </c>
      <c r="D4815">
        <v>0.4</v>
      </c>
      <c r="E4815" t="s">
        <v>375</v>
      </c>
      <c r="F4815" t="s">
        <v>754</v>
      </c>
      <c r="G4815" t="s">
        <v>2441</v>
      </c>
      <c r="H4815" t="s">
        <v>4516</v>
      </c>
      <c r="I4815" s="28" t="s">
        <v>25</v>
      </c>
    </row>
    <row r="4816" spans="1:9" x14ac:dyDescent="0.3">
      <c r="A4816" s="26">
        <v>45349</v>
      </c>
      <c r="B4816" t="s">
        <v>829</v>
      </c>
      <c r="C4816" t="s">
        <v>4083</v>
      </c>
      <c r="D4816">
        <v>0.47</v>
      </c>
      <c r="E4816" t="s">
        <v>259</v>
      </c>
      <c r="F4816" t="s">
        <v>754</v>
      </c>
      <c r="H4816" t="s">
        <v>4516</v>
      </c>
      <c r="I4816" s="28" t="s">
        <v>25</v>
      </c>
    </row>
    <row r="4817" spans="1:9" x14ac:dyDescent="0.3">
      <c r="A4817" s="26">
        <v>45349</v>
      </c>
      <c r="B4817" t="s">
        <v>829</v>
      </c>
      <c r="C4817" t="s">
        <v>771</v>
      </c>
      <c r="D4817">
        <v>0.25</v>
      </c>
      <c r="E4817" t="s">
        <v>7</v>
      </c>
      <c r="F4817" t="s">
        <v>772</v>
      </c>
      <c r="G4817" t="s">
        <v>4084</v>
      </c>
      <c r="H4817" t="s">
        <v>4516</v>
      </c>
      <c r="I4817" s="28" t="s">
        <v>25</v>
      </c>
    </row>
    <row r="4818" spans="1:9" x14ac:dyDescent="0.3">
      <c r="A4818" s="26">
        <v>45349</v>
      </c>
      <c r="B4818" t="s">
        <v>829</v>
      </c>
      <c r="C4818" t="s">
        <v>771</v>
      </c>
      <c r="D4818">
        <v>0.47</v>
      </c>
      <c r="E4818" t="s">
        <v>7</v>
      </c>
      <c r="F4818" t="s">
        <v>772</v>
      </c>
      <c r="G4818" t="s">
        <v>4085</v>
      </c>
      <c r="H4818" t="s">
        <v>4516</v>
      </c>
      <c r="I4818" s="28" t="s">
        <v>25</v>
      </c>
    </row>
    <row r="4819" spans="1:9" x14ac:dyDescent="0.3">
      <c r="A4819" s="26">
        <v>45349</v>
      </c>
      <c r="B4819" t="s">
        <v>829</v>
      </c>
      <c r="C4819" t="s">
        <v>771</v>
      </c>
      <c r="D4819">
        <v>0.5</v>
      </c>
      <c r="E4819" t="s">
        <v>7</v>
      </c>
      <c r="F4819" t="s">
        <v>772</v>
      </c>
      <c r="G4819" t="s">
        <v>781</v>
      </c>
      <c r="H4819" t="s">
        <v>4516</v>
      </c>
      <c r="I4819" s="28" t="s">
        <v>25</v>
      </c>
    </row>
    <row r="4820" spans="1:9" x14ac:dyDescent="0.3">
      <c r="A4820" s="26">
        <v>45349</v>
      </c>
      <c r="B4820" t="s">
        <v>829</v>
      </c>
      <c r="C4820" t="s">
        <v>835</v>
      </c>
      <c r="D4820">
        <v>0.8</v>
      </c>
      <c r="E4820" t="s">
        <v>857</v>
      </c>
      <c r="F4820" t="s">
        <v>754</v>
      </c>
      <c r="G4820" t="s">
        <v>3928</v>
      </c>
      <c r="H4820" t="s">
        <v>4516</v>
      </c>
      <c r="I4820" s="28" t="s">
        <v>25</v>
      </c>
    </row>
    <row r="4821" spans="1:9" x14ac:dyDescent="0.3">
      <c r="A4821" s="26">
        <v>45349</v>
      </c>
      <c r="B4821" t="s">
        <v>829</v>
      </c>
      <c r="C4821" t="s">
        <v>874</v>
      </c>
      <c r="D4821">
        <v>0.48</v>
      </c>
      <c r="E4821" t="s">
        <v>7</v>
      </c>
      <c r="F4821" t="s">
        <v>772</v>
      </c>
      <c r="G4821" t="s">
        <v>4086</v>
      </c>
      <c r="H4821" t="s">
        <v>4516</v>
      </c>
      <c r="I4821" s="28" t="s">
        <v>25</v>
      </c>
    </row>
    <row r="4822" spans="1:9" x14ac:dyDescent="0.3">
      <c r="A4822" s="26">
        <v>45349</v>
      </c>
      <c r="B4822" t="s">
        <v>829</v>
      </c>
      <c r="C4822" t="s">
        <v>874</v>
      </c>
      <c r="D4822">
        <v>0.82</v>
      </c>
      <c r="E4822" t="s">
        <v>7</v>
      </c>
      <c r="F4822" t="s">
        <v>772</v>
      </c>
      <c r="G4822" t="s">
        <v>4087</v>
      </c>
      <c r="H4822" t="s">
        <v>4516</v>
      </c>
      <c r="I4822" s="28" t="s">
        <v>25</v>
      </c>
    </row>
    <row r="4823" spans="1:9" x14ac:dyDescent="0.3">
      <c r="A4823" s="26">
        <v>45349</v>
      </c>
      <c r="B4823" t="s">
        <v>829</v>
      </c>
      <c r="C4823" t="s">
        <v>776</v>
      </c>
      <c r="D4823">
        <v>0.37</v>
      </c>
      <c r="E4823" t="s">
        <v>790</v>
      </c>
      <c r="F4823" t="s">
        <v>754</v>
      </c>
      <c r="G4823" t="s">
        <v>3314</v>
      </c>
      <c r="H4823" t="s">
        <v>4516</v>
      </c>
      <c r="I4823" s="28" t="s">
        <v>25</v>
      </c>
    </row>
    <row r="4824" spans="1:9" x14ac:dyDescent="0.3">
      <c r="A4824" s="26">
        <v>45349</v>
      </c>
      <c r="B4824" t="s">
        <v>829</v>
      </c>
      <c r="C4824" t="s">
        <v>776</v>
      </c>
      <c r="D4824">
        <v>0.62</v>
      </c>
      <c r="E4824" t="s">
        <v>375</v>
      </c>
      <c r="F4824" t="s">
        <v>754</v>
      </c>
      <c r="G4824" t="s">
        <v>838</v>
      </c>
      <c r="H4824" t="s">
        <v>4516</v>
      </c>
      <c r="I4824" s="28" t="s">
        <v>25</v>
      </c>
    </row>
    <row r="4825" spans="1:9" x14ac:dyDescent="0.3">
      <c r="A4825" s="26">
        <v>45349</v>
      </c>
      <c r="B4825" t="s">
        <v>829</v>
      </c>
      <c r="C4825" t="s">
        <v>776</v>
      </c>
      <c r="D4825">
        <v>0.65</v>
      </c>
      <c r="E4825" t="s">
        <v>375</v>
      </c>
      <c r="F4825" t="s">
        <v>754</v>
      </c>
      <c r="G4825" t="s">
        <v>4088</v>
      </c>
      <c r="H4825" t="s">
        <v>4516</v>
      </c>
      <c r="I4825" s="28" t="s">
        <v>25</v>
      </c>
    </row>
    <row r="4826" spans="1:9" x14ac:dyDescent="0.3">
      <c r="A4826" s="26">
        <v>45349</v>
      </c>
      <c r="B4826" t="s">
        <v>829</v>
      </c>
      <c r="C4826" t="s">
        <v>776</v>
      </c>
      <c r="D4826">
        <v>0.75</v>
      </c>
      <c r="E4826" t="s">
        <v>458</v>
      </c>
      <c r="F4826" t="s">
        <v>754</v>
      </c>
      <c r="G4826" t="s">
        <v>4089</v>
      </c>
      <c r="H4826" t="s">
        <v>4516</v>
      </c>
      <c r="I4826" s="28" t="s">
        <v>25</v>
      </c>
    </row>
    <row r="4827" spans="1:9" x14ac:dyDescent="0.3">
      <c r="A4827" s="26">
        <v>45349</v>
      </c>
      <c r="B4827" t="s">
        <v>829</v>
      </c>
      <c r="C4827" t="s">
        <v>776</v>
      </c>
      <c r="D4827">
        <v>0.85</v>
      </c>
      <c r="E4827" t="s">
        <v>845</v>
      </c>
      <c r="F4827" t="s">
        <v>754</v>
      </c>
      <c r="G4827" t="s">
        <v>838</v>
      </c>
      <c r="H4827" t="s">
        <v>4516</v>
      </c>
      <c r="I4827" s="28" t="s">
        <v>25</v>
      </c>
    </row>
    <row r="4828" spans="1:9" x14ac:dyDescent="0.3">
      <c r="A4828" s="26">
        <v>45349</v>
      </c>
      <c r="B4828" t="s">
        <v>840</v>
      </c>
      <c r="C4828" t="s">
        <v>771</v>
      </c>
      <c r="D4828">
        <v>9.5</v>
      </c>
      <c r="E4828" t="s">
        <v>7</v>
      </c>
      <c r="F4828" t="s">
        <v>772</v>
      </c>
      <c r="G4828" t="e">
        <f>- Additional Air BnB booking. - Zoho email replies to the TL. - Equipment inventory. - Guest list / Visitors pass for next week. - ASIC - ATO</f>
        <v>#NAME?</v>
      </c>
      <c r="H4828" t="s">
        <v>4516</v>
      </c>
      <c r="I4828" s="28" t="s">
        <v>25</v>
      </c>
    </row>
    <row r="4829" spans="1:9" x14ac:dyDescent="0.3">
      <c r="A4829" s="26">
        <v>45349</v>
      </c>
      <c r="B4829" t="s">
        <v>843</v>
      </c>
      <c r="C4829" t="s">
        <v>753</v>
      </c>
      <c r="D4829">
        <v>0.5</v>
      </c>
      <c r="E4829" t="s">
        <v>563</v>
      </c>
      <c r="F4829" t="s">
        <v>754</v>
      </c>
      <c r="G4829" t="s">
        <v>1243</v>
      </c>
      <c r="H4829" t="s">
        <v>4516</v>
      </c>
      <c r="I4829" s="28" t="s">
        <v>25</v>
      </c>
    </row>
    <row r="4830" spans="1:9" x14ac:dyDescent="0.3">
      <c r="A4830" s="26">
        <v>45349</v>
      </c>
      <c r="B4830" t="s">
        <v>843</v>
      </c>
      <c r="C4830" t="s">
        <v>753</v>
      </c>
      <c r="D4830">
        <v>0.6</v>
      </c>
      <c r="E4830" t="s">
        <v>170</v>
      </c>
      <c r="F4830" t="s">
        <v>754</v>
      </c>
      <c r="G4830" t="s">
        <v>2278</v>
      </c>
      <c r="H4830" t="s">
        <v>4516</v>
      </c>
      <c r="I4830" s="28" t="s">
        <v>25</v>
      </c>
    </row>
    <row r="4831" spans="1:9" x14ac:dyDescent="0.3">
      <c r="A4831" s="26">
        <v>45349</v>
      </c>
      <c r="B4831" t="s">
        <v>843</v>
      </c>
      <c r="C4831" t="s">
        <v>753</v>
      </c>
      <c r="D4831">
        <v>0.63</v>
      </c>
      <c r="E4831" t="s">
        <v>170</v>
      </c>
      <c r="F4831" t="s">
        <v>754</v>
      </c>
      <c r="G4831" t="s">
        <v>4090</v>
      </c>
      <c r="H4831" t="s">
        <v>4516</v>
      </c>
      <c r="I4831" s="28" t="s">
        <v>25</v>
      </c>
    </row>
    <row r="4832" spans="1:9" x14ac:dyDescent="0.3">
      <c r="A4832" s="26">
        <v>45349</v>
      </c>
      <c r="B4832" t="s">
        <v>843</v>
      </c>
      <c r="C4832" t="s">
        <v>753</v>
      </c>
      <c r="D4832">
        <v>0.83</v>
      </c>
      <c r="E4832" t="s">
        <v>845</v>
      </c>
      <c r="F4832" t="s">
        <v>754</v>
      </c>
      <c r="G4832" t="s">
        <v>4091</v>
      </c>
      <c r="H4832" t="s">
        <v>4516</v>
      </c>
      <c r="I4832" s="28" t="s">
        <v>25</v>
      </c>
    </row>
    <row r="4833" spans="1:9" x14ac:dyDescent="0.3">
      <c r="A4833" s="26">
        <v>45349</v>
      </c>
      <c r="B4833" t="s">
        <v>843</v>
      </c>
      <c r="C4833" t="s">
        <v>753</v>
      </c>
      <c r="D4833">
        <v>1</v>
      </c>
      <c r="E4833" t="s">
        <v>234</v>
      </c>
      <c r="F4833" t="s">
        <v>754</v>
      </c>
      <c r="G4833" t="s">
        <v>4092</v>
      </c>
      <c r="H4833" t="s">
        <v>4516</v>
      </c>
      <c r="I4833" s="28" t="s">
        <v>25</v>
      </c>
    </row>
    <row r="4834" spans="1:9" x14ac:dyDescent="0.3">
      <c r="A4834" s="26">
        <v>45349</v>
      </c>
      <c r="B4834" t="s">
        <v>843</v>
      </c>
      <c r="C4834" t="s">
        <v>753</v>
      </c>
      <c r="D4834">
        <v>2.62</v>
      </c>
      <c r="E4834" t="s">
        <v>564</v>
      </c>
      <c r="F4834" t="s">
        <v>754</v>
      </c>
      <c r="G4834" t="s">
        <v>2278</v>
      </c>
      <c r="H4834" t="s">
        <v>4516</v>
      </c>
      <c r="I4834" s="28" t="s">
        <v>25</v>
      </c>
    </row>
    <row r="4835" spans="1:9" x14ac:dyDescent="0.3">
      <c r="A4835" s="26">
        <v>45349</v>
      </c>
      <c r="B4835" t="s">
        <v>843</v>
      </c>
      <c r="C4835" t="s">
        <v>853</v>
      </c>
      <c r="D4835">
        <v>0.53</v>
      </c>
      <c r="E4835" t="s">
        <v>259</v>
      </c>
      <c r="F4835" t="s">
        <v>754</v>
      </c>
      <c r="G4835" t="s">
        <v>846</v>
      </c>
      <c r="H4835" t="s">
        <v>4516</v>
      </c>
      <c r="I4835" s="28" t="s">
        <v>25</v>
      </c>
    </row>
    <row r="4836" spans="1:9" x14ac:dyDescent="0.3">
      <c r="A4836" s="26">
        <v>45349</v>
      </c>
      <c r="B4836" t="s">
        <v>843</v>
      </c>
      <c r="C4836" t="s">
        <v>771</v>
      </c>
      <c r="D4836">
        <v>0.5</v>
      </c>
      <c r="E4836" t="s">
        <v>7</v>
      </c>
      <c r="F4836" t="s">
        <v>772</v>
      </c>
      <c r="G4836" t="s">
        <v>781</v>
      </c>
      <c r="H4836" t="s">
        <v>4516</v>
      </c>
      <c r="I4836" s="28" t="s">
        <v>25</v>
      </c>
    </row>
    <row r="4837" spans="1:9" x14ac:dyDescent="0.3">
      <c r="A4837" s="26">
        <v>45349</v>
      </c>
      <c r="B4837" t="s">
        <v>843</v>
      </c>
      <c r="C4837" t="s">
        <v>874</v>
      </c>
      <c r="D4837">
        <v>0.78</v>
      </c>
      <c r="E4837" t="s">
        <v>7</v>
      </c>
      <c r="F4837" t="s">
        <v>772</v>
      </c>
      <c r="G4837" t="s">
        <v>4093</v>
      </c>
      <c r="H4837" t="s">
        <v>4516</v>
      </c>
      <c r="I4837" s="28" t="s">
        <v>25</v>
      </c>
    </row>
    <row r="4838" spans="1:9" x14ac:dyDescent="0.3">
      <c r="A4838" s="26">
        <v>45349</v>
      </c>
      <c r="B4838" t="s">
        <v>856</v>
      </c>
      <c r="C4838" t="s">
        <v>753</v>
      </c>
      <c r="D4838">
        <v>0.12</v>
      </c>
      <c r="E4838" t="s">
        <v>226</v>
      </c>
      <c r="F4838" t="s">
        <v>754</v>
      </c>
      <c r="G4838" t="s">
        <v>4094</v>
      </c>
      <c r="H4838" t="s">
        <v>4516</v>
      </c>
      <c r="I4838" s="28" t="s">
        <v>25</v>
      </c>
    </row>
    <row r="4839" spans="1:9" x14ac:dyDescent="0.3">
      <c r="A4839" s="26">
        <v>45349</v>
      </c>
      <c r="B4839" t="s">
        <v>856</v>
      </c>
      <c r="C4839" t="s">
        <v>753</v>
      </c>
      <c r="D4839">
        <v>0.48</v>
      </c>
      <c r="E4839" t="s">
        <v>226</v>
      </c>
      <c r="F4839" t="s">
        <v>754</v>
      </c>
      <c r="G4839" t="s">
        <v>4095</v>
      </c>
      <c r="H4839" t="s">
        <v>4516</v>
      </c>
      <c r="I4839" s="28" t="s">
        <v>25</v>
      </c>
    </row>
    <row r="4840" spans="1:9" x14ac:dyDescent="0.3">
      <c r="A4840" s="26">
        <v>45349</v>
      </c>
      <c r="B4840" t="s">
        <v>856</v>
      </c>
      <c r="C4840" t="s">
        <v>753</v>
      </c>
      <c r="D4840">
        <v>1.22</v>
      </c>
      <c r="E4840" t="s">
        <v>226</v>
      </c>
      <c r="F4840" t="s">
        <v>754</v>
      </c>
      <c r="G4840" t="s">
        <v>858</v>
      </c>
      <c r="H4840" t="s">
        <v>4516</v>
      </c>
      <c r="I4840" s="28" t="s">
        <v>25</v>
      </c>
    </row>
    <row r="4841" spans="1:9" x14ac:dyDescent="0.3">
      <c r="A4841" s="26">
        <v>45349</v>
      </c>
      <c r="B4841" t="s">
        <v>856</v>
      </c>
      <c r="C4841" t="s">
        <v>753</v>
      </c>
      <c r="D4841">
        <v>1.32</v>
      </c>
      <c r="E4841" t="s">
        <v>226</v>
      </c>
      <c r="F4841" t="s">
        <v>754</v>
      </c>
      <c r="G4841" t="s">
        <v>1990</v>
      </c>
      <c r="H4841" t="s">
        <v>4516</v>
      </c>
      <c r="I4841" s="28" t="s">
        <v>25</v>
      </c>
    </row>
    <row r="4842" spans="1:9" x14ac:dyDescent="0.3">
      <c r="A4842" s="26">
        <v>45349</v>
      </c>
      <c r="B4842" t="s">
        <v>856</v>
      </c>
      <c r="C4842" t="s">
        <v>753</v>
      </c>
      <c r="D4842">
        <v>1.68</v>
      </c>
      <c r="E4842" t="s">
        <v>226</v>
      </c>
      <c r="F4842" t="s">
        <v>754</v>
      </c>
      <c r="G4842" t="s">
        <v>863</v>
      </c>
      <c r="H4842" t="s">
        <v>4516</v>
      </c>
      <c r="I4842" s="28" t="s">
        <v>25</v>
      </c>
    </row>
    <row r="4843" spans="1:9" x14ac:dyDescent="0.3">
      <c r="A4843" s="26">
        <v>45349</v>
      </c>
      <c r="B4843" t="s">
        <v>856</v>
      </c>
      <c r="C4843" t="s">
        <v>753</v>
      </c>
      <c r="D4843">
        <v>1.8</v>
      </c>
      <c r="E4843" t="s">
        <v>857</v>
      </c>
      <c r="F4843" t="s">
        <v>754</v>
      </c>
      <c r="G4843" t="s">
        <v>4096</v>
      </c>
      <c r="H4843" t="s">
        <v>4516</v>
      </c>
      <c r="I4843" s="28" t="s">
        <v>25</v>
      </c>
    </row>
    <row r="4844" spans="1:9" x14ac:dyDescent="0.3">
      <c r="A4844" s="26">
        <v>45349</v>
      </c>
      <c r="B4844" t="s">
        <v>856</v>
      </c>
      <c r="C4844" t="s">
        <v>771</v>
      </c>
      <c r="D4844">
        <v>0.1</v>
      </c>
      <c r="E4844" t="s">
        <v>7</v>
      </c>
      <c r="F4844" t="s">
        <v>772</v>
      </c>
      <c r="G4844" t="s">
        <v>4097</v>
      </c>
      <c r="H4844" t="s">
        <v>4516</v>
      </c>
      <c r="I4844" s="28" t="s">
        <v>25</v>
      </c>
    </row>
    <row r="4845" spans="1:9" x14ac:dyDescent="0.3">
      <c r="A4845" s="26">
        <v>45349</v>
      </c>
      <c r="B4845" t="s">
        <v>856</v>
      </c>
      <c r="C4845" t="s">
        <v>776</v>
      </c>
      <c r="D4845">
        <v>0.33</v>
      </c>
      <c r="E4845" t="s">
        <v>1989</v>
      </c>
      <c r="F4845" t="s">
        <v>754</v>
      </c>
      <c r="G4845" t="s">
        <v>4098</v>
      </c>
      <c r="H4845" t="s">
        <v>4516</v>
      </c>
      <c r="I4845" s="28" t="s">
        <v>25</v>
      </c>
    </row>
    <row r="4846" spans="1:9" x14ac:dyDescent="0.3">
      <c r="A4846" s="26">
        <v>45349</v>
      </c>
      <c r="B4846" t="s">
        <v>856</v>
      </c>
      <c r="C4846" t="s">
        <v>776</v>
      </c>
      <c r="D4846">
        <v>0.62</v>
      </c>
      <c r="E4846" t="s">
        <v>589</v>
      </c>
      <c r="F4846" t="s">
        <v>754</v>
      </c>
      <c r="G4846" t="s">
        <v>4099</v>
      </c>
      <c r="H4846" t="s">
        <v>4516</v>
      </c>
      <c r="I4846" s="28" t="s">
        <v>25</v>
      </c>
    </row>
    <row r="4847" spans="1:9" x14ac:dyDescent="0.3">
      <c r="A4847" s="26">
        <v>45349</v>
      </c>
      <c r="B4847" t="s">
        <v>856</v>
      </c>
      <c r="C4847" t="s">
        <v>776</v>
      </c>
      <c r="D4847">
        <v>0.67</v>
      </c>
      <c r="E4847" t="s">
        <v>879</v>
      </c>
      <c r="F4847" t="s">
        <v>754</v>
      </c>
      <c r="G4847" t="s">
        <v>866</v>
      </c>
      <c r="H4847" t="s">
        <v>4516</v>
      </c>
      <c r="I4847" s="28" t="s">
        <v>25</v>
      </c>
    </row>
    <row r="4848" spans="1:9" x14ac:dyDescent="0.3">
      <c r="A4848" s="26">
        <v>45349</v>
      </c>
      <c r="B4848" t="s">
        <v>33</v>
      </c>
      <c r="C4848" t="s">
        <v>753</v>
      </c>
      <c r="D4848">
        <v>1.27</v>
      </c>
      <c r="E4848" t="s">
        <v>811</v>
      </c>
      <c r="F4848" t="s">
        <v>772</v>
      </c>
      <c r="G4848" t="s">
        <v>4100</v>
      </c>
      <c r="H4848" t="s">
        <v>4516</v>
      </c>
      <c r="I4848" s="28" t="s">
        <v>25</v>
      </c>
    </row>
    <row r="4849" spans="1:9" x14ac:dyDescent="0.3">
      <c r="A4849" s="26">
        <v>45349</v>
      </c>
      <c r="B4849" t="s">
        <v>33</v>
      </c>
      <c r="C4849" t="s">
        <v>771</v>
      </c>
      <c r="D4849">
        <v>0.5</v>
      </c>
      <c r="E4849" t="s">
        <v>7</v>
      </c>
      <c r="F4849" t="s">
        <v>772</v>
      </c>
      <c r="G4849" t="s">
        <v>1156</v>
      </c>
      <c r="H4849" t="s">
        <v>4516</v>
      </c>
      <c r="I4849" s="28" t="s">
        <v>25</v>
      </c>
    </row>
    <row r="4850" spans="1:9" x14ac:dyDescent="0.3">
      <c r="A4850" s="26">
        <v>45349</v>
      </c>
      <c r="B4850" t="s">
        <v>33</v>
      </c>
      <c r="C4850" t="s">
        <v>771</v>
      </c>
      <c r="D4850">
        <v>0.6</v>
      </c>
      <c r="E4850" t="s">
        <v>7</v>
      </c>
      <c r="F4850" t="s">
        <v>772</v>
      </c>
      <c r="G4850" t="s">
        <v>4101</v>
      </c>
      <c r="H4850" t="s">
        <v>4516</v>
      </c>
      <c r="I4850" s="28" t="s">
        <v>25</v>
      </c>
    </row>
    <row r="4851" spans="1:9" x14ac:dyDescent="0.3">
      <c r="A4851" s="26">
        <v>45349</v>
      </c>
      <c r="B4851" t="s">
        <v>33</v>
      </c>
      <c r="C4851" t="s">
        <v>771</v>
      </c>
      <c r="D4851">
        <v>1.1299999999999999</v>
      </c>
      <c r="E4851" t="s">
        <v>7</v>
      </c>
      <c r="F4851" t="s">
        <v>772</v>
      </c>
      <c r="G4851" t="s">
        <v>4102</v>
      </c>
      <c r="H4851" t="s">
        <v>4516</v>
      </c>
      <c r="I4851" s="28" t="s">
        <v>25</v>
      </c>
    </row>
    <row r="4852" spans="1:9" x14ac:dyDescent="0.3">
      <c r="A4852" s="26">
        <v>45349</v>
      </c>
      <c r="B4852" t="s">
        <v>33</v>
      </c>
      <c r="C4852" t="s">
        <v>771</v>
      </c>
      <c r="D4852">
        <v>1.98</v>
      </c>
      <c r="E4852" t="s">
        <v>7</v>
      </c>
      <c r="F4852" t="s">
        <v>772</v>
      </c>
      <c r="G4852" t="s">
        <v>4103</v>
      </c>
      <c r="H4852" t="s">
        <v>4516</v>
      </c>
      <c r="I4852" s="28" t="s">
        <v>25</v>
      </c>
    </row>
    <row r="4853" spans="1:9" x14ac:dyDescent="0.3">
      <c r="A4853" s="26">
        <v>45349</v>
      </c>
      <c r="B4853" t="s">
        <v>33</v>
      </c>
      <c r="C4853" t="s">
        <v>834</v>
      </c>
      <c r="D4853">
        <v>1.1200000000000001</v>
      </c>
      <c r="E4853" t="s">
        <v>7</v>
      </c>
      <c r="F4853" t="s">
        <v>772</v>
      </c>
      <c r="G4853" t="s">
        <v>4104</v>
      </c>
      <c r="H4853" t="s">
        <v>4516</v>
      </c>
      <c r="I4853" s="28" t="s">
        <v>25</v>
      </c>
    </row>
    <row r="4854" spans="1:9" x14ac:dyDescent="0.3">
      <c r="A4854" s="26">
        <v>45349</v>
      </c>
      <c r="B4854" t="s">
        <v>33</v>
      </c>
      <c r="C4854" t="s">
        <v>834</v>
      </c>
      <c r="D4854">
        <v>1.28</v>
      </c>
      <c r="E4854" t="s">
        <v>7</v>
      </c>
      <c r="F4854" t="s">
        <v>772</v>
      </c>
      <c r="G4854" t="s">
        <v>4105</v>
      </c>
      <c r="H4854" t="s">
        <v>4516</v>
      </c>
      <c r="I4854" s="28" t="s">
        <v>25</v>
      </c>
    </row>
    <row r="4855" spans="1:9" x14ac:dyDescent="0.3">
      <c r="A4855" s="26">
        <v>45349</v>
      </c>
      <c r="B4855" t="s">
        <v>876</v>
      </c>
      <c r="C4855" t="s">
        <v>753</v>
      </c>
      <c r="D4855">
        <v>8.1199999999999992</v>
      </c>
      <c r="E4855" t="s">
        <v>11</v>
      </c>
      <c r="F4855" t="s">
        <v>754</v>
      </c>
      <c r="H4855" t="s">
        <v>4516</v>
      </c>
      <c r="I4855" s="28" t="s">
        <v>25</v>
      </c>
    </row>
    <row r="4856" spans="1:9" x14ac:dyDescent="0.3">
      <c r="A4856" s="26">
        <v>45349</v>
      </c>
      <c r="B4856" t="s">
        <v>877</v>
      </c>
      <c r="C4856" t="s">
        <v>878</v>
      </c>
      <c r="D4856">
        <v>4.17</v>
      </c>
      <c r="E4856" t="s">
        <v>882</v>
      </c>
      <c r="F4856" t="s">
        <v>754</v>
      </c>
      <c r="G4856" t="s">
        <v>4106</v>
      </c>
      <c r="H4856" t="s">
        <v>4516</v>
      </c>
      <c r="I4856" s="28" t="s">
        <v>25</v>
      </c>
    </row>
    <row r="4857" spans="1:9" x14ac:dyDescent="0.3">
      <c r="A4857" s="26">
        <v>45349</v>
      </c>
      <c r="B4857" t="s">
        <v>877</v>
      </c>
      <c r="C4857" t="s">
        <v>878</v>
      </c>
      <c r="D4857">
        <v>4.83</v>
      </c>
      <c r="E4857" t="s">
        <v>879</v>
      </c>
      <c r="F4857" t="s">
        <v>754</v>
      </c>
      <c r="G4857" t="s">
        <v>4107</v>
      </c>
      <c r="H4857" t="s">
        <v>4516</v>
      </c>
      <c r="I4857" s="28" t="s">
        <v>25</v>
      </c>
    </row>
    <row r="4858" spans="1:9" x14ac:dyDescent="0.3">
      <c r="A4858" s="26">
        <v>45349</v>
      </c>
      <c r="B4858" t="s">
        <v>884</v>
      </c>
      <c r="C4858" t="s">
        <v>753</v>
      </c>
      <c r="D4858">
        <v>0.65</v>
      </c>
      <c r="E4858" t="s">
        <v>885</v>
      </c>
      <c r="F4858" t="s">
        <v>754</v>
      </c>
      <c r="H4858" t="s">
        <v>4516</v>
      </c>
      <c r="I4858" s="28" t="s">
        <v>25</v>
      </c>
    </row>
    <row r="4859" spans="1:9" x14ac:dyDescent="0.3">
      <c r="A4859" s="26">
        <v>45349</v>
      </c>
      <c r="B4859" t="s">
        <v>884</v>
      </c>
      <c r="C4859" t="s">
        <v>753</v>
      </c>
      <c r="D4859">
        <v>0.82</v>
      </c>
      <c r="E4859" t="s">
        <v>248</v>
      </c>
      <c r="F4859" t="s">
        <v>754</v>
      </c>
      <c r="G4859" t="s">
        <v>4108</v>
      </c>
      <c r="H4859" t="s">
        <v>4516</v>
      </c>
      <c r="I4859" s="28" t="s">
        <v>25</v>
      </c>
    </row>
    <row r="4860" spans="1:9" x14ac:dyDescent="0.3">
      <c r="A4860" s="26">
        <v>45349</v>
      </c>
      <c r="B4860" t="s">
        <v>884</v>
      </c>
      <c r="C4860" t="s">
        <v>753</v>
      </c>
      <c r="D4860">
        <v>1.37</v>
      </c>
      <c r="E4860" t="s">
        <v>562</v>
      </c>
      <c r="F4860" t="s">
        <v>754</v>
      </c>
      <c r="G4860" t="s">
        <v>4109</v>
      </c>
      <c r="H4860" t="s">
        <v>4516</v>
      </c>
      <c r="I4860" s="28" t="s">
        <v>25</v>
      </c>
    </row>
    <row r="4861" spans="1:9" x14ac:dyDescent="0.3">
      <c r="A4861" s="26">
        <v>45349</v>
      </c>
      <c r="B4861" t="s">
        <v>884</v>
      </c>
      <c r="C4861" t="s">
        <v>753</v>
      </c>
      <c r="D4861">
        <v>1.67</v>
      </c>
      <c r="E4861" t="s">
        <v>375</v>
      </c>
      <c r="F4861" t="s">
        <v>754</v>
      </c>
      <c r="G4861" t="s">
        <v>4110</v>
      </c>
      <c r="H4861" t="s">
        <v>4516</v>
      </c>
      <c r="I4861" s="28" t="s">
        <v>25</v>
      </c>
    </row>
    <row r="4862" spans="1:9" x14ac:dyDescent="0.3">
      <c r="A4862" s="26">
        <v>45349</v>
      </c>
      <c r="B4862" t="s">
        <v>884</v>
      </c>
      <c r="C4862" t="s">
        <v>753</v>
      </c>
      <c r="D4862">
        <v>1.73</v>
      </c>
      <c r="E4862" t="s">
        <v>375</v>
      </c>
      <c r="F4862" t="s">
        <v>754</v>
      </c>
      <c r="H4862" t="s">
        <v>4516</v>
      </c>
      <c r="I4862" s="28" t="s">
        <v>25</v>
      </c>
    </row>
    <row r="4863" spans="1:9" x14ac:dyDescent="0.3">
      <c r="A4863" s="26">
        <v>45349</v>
      </c>
      <c r="B4863" t="s">
        <v>884</v>
      </c>
      <c r="C4863" t="s">
        <v>753</v>
      </c>
      <c r="D4863">
        <v>1.77</v>
      </c>
      <c r="E4863" t="s">
        <v>562</v>
      </c>
      <c r="F4863" t="s">
        <v>754</v>
      </c>
      <c r="H4863" t="s">
        <v>4516</v>
      </c>
      <c r="I4863" s="28" t="s">
        <v>25</v>
      </c>
    </row>
    <row r="4864" spans="1:9" x14ac:dyDescent="0.3">
      <c r="A4864" s="26">
        <v>45349</v>
      </c>
      <c r="B4864" t="s">
        <v>891</v>
      </c>
      <c r="C4864" t="s">
        <v>3169</v>
      </c>
      <c r="D4864">
        <v>8</v>
      </c>
      <c r="E4864" t="s">
        <v>7</v>
      </c>
      <c r="F4864" t="s">
        <v>772</v>
      </c>
      <c r="G4864" t="s">
        <v>3951</v>
      </c>
      <c r="H4864" t="s">
        <v>4516</v>
      </c>
      <c r="I4864" s="28" t="s">
        <v>25</v>
      </c>
    </row>
    <row r="4865" spans="1:9" x14ac:dyDescent="0.3">
      <c r="A4865" s="26">
        <v>45349</v>
      </c>
      <c r="B4865" t="s">
        <v>34</v>
      </c>
      <c r="C4865" t="s">
        <v>802</v>
      </c>
      <c r="D4865">
        <v>8</v>
      </c>
      <c r="E4865" t="s">
        <v>7</v>
      </c>
      <c r="F4865" t="s">
        <v>772</v>
      </c>
      <c r="H4865" t="s">
        <v>4516</v>
      </c>
      <c r="I4865" s="28" t="s">
        <v>25</v>
      </c>
    </row>
    <row r="4866" spans="1:9" x14ac:dyDescent="0.3">
      <c r="A4866" s="26">
        <v>45349</v>
      </c>
      <c r="B4866" t="s">
        <v>893</v>
      </c>
      <c r="C4866" t="s">
        <v>802</v>
      </c>
      <c r="D4866">
        <v>8</v>
      </c>
      <c r="E4866" t="s">
        <v>7</v>
      </c>
      <c r="F4866" t="s">
        <v>772</v>
      </c>
      <c r="G4866" t="s">
        <v>3952</v>
      </c>
      <c r="H4866" t="s">
        <v>4516</v>
      </c>
      <c r="I4866" s="28" t="s">
        <v>25</v>
      </c>
    </row>
    <row r="4867" spans="1:9" x14ac:dyDescent="0.3">
      <c r="A4867" s="26">
        <v>45349</v>
      </c>
      <c r="B4867" t="s">
        <v>895</v>
      </c>
      <c r="C4867" t="s">
        <v>1163</v>
      </c>
      <c r="D4867">
        <v>4</v>
      </c>
      <c r="E4867" t="s">
        <v>7</v>
      </c>
      <c r="F4867" t="s">
        <v>772</v>
      </c>
      <c r="H4867" t="s">
        <v>4516</v>
      </c>
      <c r="I4867" s="28" t="s">
        <v>25</v>
      </c>
    </row>
    <row r="4868" spans="1:9" x14ac:dyDescent="0.3">
      <c r="A4868" s="26">
        <v>45349</v>
      </c>
      <c r="B4868" t="s">
        <v>895</v>
      </c>
      <c r="C4868" t="s">
        <v>753</v>
      </c>
      <c r="D4868">
        <v>0.13</v>
      </c>
      <c r="E4868" t="s">
        <v>910</v>
      </c>
      <c r="F4868" t="s">
        <v>754</v>
      </c>
      <c r="G4868" t="s">
        <v>4111</v>
      </c>
      <c r="H4868" t="s">
        <v>4516</v>
      </c>
      <c r="I4868" s="28" t="s">
        <v>25</v>
      </c>
    </row>
    <row r="4869" spans="1:9" x14ac:dyDescent="0.3">
      <c r="A4869" s="26">
        <v>45349</v>
      </c>
      <c r="B4869" t="s">
        <v>895</v>
      </c>
      <c r="C4869" t="s">
        <v>909</v>
      </c>
      <c r="D4869">
        <v>0.23</v>
      </c>
      <c r="E4869" t="s">
        <v>817</v>
      </c>
      <c r="F4869" t="s">
        <v>754</v>
      </c>
      <c r="G4869" t="s">
        <v>4112</v>
      </c>
      <c r="H4869" t="s">
        <v>4516</v>
      </c>
      <c r="I4869" s="28" t="s">
        <v>25</v>
      </c>
    </row>
    <row r="4870" spans="1:9" x14ac:dyDescent="0.3">
      <c r="A4870" s="26">
        <v>45349</v>
      </c>
      <c r="B4870" t="s">
        <v>895</v>
      </c>
      <c r="C4870" t="s">
        <v>909</v>
      </c>
      <c r="D4870">
        <v>1.05</v>
      </c>
      <c r="E4870" t="s">
        <v>2605</v>
      </c>
      <c r="F4870" t="s">
        <v>754</v>
      </c>
      <c r="G4870" t="s">
        <v>4113</v>
      </c>
      <c r="H4870" t="s">
        <v>4516</v>
      </c>
      <c r="I4870" s="28" t="s">
        <v>25</v>
      </c>
    </row>
    <row r="4871" spans="1:9" x14ac:dyDescent="0.3">
      <c r="A4871" s="26">
        <v>45349</v>
      </c>
      <c r="B4871" t="s">
        <v>895</v>
      </c>
      <c r="C4871" t="s">
        <v>771</v>
      </c>
      <c r="D4871">
        <v>0.17</v>
      </c>
      <c r="E4871" t="s">
        <v>7</v>
      </c>
      <c r="F4871" t="s">
        <v>772</v>
      </c>
      <c r="G4871" t="s">
        <v>760</v>
      </c>
      <c r="H4871" t="s">
        <v>4516</v>
      </c>
      <c r="I4871" s="28" t="s">
        <v>25</v>
      </c>
    </row>
    <row r="4872" spans="1:9" x14ac:dyDescent="0.3">
      <c r="A4872" s="26">
        <v>45349</v>
      </c>
      <c r="B4872" t="s">
        <v>895</v>
      </c>
      <c r="C4872" t="s">
        <v>771</v>
      </c>
      <c r="D4872">
        <v>0.25</v>
      </c>
      <c r="E4872" t="s">
        <v>7</v>
      </c>
      <c r="F4872" t="s">
        <v>772</v>
      </c>
      <c r="G4872" t="s">
        <v>4114</v>
      </c>
      <c r="H4872" t="s">
        <v>4516</v>
      </c>
      <c r="I4872" s="28" t="s">
        <v>25</v>
      </c>
    </row>
    <row r="4873" spans="1:9" x14ac:dyDescent="0.3">
      <c r="A4873" s="26">
        <v>45349</v>
      </c>
      <c r="B4873" t="s">
        <v>895</v>
      </c>
      <c r="C4873" t="s">
        <v>771</v>
      </c>
      <c r="D4873">
        <v>0.88</v>
      </c>
      <c r="E4873" t="s">
        <v>7</v>
      </c>
      <c r="F4873" t="s">
        <v>772</v>
      </c>
      <c r="G4873" t="s">
        <v>4115</v>
      </c>
      <c r="H4873" t="s">
        <v>4516</v>
      </c>
      <c r="I4873" s="28" t="s">
        <v>25</v>
      </c>
    </row>
    <row r="4874" spans="1:9" x14ac:dyDescent="0.3">
      <c r="A4874" s="26">
        <v>45349</v>
      </c>
      <c r="B4874" t="s">
        <v>895</v>
      </c>
      <c r="C4874" t="s">
        <v>776</v>
      </c>
      <c r="D4874">
        <v>0.17</v>
      </c>
      <c r="E4874" t="s">
        <v>879</v>
      </c>
      <c r="F4874" t="s">
        <v>754</v>
      </c>
      <c r="G4874" t="s">
        <v>4116</v>
      </c>
      <c r="H4874" t="s">
        <v>4516</v>
      </c>
      <c r="I4874" s="28" t="s">
        <v>25</v>
      </c>
    </row>
    <row r="4875" spans="1:9" x14ac:dyDescent="0.3">
      <c r="A4875" s="26">
        <v>45349</v>
      </c>
      <c r="B4875" t="s">
        <v>895</v>
      </c>
      <c r="C4875" t="s">
        <v>776</v>
      </c>
      <c r="D4875">
        <v>0.22</v>
      </c>
      <c r="E4875" t="s">
        <v>879</v>
      </c>
      <c r="F4875" t="s">
        <v>754</v>
      </c>
      <c r="G4875" t="s">
        <v>4117</v>
      </c>
      <c r="H4875" t="s">
        <v>4516</v>
      </c>
      <c r="I4875" s="28" t="s">
        <v>25</v>
      </c>
    </row>
    <row r="4876" spans="1:9" x14ac:dyDescent="0.3">
      <c r="A4876" s="26">
        <v>45349</v>
      </c>
      <c r="B4876" t="s">
        <v>895</v>
      </c>
      <c r="C4876" t="s">
        <v>776</v>
      </c>
      <c r="D4876">
        <v>1.37</v>
      </c>
      <c r="E4876" t="s">
        <v>879</v>
      </c>
      <c r="F4876" t="s">
        <v>754</v>
      </c>
      <c r="G4876" t="s">
        <v>4118</v>
      </c>
      <c r="H4876" t="s">
        <v>4516</v>
      </c>
      <c r="I4876" s="28" t="s">
        <v>25</v>
      </c>
    </row>
    <row r="4877" spans="1:9" x14ac:dyDescent="0.3">
      <c r="A4877" s="26">
        <v>45349</v>
      </c>
      <c r="B4877" t="s">
        <v>1391</v>
      </c>
      <c r="C4877" t="s">
        <v>1094</v>
      </c>
      <c r="D4877">
        <v>0.08</v>
      </c>
      <c r="E4877" t="s">
        <v>455</v>
      </c>
      <c r="F4877" t="s">
        <v>754</v>
      </c>
      <c r="G4877" t="s">
        <v>4119</v>
      </c>
      <c r="H4877" t="s">
        <v>4516</v>
      </c>
      <c r="I4877" s="28" t="s">
        <v>25</v>
      </c>
    </row>
    <row r="4878" spans="1:9" x14ac:dyDescent="0.3">
      <c r="A4878" s="26">
        <v>45349</v>
      </c>
      <c r="B4878" t="s">
        <v>929</v>
      </c>
      <c r="C4878" t="s">
        <v>786</v>
      </c>
      <c r="D4878">
        <v>1.1499999999999999</v>
      </c>
      <c r="E4878" t="s">
        <v>7</v>
      </c>
      <c r="F4878" t="s">
        <v>772</v>
      </c>
      <c r="G4878" t="s">
        <v>4120</v>
      </c>
      <c r="H4878" t="s">
        <v>4516</v>
      </c>
      <c r="I4878" s="28" t="s">
        <v>25</v>
      </c>
    </row>
    <row r="4879" spans="1:9" x14ac:dyDescent="0.3">
      <c r="A4879" s="26">
        <v>45349</v>
      </c>
      <c r="B4879" t="s">
        <v>929</v>
      </c>
      <c r="C4879" t="s">
        <v>789</v>
      </c>
      <c r="D4879">
        <v>0.05</v>
      </c>
      <c r="E4879" t="s">
        <v>1013</v>
      </c>
      <c r="F4879" t="s">
        <v>772</v>
      </c>
      <c r="G4879" t="s">
        <v>4121</v>
      </c>
      <c r="H4879" t="s">
        <v>4516</v>
      </c>
      <c r="I4879" s="28" t="s">
        <v>25</v>
      </c>
    </row>
    <row r="4880" spans="1:9" x14ac:dyDescent="0.3">
      <c r="A4880" s="26">
        <v>45349</v>
      </c>
      <c r="B4880" t="s">
        <v>929</v>
      </c>
      <c r="C4880" t="s">
        <v>789</v>
      </c>
      <c r="D4880">
        <v>0.08</v>
      </c>
      <c r="E4880" t="s">
        <v>964</v>
      </c>
      <c r="F4880" t="s">
        <v>772</v>
      </c>
      <c r="G4880" t="s">
        <v>4121</v>
      </c>
      <c r="H4880" t="s">
        <v>4516</v>
      </c>
      <c r="I4880" s="28" t="s">
        <v>25</v>
      </c>
    </row>
    <row r="4881" spans="1:9" x14ac:dyDescent="0.3">
      <c r="A4881" s="26">
        <v>45349</v>
      </c>
      <c r="B4881" t="s">
        <v>929</v>
      </c>
      <c r="C4881" t="s">
        <v>789</v>
      </c>
      <c r="D4881">
        <v>0.12</v>
      </c>
      <c r="E4881" t="s">
        <v>7</v>
      </c>
      <c r="F4881" t="s">
        <v>772</v>
      </c>
      <c r="G4881" t="s">
        <v>4122</v>
      </c>
      <c r="H4881" t="s">
        <v>4516</v>
      </c>
      <c r="I4881" s="28" t="s">
        <v>25</v>
      </c>
    </row>
    <row r="4882" spans="1:9" x14ac:dyDescent="0.3">
      <c r="A4882" s="26">
        <v>45349</v>
      </c>
      <c r="B4882" t="s">
        <v>929</v>
      </c>
      <c r="C4882" t="s">
        <v>789</v>
      </c>
      <c r="D4882">
        <v>0.13</v>
      </c>
      <c r="E4882" t="s">
        <v>857</v>
      </c>
      <c r="F4882" t="s">
        <v>772</v>
      </c>
      <c r="G4882" t="s">
        <v>4123</v>
      </c>
      <c r="H4882" t="s">
        <v>4516</v>
      </c>
      <c r="I4882" s="28" t="s">
        <v>25</v>
      </c>
    </row>
    <row r="4883" spans="1:9" x14ac:dyDescent="0.3">
      <c r="A4883" s="26">
        <v>45349</v>
      </c>
      <c r="B4883" t="s">
        <v>929</v>
      </c>
      <c r="C4883" t="s">
        <v>789</v>
      </c>
      <c r="D4883">
        <v>0.18</v>
      </c>
      <c r="E4883" t="s">
        <v>7</v>
      </c>
      <c r="F4883" t="s">
        <v>772</v>
      </c>
      <c r="G4883" t="s">
        <v>4124</v>
      </c>
      <c r="H4883" t="s">
        <v>4516</v>
      </c>
      <c r="I4883" s="28" t="s">
        <v>25</v>
      </c>
    </row>
    <row r="4884" spans="1:9" x14ac:dyDescent="0.3">
      <c r="A4884" s="26">
        <v>45349</v>
      </c>
      <c r="B4884" t="s">
        <v>929</v>
      </c>
      <c r="C4884" t="s">
        <v>789</v>
      </c>
      <c r="D4884">
        <v>0.18</v>
      </c>
      <c r="E4884" t="s">
        <v>644</v>
      </c>
      <c r="F4884" t="s">
        <v>772</v>
      </c>
      <c r="G4884" t="s">
        <v>4125</v>
      </c>
      <c r="H4884" t="s">
        <v>4516</v>
      </c>
      <c r="I4884" s="28" t="s">
        <v>25</v>
      </c>
    </row>
    <row r="4885" spans="1:9" x14ac:dyDescent="0.3">
      <c r="A4885" s="26">
        <v>45349</v>
      </c>
      <c r="B4885" t="s">
        <v>929</v>
      </c>
      <c r="C4885" t="s">
        <v>789</v>
      </c>
      <c r="D4885">
        <v>0.25</v>
      </c>
      <c r="E4885" t="s">
        <v>7</v>
      </c>
      <c r="F4885" t="s">
        <v>772</v>
      </c>
      <c r="G4885" t="s">
        <v>4126</v>
      </c>
      <c r="H4885" t="s">
        <v>4516</v>
      </c>
      <c r="I4885" s="28" t="s">
        <v>25</v>
      </c>
    </row>
    <row r="4886" spans="1:9" x14ac:dyDescent="0.3">
      <c r="A4886" s="26">
        <v>45349</v>
      </c>
      <c r="B4886" t="s">
        <v>929</v>
      </c>
      <c r="C4886" t="s">
        <v>789</v>
      </c>
      <c r="D4886">
        <v>0.25</v>
      </c>
      <c r="E4886" t="s">
        <v>7</v>
      </c>
      <c r="F4886" t="s">
        <v>772</v>
      </c>
      <c r="G4886" t="s">
        <v>4127</v>
      </c>
      <c r="H4886" t="s">
        <v>4516</v>
      </c>
      <c r="I4886" s="28" t="s">
        <v>25</v>
      </c>
    </row>
    <row r="4887" spans="1:9" x14ac:dyDescent="0.3">
      <c r="A4887" s="26">
        <v>45349</v>
      </c>
      <c r="B4887" t="s">
        <v>929</v>
      </c>
      <c r="C4887" t="s">
        <v>789</v>
      </c>
      <c r="D4887">
        <v>0.32</v>
      </c>
      <c r="E4887" t="s">
        <v>7</v>
      </c>
      <c r="F4887" t="s">
        <v>772</v>
      </c>
      <c r="G4887" t="s">
        <v>4128</v>
      </c>
      <c r="H4887" t="s">
        <v>4516</v>
      </c>
      <c r="I4887" s="28" t="s">
        <v>25</v>
      </c>
    </row>
    <row r="4888" spans="1:9" x14ac:dyDescent="0.3">
      <c r="A4888" s="26">
        <v>45349</v>
      </c>
      <c r="B4888" t="s">
        <v>929</v>
      </c>
      <c r="C4888" t="s">
        <v>771</v>
      </c>
      <c r="D4888">
        <v>0.25</v>
      </c>
      <c r="E4888" t="s">
        <v>7</v>
      </c>
      <c r="F4888" t="s">
        <v>772</v>
      </c>
      <c r="G4888" t="s">
        <v>4129</v>
      </c>
      <c r="H4888" t="s">
        <v>4516</v>
      </c>
      <c r="I4888" s="28" t="s">
        <v>25</v>
      </c>
    </row>
    <row r="4889" spans="1:9" x14ac:dyDescent="0.3">
      <c r="A4889" s="26">
        <v>45349</v>
      </c>
      <c r="B4889" t="s">
        <v>929</v>
      </c>
      <c r="C4889" t="s">
        <v>771</v>
      </c>
      <c r="D4889">
        <v>0.25</v>
      </c>
      <c r="E4889" t="s">
        <v>7</v>
      </c>
      <c r="F4889" t="s">
        <v>772</v>
      </c>
      <c r="G4889" t="s">
        <v>4130</v>
      </c>
      <c r="H4889" t="s">
        <v>4516</v>
      </c>
      <c r="I4889" s="28" t="s">
        <v>25</v>
      </c>
    </row>
    <row r="4890" spans="1:9" x14ac:dyDescent="0.3">
      <c r="A4890" s="26">
        <v>45349</v>
      </c>
      <c r="B4890" t="s">
        <v>929</v>
      </c>
      <c r="C4890" t="s">
        <v>942</v>
      </c>
      <c r="D4890">
        <v>0.17</v>
      </c>
      <c r="E4890" t="s">
        <v>7</v>
      </c>
      <c r="F4890" t="s">
        <v>772</v>
      </c>
      <c r="G4890" t="s">
        <v>4131</v>
      </c>
      <c r="H4890" t="s">
        <v>4516</v>
      </c>
      <c r="I4890" s="28" t="s">
        <v>25</v>
      </c>
    </row>
    <row r="4891" spans="1:9" x14ac:dyDescent="0.3">
      <c r="A4891" s="26">
        <v>45349</v>
      </c>
      <c r="B4891" t="s">
        <v>929</v>
      </c>
      <c r="C4891" t="s">
        <v>942</v>
      </c>
      <c r="D4891">
        <v>0.33</v>
      </c>
      <c r="E4891" t="s">
        <v>7</v>
      </c>
      <c r="F4891" t="s">
        <v>772</v>
      </c>
      <c r="G4891" t="s">
        <v>4132</v>
      </c>
      <c r="H4891" t="s">
        <v>4516</v>
      </c>
      <c r="I4891" s="28" t="s">
        <v>25</v>
      </c>
    </row>
    <row r="4892" spans="1:9" x14ac:dyDescent="0.3">
      <c r="A4892" s="26">
        <v>45349</v>
      </c>
      <c r="B4892" t="s">
        <v>929</v>
      </c>
      <c r="C4892" t="s">
        <v>942</v>
      </c>
      <c r="D4892">
        <v>0.48</v>
      </c>
      <c r="E4892" t="s">
        <v>7</v>
      </c>
      <c r="F4892" t="s">
        <v>772</v>
      </c>
      <c r="G4892" t="s">
        <v>4133</v>
      </c>
      <c r="H4892" t="s">
        <v>4516</v>
      </c>
      <c r="I4892" s="28" t="s">
        <v>25</v>
      </c>
    </row>
    <row r="4893" spans="1:9" x14ac:dyDescent="0.3">
      <c r="A4893" s="26">
        <v>45349</v>
      </c>
      <c r="B4893" t="s">
        <v>929</v>
      </c>
      <c r="C4893" t="s">
        <v>942</v>
      </c>
      <c r="D4893">
        <v>0.53</v>
      </c>
      <c r="E4893" t="s">
        <v>7</v>
      </c>
      <c r="F4893" t="s">
        <v>772</v>
      </c>
      <c r="G4893" t="s">
        <v>4134</v>
      </c>
      <c r="H4893" t="s">
        <v>4516</v>
      </c>
      <c r="I4893" s="28" t="s">
        <v>25</v>
      </c>
    </row>
    <row r="4894" spans="1:9" x14ac:dyDescent="0.3">
      <c r="A4894" s="26">
        <v>45349</v>
      </c>
      <c r="B4894" t="s">
        <v>929</v>
      </c>
      <c r="C4894" t="s">
        <v>916</v>
      </c>
      <c r="D4894">
        <v>0.05</v>
      </c>
      <c r="E4894" t="s">
        <v>201</v>
      </c>
      <c r="F4894" t="s">
        <v>772</v>
      </c>
      <c r="G4894" t="s">
        <v>4135</v>
      </c>
      <c r="H4894" t="s">
        <v>4516</v>
      </c>
      <c r="I4894" s="28" t="s">
        <v>25</v>
      </c>
    </row>
    <row r="4895" spans="1:9" x14ac:dyDescent="0.3">
      <c r="A4895" s="26">
        <v>45349</v>
      </c>
      <c r="B4895" t="s">
        <v>929</v>
      </c>
      <c r="C4895" t="s">
        <v>916</v>
      </c>
      <c r="D4895">
        <v>0.05</v>
      </c>
      <c r="E4895" t="s">
        <v>857</v>
      </c>
      <c r="F4895" t="s">
        <v>772</v>
      </c>
      <c r="G4895" t="s">
        <v>4135</v>
      </c>
      <c r="H4895" t="s">
        <v>4516</v>
      </c>
      <c r="I4895" s="28" t="s">
        <v>25</v>
      </c>
    </row>
    <row r="4896" spans="1:9" x14ac:dyDescent="0.3">
      <c r="A4896" s="26">
        <v>45349</v>
      </c>
      <c r="B4896" t="s">
        <v>929</v>
      </c>
      <c r="C4896" t="s">
        <v>916</v>
      </c>
      <c r="D4896">
        <v>0.05</v>
      </c>
      <c r="E4896" t="s">
        <v>898</v>
      </c>
      <c r="F4896" t="s">
        <v>772</v>
      </c>
      <c r="G4896" t="s">
        <v>4135</v>
      </c>
      <c r="H4896" t="s">
        <v>4516</v>
      </c>
      <c r="I4896" s="28" t="s">
        <v>25</v>
      </c>
    </row>
    <row r="4897" spans="1:9" x14ac:dyDescent="0.3">
      <c r="A4897" s="26">
        <v>45349</v>
      </c>
      <c r="B4897" t="s">
        <v>929</v>
      </c>
      <c r="C4897" t="s">
        <v>916</v>
      </c>
      <c r="D4897">
        <v>0.05</v>
      </c>
      <c r="E4897" t="s">
        <v>910</v>
      </c>
      <c r="F4897" t="s">
        <v>772</v>
      </c>
      <c r="G4897" t="s">
        <v>4135</v>
      </c>
      <c r="H4897" t="s">
        <v>4516</v>
      </c>
      <c r="I4897" s="28" t="s">
        <v>25</v>
      </c>
    </row>
    <row r="4898" spans="1:9" x14ac:dyDescent="0.3">
      <c r="A4898" s="26">
        <v>45349</v>
      </c>
      <c r="B4898" t="s">
        <v>929</v>
      </c>
      <c r="C4898" t="s">
        <v>916</v>
      </c>
      <c r="D4898">
        <v>0.05</v>
      </c>
      <c r="E4898" t="s">
        <v>589</v>
      </c>
      <c r="F4898" t="s">
        <v>772</v>
      </c>
      <c r="G4898" t="s">
        <v>4135</v>
      </c>
      <c r="H4898" t="s">
        <v>4516</v>
      </c>
      <c r="I4898" s="28" t="s">
        <v>25</v>
      </c>
    </row>
    <row r="4899" spans="1:9" x14ac:dyDescent="0.3">
      <c r="A4899" s="26">
        <v>45349</v>
      </c>
      <c r="B4899" t="s">
        <v>929</v>
      </c>
      <c r="C4899" t="s">
        <v>916</v>
      </c>
      <c r="D4899">
        <v>0.48</v>
      </c>
      <c r="E4899" t="s">
        <v>516</v>
      </c>
      <c r="F4899" t="s">
        <v>754</v>
      </c>
      <c r="G4899" t="s">
        <v>4136</v>
      </c>
      <c r="H4899" t="s">
        <v>4516</v>
      </c>
      <c r="I4899" s="28" t="s">
        <v>25</v>
      </c>
    </row>
    <row r="4900" spans="1:9" x14ac:dyDescent="0.3">
      <c r="A4900" s="26">
        <v>45349</v>
      </c>
      <c r="B4900" t="s">
        <v>929</v>
      </c>
      <c r="C4900" t="s">
        <v>916</v>
      </c>
      <c r="D4900">
        <v>0.97</v>
      </c>
      <c r="E4900" t="s">
        <v>1013</v>
      </c>
      <c r="F4900" t="s">
        <v>754</v>
      </c>
      <c r="H4900" t="s">
        <v>4516</v>
      </c>
      <c r="I4900" s="28" t="s">
        <v>25</v>
      </c>
    </row>
    <row r="4901" spans="1:9" x14ac:dyDescent="0.3">
      <c r="A4901" s="26">
        <v>45349</v>
      </c>
      <c r="B4901" t="s">
        <v>929</v>
      </c>
      <c r="C4901" t="s">
        <v>834</v>
      </c>
      <c r="D4901">
        <v>1.53</v>
      </c>
      <c r="E4901" t="s">
        <v>7</v>
      </c>
      <c r="F4901" t="s">
        <v>772</v>
      </c>
      <c r="G4901" t="s">
        <v>4137</v>
      </c>
      <c r="H4901" t="s">
        <v>4516</v>
      </c>
      <c r="I4901" s="28" t="s">
        <v>25</v>
      </c>
    </row>
    <row r="4902" spans="1:9" x14ac:dyDescent="0.3">
      <c r="A4902" s="26">
        <v>45349</v>
      </c>
      <c r="B4902" t="s">
        <v>929</v>
      </c>
      <c r="C4902" t="s">
        <v>874</v>
      </c>
      <c r="D4902">
        <v>0.05</v>
      </c>
      <c r="E4902" t="s">
        <v>7</v>
      </c>
      <c r="F4902" t="s">
        <v>772</v>
      </c>
      <c r="G4902" t="s">
        <v>4138</v>
      </c>
      <c r="H4902" t="s">
        <v>4516</v>
      </c>
      <c r="I4902" s="28" t="s">
        <v>25</v>
      </c>
    </row>
    <row r="4903" spans="1:9" x14ac:dyDescent="0.3">
      <c r="A4903" s="26">
        <v>45349</v>
      </c>
      <c r="B4903" t="s">
        <v>959</v>
      </c>
      <c r="C4903" t="s">
        <v>942</v>
      </c>
      <c r="D4903">
        <v>1</v>
      </c>
      <c r="E4903" t="s">
        <v>7</v>
      </c>
      <c r="F4903" t="s">
        <v>772</v>
      </c>
      <c r="G4903" t="s">
        <v>4139</v>
      </c>
      <c r="H4903" t="s">
        <v>4516</v>
      </c>
      <c r="I4903" s="28" t="s">
        <v>25</v>
      </c>
    </row>
    <row r="4904" spans="1:9" x14ac:dyDescent="0.3">
      <c r="A4904" s="26">
        <v>45349</v>
      </c>
      <c r="B4904" t="s">
        <v>959</v>
      </c>
      <c r="C4904" t="s">
        <v>878</v>
      </c>
      <c r="D4904">
        <v>7</v>
      </c>
      <c r="E4904" t="s">
        <v>430</v>
      </c>
      <c r="F4904" t="s">
        <v>754</v>
      </c>
      <c r="G4904" t="s">
        <v>4140</v>
      </c>
      <c r="H4904" t="s">
        <v>4516</v>
      </c>
      <c r="I4904" s="28" t="s">
        <v>25</v>
      </c>
    </row>
    <row r="4905" spans="1:9" x14ac:dyDescent="0.3">
      <c r="A4905" s="26">
        <v>45349</v>
      </c>
      <c r="B4905" t="s">
        <v>961</v>
      </c>
      <c r="C4905" t="s">
        <v>753</v>
      </c>
      <c r="D4905">
        <v>0.82</v>
      </c>
      <c r="E4905" t="s">
        <v>717</v>
      </c>
      <c r="F4905" t="s">
        <v>754</v>
      </c>
      <c r="H4905" t="s">
        <v>4516</v>
      </c>
      <c r="I4905" s="28" t="s">
        <v>25</v>
      </c>
    </row>
    <row r="4906" spans="1:9" x14ac:dyDescent="0.3">
      <c r="A4906" s="26">
        <v>45349</v>
      </c>
      <c r="B4906" t="s">
        <v>961</v>
      </c>
      <c r="C4906" t="s">
        <v>753</v>
      </c>
      <c r="D4906">
        <v>5.42</v>
      </c>
      <c r="E4906" t="s">
        <v>790</v>
      </c>
      <c r="F4906" t="s">
        <v>754</v>
      </c>
      <c r="H4906" t="s">
        <v>4516</v>
      </c>
      <c r="I4906" s="28" t="s">
        <v>25</v>
      </c>
    </row>
    <row r="4907" spans="1:9" x14ac:dyDescent="0.3">
      <c r="A4907" s="26">
        <v>45349</v>
      </c>
      <c r="B4907" t="s">
        <v>961</v>
      </c>
      <c r="C4907" t="s">
        <v>771</v>
      </c>
      <c r="D4907">
        <v>0.56999999999999995</v>
      </c>
      <c r="E4907" t="s">
        <v>7</v>
      </c>
      <c r="F4907" t="s">
        <v>772</v>
      </c>
      <c r="G4907" t="s">
        <v>2334</v>
      </c>
      <c r="H4907" t="s">
        <v>4516</v>
      </c>
      <c r="I4907" s="28" t="s">
        <v>25</v>
      </c>
    </row>
    <row r="4908" spans="1:9" x14ac:dyDescent="0.3">
      <c r="A4908" s="26">
        <v>45349</v>
      </c>
      <c r="B4908" t="s">
        <v>961</v>
      </c>
      <c r="C4908" t="s">
        <v>776</v>
      </c>
      <c r="D4908">
        <v>1.22</v>
      </c>
      <c r="E4908" t="s">
        <v>234</v>
      </c>
      <c r="F4908" t="s">
        <v>754</v>
      </c>
      <c r="H4908" t="s">
        <v>4516</v>
      </c>
      <c r="I4908" s="28" t="s">
        <v>25</v>
      </c>
    </row>
    <row r="4909" spans="1:9" x14ac:dyDescent="0.3">
      <c r="A4909" s="26">
        <v>45349</v>
      </c>
      <c r="B4909" t="s">
        <v>962</v>
      </c>
      <c r="C4909" t="s">
        <v>753</v>
      </c>
      <c r="D4909">
        <v>1</v>
      </c>
      <c r="E4909" t="s">
        <v>717</v>
      </c>
      <c r="F4909" t="s">
        <v>754</v>
      </c>
      <c r="G4909" t="s">
        <v>4141</v>
      </c>
      <c r="H4909" t="s">
        <v>4516</v>
      </c>
      <c r="I4909" s="28" t="s">
        <v>25</v>
      </c>
    </row>
    <row r="4910" spans="1:9" x14ac:dyDescent="0.3">
      <c r="A4910" s="26">
        <v>45349</v>
      </c>
      <c r="B4910" t="s">
        <v>966</v>
      </c>
      <c r="C4910" t="s">
        <v>967</v>
      </c>
      <c r="D4910">
        <v>2.5</v>
      </c>
      <c r="E4910" t="s">
        <v>7</v>
      </c>
      <c r="F4910" t="s">
        <v>772</v>
      </c>
      <c r="H4910" t="s">
        <v>4516</v>
      </c>
      <c r="I4910" s="28" t="s">
        <v>25</v>
      </c>
    </row>
    <row r="4911" spans="1:9" x14ac:dyDescent="0.3">
      <c r="A4911" s="26">
        <v>45349</v>
      </c>
      <c r="B4911" t="s">
        <v>966</v>
      </c>
      <c r="C4911" t="s">
        <v>967</v>
      </c>
      <c r="D4911">
        <v>5</v>
      </c>
      <c r="E4911" t="s">
        <v>790</v>
      </c>
      <c r="F4911" t="s">
        <v>754</v>
      </c>
      <c r="H4911" t="s">
        <v>4516</v>
      </c>
      <c r="I4911" s="28" t="s">
        <v>25</v>
      </c>
    </row>
    <row r="4912" spans="1:9" x14ac:dyDescent="0.3">
      <c r="A4912" s="26">
        <v>45349</v>
      </c>
      <c r="B4912" t="s">
        <v>966</v>
      </c>
      <c r="C4912" t="s">
        <v>771</v>
      </c>
      <c r="D4912">
        <v>0.5</v>
      </c>
      <c r="E4912" t="s">
        <v>7</v>
      </c>
      <c r="F4912" t="s">
        <v>772</v>
      </c>
      <c r="G4912" t="s">
        <v>781</v>
      </c>
      <c r="H4912" t="s">
        <v>4516</v>
      </c>
      <c r="I4912" s="28" t="s">
        <v>25</v>
      </c>
    </row>
    <row r="4913" spans="1:9" x14ac:dyDescent="0.3">
      <c r="A4913" s="26">
        <v>45349</v>
      </c>
      <c r="B4913" t="s">
        <v>969</v>
      </c>
      <c r="C4913" t="s">
        <v>753</v>
      </c>
      <c r="D4913">
        <v>0.13</v>
      </c>
      <c r="E4913" t="s">
        <v>790</v>
      </c>
      <c r="F4913" t="s">
        <v>754</v>
      </c>
      <c r="G4913" t="s">
        <v>768</v>
      </c>
      <c r="H4913" t="s">
        <v>4516</v>
      </c>
      <c r="I4913" s="28" t="s">
        <v>25</v>
      </c>
    </row>
    <row r="4914" spans="1:9" x14ac:dyDescent="0.3">
      <c r="A4914" s="26">
        <v>45349</v>
      </c>
      <c r="B4914" t="s">
        <v>969</v>
      </c>
      <c r="C4914" t="s">
        <v>753</v>
      </c>
      <c r="D4914">
        <v>0.93</v>
      </c>
      <c r="E4914" t="s">
        <v>790</v>
      </c>
      <c r="F4914" t="s">
        <v>754</v>
      </c>
      <c r="H4914" t="s">
        <v>4516</v>
      </c>
      <c r="I4914" s="28" t="s">
        <v>25</v>
      </c>
    </row>
    <row r="4915" spans="1:9" x14ac:dyDescent="0.3">
      <c r="A4915" s="26">
        <v>45349</v>
      </c>
      <c r="B4915" t="s">
        <v>969</v>
      </c>
      <c r="C4915" t="s">
        <v>789</v>
      </c>
      <c r="D4915">
        <v>0.6</v>
      </c>
      <c r="E4915" t="s">
        <v>790</v>
      </c>
      <c r="F4915" t="s">
        <v>754</v>
      </c>
      <c r="G4915" t="s">
        <v>4142</v>
      </c>
      <c r="H4915" t="s">
        <v>4516</v>
      </c>
      <c r="I4915" s="28" t="s">
        <v>25</v>
      </c>
    </row>
    <row r="4916" spans="1:9" x14ac:dyDescent="0.3">
      <c r="A4916" s="26">
        <v>45349</v>
      </c>
      <c r="B4916" t="s">
        <v>969</v>
      </c>
      <c r="C4916" t="s">
        <v>789</v>
      </c>
      <c r="D4916">
        <v>1.3</v>
      </c>
      <c r="E4916" t="s">
        <v>790</v>
      </c>
      <c r="F4916" t="s">
        <v>754</v>
      </c>
      <c r="G4916" t="s">
        <v>2436</v>
      </c>
      <c r="H4916" t="s">
        <v>4516</v>
      </c>
      <c r="I4916" s="28" t="s">
        <v>25</v>
      </c>
    </row>
    <row r="4917" spans="1:9" x14ac:dyDescent="0.3">
      <c r="A4917" s="26">
        <v>45349</v>
      </c>
      <c r="B4917" t="s">
        <v>969</v>
      </c>
      <c r="C4917" t="s">
        <v>771</v>
      </c>
      <c r="D4917">
        <v>0.7</v>
      </c>
      <c r="E4917" t="s">
        <v>7</v>
      </c>
      <c r="F4917" t="s">
        <v>772</v>
      </c>
      <c r="G4917" t="s">
        <v>4143</v>
      </c>
      <c r="H4917" t="s">
        <v>4516</v>
      </c>
      <c r="I4917" s="28" t="s">
        <v>25</v>
      </c>
    </row>
    <row r="4918" spans="1:9" x14ac:dyDescent="0.3">
      <c r="A4918" s="26">
        <v>45349</v>
      </c>
      <c r="B4918" t="s">
        <v>969</v>
      </c>
      <c r="C4918" t="s">
        <v>771</v>
      </c>
      <c r="D4918">
        <v>0.7</v>
      </c>
      <c r="E4918" t="s">
        <v>7</v>
      </c>
      <c r="F4918" t="s">
        <v>772</v>
      </c>
      <c r="G4918" t="s">
        <v>4144</v>
      </c>
      <c r="H4918" t="s">
        <v>4516</v>
      </c>
      <c r="I4918" s="28" t="s">
        <v>25</v>
      </c>
    </row>
    <row r="4919" spans="1:9" x14ac:dyDescent="0.3">
      <c r="A4919" s="26">
        <v>45349</v>
      </c>
      <c r="B4919" t="s">
        <v>969</v>
      </c>
      <c r="C4919" t="s">
        <v>771</v>
      </c>
      <c r="D4919">
        <v>0.73</v>
      </c>
      <c r="E4919" t="s">
        <v>7</v>
      </c>
      <c r="F4919" t="s">
        <v>772</v>
      </c>
      <c r="G4919" t="s">
        <v>2436</v>
      </c>
      <c r="H4919" t="s">
        <v>4516</v>
      </c>
      <c r="I4919" s="28" t="s">
        <v>25</v>
      </c>
    </row>
    <row r="4920" spans="1:9" x14ac:dyDescent="0.3">
      <c r="A4920" s="26">
        <v>45349</v>
      </c>
      <c r="B4920" t="s">
        <v>969</v>
      </c>
      <c r="C4920" t="s">
        <v>771</v>
      </c>
      <c r="D4920">
        <v>0.83</v>
      </c>
      <c r="E4920" t="s">
        <v>7</v>
      </c>
      <c r="F4920" t="s">
        <v>772</v>
      </c>
      <c r="G4920" t="s">
        <v>4145</v>
      </c>
      <c r="H4920" t="s">
        <v>4516</v>
      </c>
      <c r="I4920" s="28" t="s">
        <v>25</v>
      </c>
    </row>
    <row r="4921" spans="1:9" x14ac:dyDescent="0.3">
      <c r="A4921" s="26">
        <v>45349</v>
      </c>
      <c r="B4921" t="s">
        <v>969</v>
      </c>
      <c r="C4921" t="s">
        <v>771</v>
      </c>
      <c r="D4921">
        <v>2.15</v>
      </c>
      <c r="E4921" t="s">
        <v>7</v>
      </c>
      <c r="F4921" t="s">
        <v>772</v>
      </c>
      <c r="G4921" t="s">
        <v>4146</v>
      </c>
      <c r="H4921" t="s">
        <v>4516</v>
      </c>
      <c r="I4921" s="28" t="s">
        <v>25</v>
      </c>
    </row>
    <row r="4922" spans="1:9" x14ac:dyDescent="0.3">
      <c r="A4922" s="26">
        <v>45349</v>
      </c>
      <c r="B4922" t="s">
        <v>977</v>
      </c>
      <c r="C4922" t="s">
        <v>753</v>
      </c>
      <c r="D4922">
        <v>0.47</v>
      </c>
      <c r="E4922" t="s">
        <v>978</v>
      </c>
      <c r="F4922" t="s">
        <v>754</v>
      </c>
      <c r="G4922" t="s">
        <v>4147</v>
      </c>
      <c r="H4922" t="s">
        <v>4516</v>
      </c>
      <c r="I4922" s="28" t="s">
        <v>25</v>
      </c>
    </row>
    <row r="4923" spans="1:9" x14ac:dyDescent="0.3">
      <c r="A4923" s="26">
        <v>45349</v>
      </c>
      <c r="B4923" t="s">
        <v>977</v>
      </c>
      <c r="C4923" t="s">
        <v>753</v>
      </c>
      <c r="D4923">
        <v>4.75</v>
      </c>
      <c r="E4923" t="s">
        <v>978</v>
      </c>
      <c r="F4923" t="s">
        <v>754</v>
      </c>
      <c r="G4923" t="s">
        <v>4148</v>
      </c>
      <c r="H4923" t="s">
        <v>4516</v>
      </c>
      <c r="I4923" s="28" t="s">
        <v>25</v>
      </c>
    </row>
    <row r="4924" spans="1:9" x14ac:dyDescent="0.3">
      <c r="A4924" s="26">
        <v>45349</v>
      </c>
      <c r="B4924" t="s">
        <v>977</v>
      </c>
      <c r="C4924" t="s">
        <v>771</v>
      </c>
      <c r="D4924">
        <v>0.5</v>
      </c>
      <c r="E4924" t="s">
        <v>7</v>
      </c>
      <c r="F4924" t="s">
        <v>772</v>
      </c>
      <c r="G4924" t="s">
        <v>820</v>
      </c>
      <c r="H4924" t="s">
        <v>4516</v>
      </c>
      <c r="I4924" s="28" t="s">
        <v>25</v>
      </c>
    </row>
    <row r="4925" spans="1:9" x14ac:dyDescent="0.3">
      <c r="A4925" s="26">
        <v>45349</v>
      </c>
      <c r="B4925" t="s">
        <v>977</v>
      </c>
      <c r="C4925" t="s">
        <v>834</v>
      </c>
      <c r="D4925">
        <v>0.68</v>
      </c>
      <c r="E4925" t="s">
        <v>7</v>
      </c>
      <c r="F4925" t="s">
        <v>772</v>
      </c>
      <c r="G4925" t="s">
        <v>4149</v>
      </c>
      <c r="H4925" t="s">
        <v>4516</v>
      </c>
      <c r="I4925" s="28" t="s">
        <v>25</v>
      </c>
    </row>
    <row r="4926" spans="1:9" x14ac:dyDescent="0.3">
      <c r="A4926" s="26">
        <v>45349</v>
      </c>
      <c r="B4926" t="s">
        <v>977</v>
      </c>
      <c r="C4926" t="s">
        <v>834</v>
      </c>
      <c r="D4926">
        <v>1.67</v>
      </c>
      <c r="E4926" t="s">
        <v>7</v>
      </c>
      <c r="F4926" t="s">
        <v>772</v>
      </c>
      <c r="G4926" t="s">
        <v>4150</v>
      </c>
      <c r="H4926" t="s">
        <v>4516</v>
      </c>
      <c r="I4926" s="28" t="s">
        <v>25</v>
      </c>
    </row>
    <row r="4927" spans="1:9" x14ac:dyDescent="0.3">
      <c r="A4927" s="26">
        <v>45349</v>
      </c>
      <c r="B4927" t="s">
        <v>981</v>
      </c>
      <c r="C4927" t="s">
        <v>982</v>
      </c>
      <c r="D4927">
        <v>9</v>
      </c>
      <c r="E4927" t="s">
        <v>7</v>
      </c>
      <c r="F4927" t="s">
        <v>772</v>
      </c>
      <c r="G4927" t="s">
        <v>4151</v>
      </c>
      <c r="H4927" t="s">
        <v>4516</v>
      </c>
      <c r="I4927" s="28" t="s">
        <v>25</v>
      </c>
    </row>
    <row r="4928" spans="1:9" x14ac:dyDescent="0.3">
      <c r="A4928" s="26">
        <v>45349</v>
      </c>
      <c r="B4928" t="s">
        <v>984</v>
      </c>
      <c r="C4928" t="s">
        <v>1163</v>
      </c>
      <c r="D4928">
        <v>4</v>
      </c>
      <c r="E4928" t="s">
        <v>7</v>
      </c>
      <c r="F4928" t="s">
        <v>772</v>
      </c>
      <c r="H4928" t="s">
        <v>4516</v>
      </c>
      <c r="I4928" s="28" t="s">
        <v>25</v>
      </c>
    </row>
    <row r="4929" spans="1:9" x14ac:dyDescent="0.3">
      <c r="A4929" s="26">
        <v>45349</v>
      </c>
      <c r="B4929" t="s">
        <v>984</v>
      </c>
      <c r="C4929" t="s">
        <v>753</v>
      </c>
      <c r="D4929">
        <v>0.55000000000000004</v>
      </c>
      <c r="E4929" t="s">
        <v>917</v>
      </c>
      <c r="F4929" t="s">
        <v>754</v>
      </c>
      <c r="G4929" t="s">
        <v>987</v>
      </c>
      <c r="H4929" t="s">
        <v>4516</v>
      </c>
      <c r="I4929" s="28" t="s">
        <v>25</v>
      </c>
    </row>
    <row r="4930" spans="1:9" x14ac:dyDescent="0.3">
      <c r="A4930" s="26">
        <v>45349</v>
      </c>
      <c r="B4930" t="s">
        <v>984</v>
      </c>
      <c r="C4930" t="s">
        <v>753</v>
      </c>
      <c r="D4930">
        <v>3.53</v>
      </c>
      <c r="E4930" t="s">
        <v>13</v>
      </c>
      <c r="F4930" t="s">
        <v>754</v>
      </c>
      <c r="G4930" t="s">
        <v>4152</v>
      </c>
      <c r="H4930" t="s">
        <v>4516</v>
      </c>
      <c r="I4930" s="28" t="s">
        <v>25</v>
      </c>
    </row>
    <row r="4931" spans="1:9" x14ac:dyDescent="0.3">
      <c r="A4931" s="26">
        <v>45349</v>
      </c>
      <c r="B4931" t="s">
        <v>991</v>
      </c>
      <c r="C4931" t="s">
        <v>992</v>
      </c>
      <c r="D4931">
        <v>1.27</v>
      </c>
      <c r="E4931" t="s">
        <v>7</v>
      </c>
      <c r="F4931" t="s">
        <v>772</v>
      </c>
      <c r="G4931" t="s">
        <v>4153</v>
      </c>
      <c r="H4931" t="s">
        <v>4516</v>
      </c>
      <c r="I4931" s="28" t="s">
        <v>25</v>
      </c>
    </row>
    <row r="4932" spans="1:9" x14ac:dyDescent="0.3">
      <c r="A4932" s="26">
        <v>45349</v>
      </c>
      <c r="B4932" t="s">
        <v>991</v>
      </c>
      <c r="C4932" t="s">
        <v>1870</v>
      </c>
      <c r="D4932">
        <v>4.28</v>
      </c>
      <c r="E4932" t="s">
        <v>999</v>
      </c>
      <c r="F4932" t="s">
        <v>772</v>
      </c>
      <c r="G4932" t="s">
        <v>4154</v>
      </c>
      <c r="H4932" t="s">
        <v>4516</v>
      </c>
      <c r="I4932" s="28" t="s">
        <v>25</v>
      </c>
    </row>
    <row r="4933" spans="1:9" x14ac:dyDescent="0.3">
      <c r="A4933" s="26">
        <v>45349</v>
      </c>
      <c r="B4933" t="s">
        <v>991</v>
      </c>
      <c r="C4933" t="s">
        <v>1870</v>
      </c>
      <c r="D4933">
        <v>4.47</v>
      </c>
      <c r="E4933" t="s">
        <v>999</v>
      </c>
      <c r="F4933" t="s">
        <v>772</v>
      </c>
      <c r="G4933" t="s">
        <v>4155</v>
      </c>
      <c r="H4933" t="s">
        <v>4516</v>
      </c>
      <c r="I4933" s="28" t="s">
        <v>25</v>
      </c>
    </row>
    <row r="4934" spans="1:9" x14ac:dyDescent="0.3">
      <c r="A4934" s="26">
        <v>45349</v>
      </c>
      <c r="B4934" t="s">
        <v>1002</v>
      </c>
      <c r="C4934" t="s">
        <v>1003</v>
      </c>
      <c r="D4934">
        <v>10</v>
      </c>
      <c r="E4934" t="s">
        <v>7</v>
      </c>
      <c r="F4934" t="s">
        <v>772</v>
      </c>
      <c r="G4934" t="s">
        <v>4156</v>
      </c>
      <c r="H4934" t="s">
        <v>4516</v>
      </c>
      <c r="I4934" s="28" t="s">
        <v>25</v>
      </c>
    </row>
    <row r="4935" spans="1:9" x14ac:dyDescent="0.3">
      <c r="A4935" s="26">
        <v>45349</v>
      </c>
      <c r="B4935" t="s">
        <v>1005</v>
      </c>
      <c r="C4935" t="s">
        <v>753</v>
      </c>
      <c r="D4935">
        <v>0.25</v>
      </c>
      <c r="E4935" t="s">
        <v>161</v>
      </c>
      <c r="F4935" t="s">
        <v>754</v>
      </c>
      <c r="H4935" t="s">
        <v>4516</v>
      </c>
      <c r="I4935" s="28" t="s">
        <v>25</v>
      </c>
    </row>
    <row r="4936" spans="1:9" x14ac:dyDescent="0.3">
      <c r="A4936" s="26">
        <v>45349</v>
      </c>
      <c r="B4936" t="s">
        <v>1005</v>
      </c>
      <c r="C4936" t="s">
        <v>753</v>
      </c>
      <c r="D4936">
        <v>0.5</v>
      </c>
      <c r="E4936" t="s">
        <v>1438</v>
      </c>
      <c r="F4936" t="s">
        <v>754</v>
      </c>
      <c r="G4936" t="s">
        <v>4157</v>
      </c>
      <c r="H4936" t="s">
        <v>4516</v>
      </c>
      <c r="I4936" s="28" t="s">
        <v>25</v>
      </c>
    </row>
    <row r="4937" spans="1:9" x14ac:dyDescent="0.3">
      <c r="A4937" s="26">
        <v>45349</v>
      </c>
      <c r="B4937" t="s">
        <v>1005</v>
      </c>
      <c r="C4937" t="s">
        <v>753</v>
      </c>
      <c r="D4937">
        <v>0.5</v>
      </c>
      <c r="E4937" t="s">
        <v>201</v>
      </c>
      <c r="F4937" t="s">
        <v>754</v>
      </c>
      <c r="H4937" t="s">
        <v>4516</v>
      </c>
      <c r="I4937" s="28" t="s">
        <v>25</v>
      </c>
    </row>
    <row r="4938" spans="1:9" x14ac:dyDescent="0.3">
      <c r="A4938" s="26">
        <v>45349</v>
      </c>
      <c r="B4938" t="s">
        <v>1005</v>
      </c>
      <c r="C4938" t="s">
        <v>753</v>
      </c>
      <c r="D4938">
        <v>0.5</v>
      </c>
      <c r="E4938" t="s">
        <v>471</v>
      </c>
      <c r="F4938" t="s">
        <v>754</v>
      </c>
      <c r="H4938" t="s">
        <v>4516</v>
      </c>
      <c r="I4938" s="28" t="s">
        <v>25</v>
      </c>
    </row>
    <row r="4939" spans="1:9" x14ac:dyDescent="0.3">
      <c r="A4939" s="26">
        <v>45349</v>
      </c>
      <c r="B4939" t="s">
        <v>1005</v>
      </c>
      <c r="C4939" t="s">
        <v>753</v>
      </c>
      <c r="D4939">
        <v>2.5</v>
      </c>
      <c r="E4939" t="s">
        <v>430</v>
      </c>
      <c r="F4939" t="s">
        <v>754</v>
      </c>
      <c r="H4939" t="s">
        <v>4516</v>
      </c>
      <c r="I4939" s="28" t="s">
        <v>25</v>
      </c>
    </row>
    <row r="4940" spans="1:9" x14ac:dyDescent="0.3">
      <c r="A4940" s="26">
        <v>45349</v>
      </c>
      <c r="B4940" t="s">
        <v>1005</v>
      </c>
      <c r="C4940" t="s">
        <v>776</v>
      </c>
      <c r="D4940">
        <v>0.25</v>
      </c>
      <c r="E4940" t="s">
        <v>671</v>
      </c>
      <c r="F4940" t="s">
        <v>754</v>
      </c>
      <c r="H4940" t="s">
        <v>4516</v>
      </c>
      <c r="I4940" s="28" t="s">
        <v>25</v>
      </c>
    </row>
    <row r="4941" spans="1:9" x14ac:dyDescent="0.3">
      <c r="A4941" s="26">
        <v>45349</v>
      </c>
      <c r="B4941" t="s">
        <v>1005</v>
      </c>
      <c r="C4941" t="s">
        <v>776</v>
      </c>
      <c r="D4941">
        <v>0.5</v>
      </c>
      <c r="E4941" t="s">
        <v>141</v>
      </c>
      <c r="F4941" t="s">
        <v>754</v>
      </c>
      <c r="H4941" t="s">
        <v>4516</v>
      </c>
      <c r="I4941" s="28" t="s">
        <v>25</v>
      </c>
    </row>
    <row r="4942" spans="1:9" x14ac:dyDescent="0.3">
      <c r="A4942" s="26">
        <v>45349</v>
      </c>
      <c r="B4942" t="s">
        <v>1006</v>
      </c>
      <c r="C4942" t="s">
        <v>909</v>
      </c>
      <c r="D4942">
        <v>7.0000000000000007E-2</v>
      </c>
      <c r="E4942" t="s">
        <v>757</v>
      </c>
      <c r="F4942" t="s">
        <v>772</v>
      </c>
      <c r="G4942" t="s">
        <v>4158</v>
      </c>
      <c r="H4942" t="s">
        <v>4516</v>
      </c>
      <c r="I4942" s="28" t="s">
        <v>25</v>
      </c>
    </row>
    <row r="4943" spans="1:9" x14ac:dyDescent="0.3">
      <c r="A4943" s="26">
        <v>45349</v>
      </c>
      <c r="B4943" t="s">
        <v>1006</v>
      </c>
      <c r="C4943" t="s">
        <v>909</v>
      </c>
      <c r="D4943">
        <v>0.85</v>
      </c>
      <c r="E4943" t="s">
        <v>151</v>
      </c>
      <c r="F4943" t="s">
        <v>754</v>
      </c>
      <c r="G4943" t="s">
        <v>4159</v>
      </c>
      <c r="H4943" t="s">
        <v>4516</v>
      </c>
      <c r="I4943" s="28" t="s">
        <v>25</v>
      </c>
    </row>
    <row r="4944" spans="1:9" x14ac:dyDescent="0.3">
      <c r="A4944" s="26">
        <v>45349</v>
      </c>
      <c r="B4944" t="s">
        <v>1006</v>
      </c>
      <c r="C4944" t="s">
        <v>771</v>
      </c>
      <c r="D4944">
        <v>1.47</v>
      </c>
      <c r="E4944" t="s">
        <v>7</v>
      </c>
      <c r="F4944" t="s">
        <v>772</v>
      </c>
      <c r="G4944" t="s">
        <v>1010</v>
      </c>
      <c r="H4944" t="s">
        <v>4516</v>
      </c>
      <c r="I4944" s="28" t="s">
        <v>25</v>
      </c>
    </row>
    <row r="4945" spans="1:9" x14ac:dyDescent="0.3">
      <c r="A4945" s="26">
        <v>45349</v>
      </c>
      <c r="B4945" t="s">
        <v>1006</v>
      </c>
      <c r="C4945" t="s">
        <v>834</v>
      </c>
      <c r="D4945">
        <v>4.83</v>
      </c>
      <c r="E4945" t="s">
        <v>7</v>
      </c>
      <c r="F4945" t="s">
        <v>772</v>
      </c>
      <c r="G4945" t="s">
        <v>4160</v>
      </c>
      <c r="H4945" t="s">
        <v>4516</v>
      </c>
      <c r="I4945" s="28" t="s">
        <v>25</v>
      </c>
    </row>
    <row r="4946" spans="1:9" x14ac:dyDescent="0.3">
      <c r="A4946" s="26">
        <v>45349</v>
      </c>
      <c r="B4946" t="s">
        <v>1011</v>
      </c>
      <c r="C4946" t="s">
        <v>753</v>
      </c>
      <c r="D4946">
        <v>0.17</v>
      </c>
      <c r="E4946" t="s">
        <v>589</v>
      </c>
      <c r="F4946" t="s">
        <v>754</v>
      </c>
      <c r="G4946" t="s">
        <v>1243</v>
      </c>
      <c r="H4946" t="s">
        <v>4516</v>
      </c>
      <c r="I4946" s="28" t="s">
        <v>25</v>
      </c>
    </row>
    <row r="4947" spans="1:9" x14ac:dyDescent="0.3">
      <c r="A4947" s="26">
        <v>45349</v>
      </c>
      <c r="B4947" t="s">
        <v>1011</v>
      </c>
      <c r="C4947" t="s">
        <v>753</v>
      </c>
      <c r="D4947">
        <v>0.22</v>
      </c>
      <c r="E4947" t="s">
        <v>589</v>
      </c>
      <c r="F4947" t="s">
        <v>754</v>
      </c>
      <c r="G4947" t="s">
        <v>4161</v>
      </c>
      <c r="H4947" t="s">
        <v>4516</v>
      </c>
      <c r="I4947" s="28" t="s">
        <v>25</v>
      </c>
    </row>
    <row r="4948" spans="1:9" x14ac:dyDescent="0.3">
      <c r="A4948" s="26">
        <v>45349</v>
      </c>
      <c r="B4948" t="s">
        <v>1011</v>
      </c>
      <c r="C4948" t="s">
        <v>753</v>
      </c>
      <c r="D4948">
        <v>0.28000000000000003</v>
      </c>
      <c r="E4948" t="s">
        <v>1013</v>
      </c>
      <c r="F4948" t="s">
        <v>754</v>
      </c>
      <c r="G4948" t="s">
        <v>1014</v>
      </c>
      <c r="H4948" t="s">
        <v>4516</v>
      </c>
      <c r="I4948" s="28" t="s">
        <v>25</v>
      </c>
    </row>
    <row r="4949" spans="1:9" x14ac:dyDescent="0.3">
      <c r="A4949" s="26">
        <v>45349</v>
      </c>
      <c r="B4949" t="s">
        <v>1011</v>
      </c>
      <c r="C4949" t="s">
        <v>753</v>
      </c>
      <c r="D4949">
        <v>0.43</v>
      </c>
      <c r="E4949" t="s">
        <v>1013</v>
      </c>
      <c r="F4949" t="s">
        <v>754</v>
      </c>
      <c r="G4949" t="s">
        <v>4162</v>
      </c>
      <c r="H4949" t="s">
        <v>4516</v>
      </c>
      <c r="I4949" s="28" t="s">
        <v>25</v>
      </c>
    </row>
    <row r="4950" spans="1:9" x14ac:dyDescent="0.3">
      <c r="A4950" s="26">
        <v>45349</v>
      </c>
      <c r="B4950" t="s">
        <v>1011</v>
      </c>
      <c r="C4950" t="s">
        <v>753</v>
      </c>
      <c r="D4950">
        <v>0.68</v>
      </c>
      <c r="E4950" t="s">
        <v>1013</v>
      </c>
      <c r="F4950" t="s">
        <v>754</v>
      </c>
      <c r="G4950" t="s">
        <v>4163</v>
      </c>
      <c r="H4950" t="s">
        <v>4516</v>
      </c>
      <c r="I4950" s="28" t="s">
        <v>25</v>
      </c>
    </row>
    <row r="4951" spans="1:9" x14ac:dyDescent="0.3">
      <c r="A4951" s="26">
        <v>45349</v>
      </c>
      <c r="B4951" t="s">
        <v>1011</v>
      </c>
      <c r="C4951" t="s">
        <v>753</v>
      </c>
      <c r="D4951">
        <v>0.77</v>
      </c>
      <c r="E4951" t="s">
        <v>589</v>
      </c>
      <c r="F4951" t="s">
        <v>754</v>
      </c>
      <c r="G4951" t="s">
        <v>1014</v>
      </c>
      <c r="H4951" t="s">
        <v>4516</v>
      </c>
      <c r="I4951" s="28" t="s">
        <v>25</v>
      </c>
    </row>
    <row r="4952" spans="1:9" x14ac:dyDescent="0.3">
      <c r="A4952" s="26">
        <v>45349</v>
      </c>
      <c r="B4952" t="s">
        <v>1011</v>
      </c>
      <c r="C4952" t="s">
        <v>753</v>
      </c>
      <c r="D4952">
        <v>1.25</v>
      </c>
      <c r="E4952" t="s">
        <v>1013</v>
      </c>
      <c r="F4952" t="s">
        <v>754</v>
      </c>
      <c r="G4952" t="s">
        <v>4164</v>
      </c>
      <c r="H4952" t="s">
        <v>4516</v>
      </c>
      <c r="I4952" s="28" t="s">
        <v>25</v>
      </c>
    </row>
    <row r="4953" spans="1:9" x14ac:dyDescent="0.3">
      <c r="A4953" s="26">
        <v>45349</v>
      </c>
      <c r="B4953" t="s">
        <v>1011</v>
      </c>
      <c r="C4953" t="s">
        <v>753</v>
      </c>
      <c r="D4953">
        <v>1.28</v>
      </c>
      <c r="E4953" t="s">
        <v>1013</v>
      </c>
      <c r="F4953" t="s">
        <v>754</v>
      </c>
      <c r="G4953" t="s">
        <v>1017</v>
      </c>
      <c r="H4953" t="s">
        <v>4516</v>
      </c>
      <c r="I4953" s="28" t="s">
        <v>25</v>
      </c>
    </row>
    <row r="4954" spans="1:9" x14ac:dyDescent="0.3">
      <c r="A4954" s="26">
        <v>45349</v>
      </c>
      <c r="B4954" t="s">
        <v>1011</v>
      </c>
      <c r="C4954" t="s">
        <v>789</v>
      </c>
      <c r="D4954">
        <v>1.1000000000000001</v>
      </c>
      <c r="E4954" t="s">
        <v>1013</v>
      </c>
      <c r="F4954" t="s">
        <v>754</v>
      </c>
      <c r="G4954" t="s">
        <v>4165</v>
      </c>
      <c r="H4954" t="s">
        <v>4516</v>
      </c>
      <c r="I4954" s="28" t="s">
        <v>25</v>
      </c>
    </row>
    <row r="4955" spans="1:9" x14ac:dyDescent="0.3">
      <c r="A4955" s="26">
        <v>45349</v>
      </c>
      <c r="B4955" t="s">
        <v>1011</v>
      </c>
      <c r="C4955" t="s">
        <v>771</v>
      </c>
      <c r="D4955">
        <v>0.15</v>
      </c>
      <c r="E4955" t="s">
        <v>7</v>
      </c>
      <c r="F4955" t="s">
        <v>772</v>
      </c>
      <c r="G4955" t="s">
        <v>4166</v>
      </c>
      <c r="H4955" t="s">
        <v>4516</v>
      </c>
      <c r="I4955" s="28" t="s">
        <v>25</v>
      </c>
    </row>
    <row r="4956" spans="1:9" x14ac:dyDescent="0.3">
      <c r="A4956" s="26">
        <v>45349</v>
      </c>
      <c r="B4956" t="s">
        <v>1011</v>
      </c>
      <c r="C4956" t="s">
        <v>776</v>
      </c>
      <c r="D4956">
        <v>0.45</v>
      </c>
      <c r="E4956" t="s">
        <v>259</v>
      </c>
      <c r="F4956" t="s">
        <v>754</v>
      </c>
      <c r="H4956" t="s">
        <v>4516</v>
      </c>
      <c r="I4956" s="28" t="s">
        <v>25</v>
      </c>
    </row>
    <row r="4957" spans="1:9" x14ac:dyDescent="0.3">
      <c r="A4957" s="26">
        <v>45349</v>
      </c>
      <c r="B4957" t="s">
        <v>1011</v>
      </c>
      <c r="C4957" t="s">
        <v>776</v>
      </c>
      <c r="D4957">
        <v>1.23</v>
      </c>
      <c r="E4957" t="s">
        <v>845</v>
      </c>
      <c r="F4957" t="s">
        <v>754</v>
      </c>
      <c r="H4957" t="s">
        <v>4516</v>
      </c>
      <c r="I4957" s="28" t="s">
        <v>25</v>
      </c>
    </row>
    <row r="4958" spans="1:9" x14ac:dyDescent="0.3">
      <c r="A4958" s="26">
        <v>45349</v>
      </c>
      <c r="B4958" t="s">
        <v>1020</v>
      </c>
      <c r="C4958" t="s">
        <v>753</v>
      </c>
      <c r="D4958">
        <v>0.67</v>
      </c>
      <c r="E4958" t="s">
        <v>964</v>
      </c>
      <c r="F4958" t="s">
        <v>754</v>
      </c>
      <c r="G4958" t="s">
        <v>4167</v>
      </c>
      <c r="H4958" t="s">
        <v>4516</v>
      </c>
      <c r="I4958" s="28" t="s">
        <v>25</v>
      </c>
    </row>
    <row r="4959" spans="1:9" x14ac:dyDescent="0.3">
      <c r="A4959" s="26">
        <v>45349</v>
      </c>
      <c r="B4959" t="s">
        <v>1020</v>
      </c>
      <c r="C4959" t="s">
        <v>753</v>
      </c>
      <c r="D4959">
        <v>0.68</v>
      </c>
      <c r="E4959" t="s">
        <v>964</v>
      </c>
      <c r="F4959" t="s">
        <v>754</v>
      </c>
      <c r="G4959" t="s">
        <v>4168</v>
      </c>
      <c r="H4959" t="s">
        <v>4516</v>
      </c>
      <c r="I4959" s="28" t="s">
        <v>25</v>
      </c>
    </row>
    <row r="4960" spans="1:9" x14ac:dyDescent="0.3">
      <c r="A4960" s="26">
        <v>45349</v>
      </c>
      <c r="B4960" t="s">
        <v>1020</v>
      </c>
      <c r="C4960" t="s">
        <v>753</v>
      </c>
      <c r="D4960">
        <v>1</v>
      </c>
      <c r="E4960" t="s">
        <v>964</v>
      </c>
      <c r="F4960" t="s">
        <v>754</v>
      </c>
      <c r="G4960" t="s">
        <v>3575</v>
      </c>
      <c r="H4960" t="s">
        <v>4516</v>
      </c>
      <c r="I4960" s="28" t="s">
        <v>25</v>
      </c>
    </row>
    <row r="4961" spans="1:9" x14ac:dyDescent="0.3">
      <c r="A4961" s="26">
        <v>45349</v>
      </c>
      <c r="B4961" t="s">
        <v>1020</v>
      </c>
      <c r="C4961" t="s">
        <v>753</v>
      </c>
      <c r="D4961">
        <v>1.72</v>
      </c>
      <c r="E4961" t="s">
        <v>964</v>
      </c>
      <c r="F4961" t="s">
        <v>754</v>
      </c>
      <c r="G4961" t="s">
        <v>4169</v>
      </c>
      <c r="H4961" t="s">
        <v>4516</v>
      </c>
      <c r="I4961" s="28" t="s">
        <v>25</v>
      </c>
    </row>
    <row r="4962" spans="1:9" x14ac:dyDescent="0.3">
      <c r="A4962" s="26">
        <v>45349</v>
      </c>
      <c r="B4962" t="s">
        <v>1020</v>
      </c>
      <c r="C4962" t="s">
        <v>753</v>
      </c>
      <c r="D4962">
        <v>2.0299999999999998</v>
      </c>
      <c r="E4962" t="s">
        <v>11</v>
      </c>
      <c r="F4962" t="s">
        <v>754</v>
      </c>
      <c r="H4962" t="s">
        <v>4516</v>
      </c>
      <c r="I4962" s="28" t="s">
        <v>25</v>
      </c>
    </row>
    <row r="4963" spans="1:9" x14ac:dyDescent="0.3">
      <c r="A4963" s="26">
        <v>45349</v>
      </c>
      <c r="B4963" t="s">
        <v>1020</v>
      </c>
      <c r="C4963" t="s">
        <v>753</v>
      </c>
      <c r="D4963">
        <v>2.6</v>
      </c>
      <c r="E4963" t="s">
        <v>964</v>
      </c>
      <c r="F4963" t="s">
        <v>754</v>
      </c>
      <c r="G4963" t="s">
        <v>1990</v>
      </c>
      <c r="H4963" t="s">
        <v>4516</v>
      </c>
      <c r="I4963" s="28" t="s">
        <v>25</v>
      </c>
    </row>
    <row r="4964" spans="1:9" x14ac:dyDescent="0.3">
      <c r="A4964" s="26">
        <v>45349</v>
      </c>
      <c r="B4964" t="s">
        <v>1020</v>
      </c>
      <c r="C4964" t="s">
        <v>771</v>
      </c>
      <c r="D4964">
        <v>0.28000000000000003</v>
      </c>
      <c r="E4964" t="s">
        <v>7</v>
      </c>
      <c r="F4964" t="s">
        <v>772</v>
      </c>
      <c r="G4964" t="s">
        <v>1024</v>
      </c>
      <c r="H4964" t="s">
        <v>4516</v>
      </c>
      <c r="I4964" s="28" t="s">
        <v>25</v>
      </c>
    </row>
    <row r="4965" spans="1:9" x14ac:dyDescent="0.3">
      <c r="A4965" s="26">
        <v>45349</v>
      </c>
      <c r="B4965" t="s">
        <v>1026</v>
      </c>
      <c r="C4965" t="s">
        <v>771</v>
      </c>
      <c r="D4965">
        <v>2.2200000000000002</v>
      </c>
      <c r="E4965" t="s">
        <v>7</v>
      </c>
      <c r="F4965" t="s">
        <v>772</v>
      </c>
      <c r="G4965" t="s">
        <v>4170</v>
      </c>
      <c r="H4965" t="s">
        <v>4516</v>
      </c>
      <c r="I4965" s="28" t="s">
        <v>25</v>
      </c>
    </row>
    <row r="4966" spans="1:9" x14ac:dyDescent="0.3">
      <c r="A4966" s="26">
        <v>45349</v>
      </c>
      <c r="B4966" t="s">
        <v>1026</v>
      </c>
      <c r="C4966" t="s">
        <v>771</v>
      </c>
      <c r="D4966">
        <v>3.03</v>
      </c>
      <c r="E4966" t="s">
        <v>7</v>
      </c>
      <c r="F4966" t="s">
        <v>772</v>
      </c>
      <c r="G4966" t="s">
        <v>4171</v>
      </c>
      <c r="H4966" t="s">
        <v>4516</v>
      </c>
      <c r="I4966" s="28" t="s">
        <v>25</v>
      </c>
    </row>
    <row r="4967" spans="1:9" x14ac:dyDescent="0.3">
      <c r="A4967" s="26">
        <v>45349</v>
      </c>
      <c r="B4967" t="s">
        <v>1026</v>
      </c>
      <c r="C4967" t="s">
        <v>942</v>
      </c>
      <c r="D4967">
        <v>0.56999999999999995</v>
      </c>
      <c r="E4967" t="s">
        <v>7</v>
      </c>
      <c r="F4967" t="s">
        <v>772</v>
      </c>
      <c r="G4967" t="s">
        <v>4172</v>
      </c>
      <c r="H4967" t="s">
        <v>4516</v>
      </c>
      <c r="I4967" s="28" t="s">
        <v>25</v>
      </c>
    </row>
    <row r="4968" spans="1:9" x14ac:dyDescent="0.3">
      <c r="A4968" s="26">
        <v>45349</v>
      </c>
      <c r="B4968" t="s">
        <v>1026</v>
      </c>
      <c r="C4968" t="s">
        <v>942</v>
      </c>
      <c r="D4968">
        <v>0.73</v>
      </c>
      <c r="E4968" t="s">
        <v>7</v>
      </c>
      <c r="F4968" t="s">
        <v>772</v>
      </c>
      <c r="G4968" t="s">
        <v>4173</v>
      </c>
      <c r="H4968" t="s">
        <v>4516</v>
      </c>
      <c r="I4968" s="28" t="s">
        <v>25</v>
      </c>
    </row>
    <row r="4969" spans="1:9" x14ac:dyDescent="0.3">
      <c r="A4969" s="26">
        <v>45349</v>
      </c>
      <c r="B4969" t="s">
        <v>1026</v>
      </c>
      <c r="C4969" t="s">
        <v>874</v>
      </c>
      <c r="D4969">
        <v>1.95</v>
      </c>
      <c r="E4969" t="s">
        <v>7</v>
      </c>
      <c r="F4969" t="s">
        <v>772</v>
      </c>
      <c r="G4969" t="s">
        <v>4174</v>
      </c>
      <c r="H4969" t="s">
        <v>4516</v>
      </c>
      <c r="I4969" s="28" t="s">
        <v>25</v>
      </c>
    </row>
    <row r="4970" spans="1:9" x14ac:dyDescent="0.3">
      <c r="A4970" s="26">
        <v>45349</v>
      </c>
      <c r="B4970" t="s">
        <v>1032</v>
      </c>
      <c r="C4970" t="s">
        <v>753</v>
      </c>
      <c r="D4970">
        <v>8.4700000000000006</v>
      </c>
      <c r="E4970" t="s">
        <v>790</v>
      </c>
      <c r="F4970" t="s">
        <v>754</v>
      </c>
      <c r="H4970" t="s">
        <v>4516</v>
      </c>
      <c r="I4970" s="28" t="s">
        <v>25</v>
      </c>
    </row>
    <row r="4971" spans="1:9" x14ac:dyDescent="0.3">
      <c r="A4971" s="26">
        <v>45349</v>
      </c>
      <c r="B4971" t="s">
        <v>1034</v>
      </c>
      <c r="C4971" t="s">
        <v>771</v>
      </c>
      <c r="D4971">
        <v>0.5</v>
      </c>
      <c r="E4971" t="s">
        <v>7</v>
      </c>
      <c r="F4971" t="s">
        <v>772</v>
      </c>
      <c r="G4971" t="s">
        <v>820</v>
      </c>
      <c r="H4971" t="s">
        <v>4516</v>
      </c>
      <c r="I4971" s="28" t="s">
        <v>25</v>
      </c>
    </row>
    <row r="4972" spans="1:9" x14ac:dyDescent="0.3">
      <c r="A4972" s="26">
        <v>45349</v>
      </c>
      <c r="B4972" t="s">
        <v>1034</v>
      </c>
      <c r="C4972" t="s">
        <v>776</v>
      </c>
      <c r="D4972">
        <v>3.58</v>
      </c>
      <c r="E4972" t="s">
        <v>879</v>
      </c>
      <c r="F4972" t="s">
        <v>754</v>
      </c>
      <c r="G4972" t="s">
        <v>1042</v>
      </c>
      <c r="H4972" t="s">
        <v>4516</v>
      </c>
      <c r="I4972" s="28" t="s">
        <v>25</v>
      </c>
    </row>
    <row r="4973" spans="1:9" x14ac:dyDescent="0.3">
      <c r="A4973" s="26">
        <v>45349</v>
      </c>
      <c r="B4973" t="s">
        <v>1034</v>
      </c>
      <c r="C4973" t="s">
        <v>784</v>
      </c>
      <c r="D4973">
        <v>4</v>
      </c>
      <c r="E4973" t="s">
        <v>7</v>
      </c>
      <c r="F4973" t="s">
        <v>772</v>
      </c>
      <c r="H4973" t="s">
        <v>4516</v>
      </c>
      <c r="I4973" s="28" t="s">
        <v>25</v>
      </c>
    </row>
    <row r="4974" spans="1:9" x14ac:dyDescent="0.3">
      <c r="A4974" s="26">
        <v>45349</v>
      </c>
      <c r="B4974" t="s">
        <v>1049</v>
      </c>
      <c r="C4974" t="s">
        <v>753</v>
      </c>
      <c r="D4974">
        <v>0.12</v>
      </c>
      <c r="E4974" t="s">
        <v>316</v>
      </c>
      <c r="F4974" t="s">
        <v>754</v>
      </c>
      <c r="G4974" t="s">
        <v>3413</v>
      </c>
      <c r="H4974" t="s">
        <v>4516</v>
      </c>
      <c r="I4974" s="28" t="s">
        <v>25</v>
      </c>
    </row>
    <row r="4975" spans="1:9" x14ac:dyDescent="0.3">
      <c r="A4975" s="26">
        <v>45349</v>
      </c>
      <c r="B4975" t="s">
        <v>1049</v>
      </c>
      <c r="C4975" t="s">
        <v>753</v>
      </c>
      <c r="D4975">
        <v>0.25</v>
      </c>
      <c r="E4975" t="s">
        <v>316</v>
      </c>
      <c r="F4975" t="s">
        <v>754</v>
      </c>
      <c r="G4975" t="s">
        <v>4175</v>
      </c>
      <c r="H4975" t="s">
        <v>4516</v>
      </c>
      <c r="I4975" s="28" t="s">
        <v>25</v>
      </c>
    </row>
    <row r="4976" spans="1:9" x14ac:dyDescent="0.3">
      <c r="A4976" s="26">
        <v>45349</v>
      </c>
      <c r="B4976" t="s">
        <v>1049</v>
      </c>
      <c r="C4976" t="s">
        <v>753</v>
      </c>
      <c r="D4976">
        <v>0.88</v>
      </c>
      <c r="E4976" t="s">
        <v>964</v>
      </c>
      <c r="F4976" t="s">
        <v>754</v>
      </c>
      <c r="G4976" t="s">
        <v>4176</v>
      </c>
      <c r="H4976" t="s">
        <v>4516</v>
      </c>
      <c r="I4976" s="28" t="s">
        <v>25</v>
      </c>
    </row>
    <row r="4977" spans="1:9" x14ac:dyDescent="0.3">
      <c r="A4977" s="26">
        <v>45349</v>
      </c>
      <c r="B4977" t="s">
        <v>1049</v>
      </c>
      <c r="C4977" t="s">
        <v>753</v>
      </c>
      <c r="D4977">
        <v>1.75</v>
      </c>
      <c r="E4977" t="s">
        <v>964</v>
      </c>
      <c r="F4977" t="s">
        <v>754</v>
      </c>
      <c r="G4977" t="s">
        <v>1707</v>
      </c>
      <c r="H4977" t="s">
        <v>4516</v>
      </c>
      <c r="I4977" s="28" t="s">
        <v>25</v>
      </c>
    </row>
    <row r="4978" spans="1:9" x14ac:dyDescent="0.3">
      <c r="A4978" s="26">
        <v>45349</v>
      </c>
      <c r="B4978" t="s">
        <v>1049</v>
      </c>
      <c r="C4978" t="s">
        <v>753</v>
      </c>
      <c r="D4978">
        <v>3.5</v>
      </c>
      <c r="E4978" t="s">
        <v>964</v>
      </c>
      <c r="F4978" t="s">
        <v>754</v>
      </c>
      <c r="G4978" t="s">
        <v>4177</v>
      </c>
      <c r="H4978" t="s">
        <v>4516</v>
      </c>
      <c r="I4978" s="28" t="s">
        <v>25</v>
      </c>
    </row>
    <row r="4979" spans="1:9" x14ac:dyDescent="0.3">
      <c r="A4979" s="26">
        <v>45349</v>
      </c>
      <c r="B4979" t="s">
        <v>1049</v>
      </c>
      <c r="C4979" t="s">
        <v>771</v>
      </c>
      <c r="D4979">
        <v>0.5</v>
      </c>
      <c r="E4979" t="s">
        <v>7</v>
      </c>
      <c r="F4979" t="s">
        <v>772</v>
      </c>
      <c r="G4979" t="s">
        <v>1058</v>
      </c>
      <c r="H4979" t="s">
        <v>4516</v>
      </c>
      <c r="I4979" s="28" t="s">
        <v>25</v>
      </c>
    </row>
    <row r="4980" spans="1:9" x14ac:dyDescent="0.3">
      <c r="A4980" s="26">
        <v>45349</v>
      </c>
      <c r="B4980" t="s">
        <v>1049</v>
      </c>
      <c r="C4980" t="s">
        <v>916</v>
      </c>
      <c r="D4980">
        <v>7.0000000000000007E-2</v>
      </c>
      <c r="E4980" t="s">
        <v>519</v>
      </c>
      <c r="F4980" t="s">
        <v>754</v>
      </c>
      <c r="G4980" t="s">
        <v>4178</v>
      </c>
      <c r="H4980" t="s">
        <v>4516</v>
      </c>
      <c r="I4980" s="28" t="s">
        <v>25</v>
      </c>
    </row>
    <row r="4981" spans="1:9" x14ac:dyDescent="0.3">
      <c r="A4981" s="26">
        <v>45349</v>
      </c>
      <c r="B4981" t="s">
        <v>1049</v>
      </c>
      <c r="C4981" t="s">
        <v>776</v>
      </c>
      <c r="D4981">
        <v>0.03</v>
      </c>
      <c r="E4981" t="s">
        <v>815</v>
      </c>
      <c r="F4981" t="s">
        <v>754</v>
      </c>
      <c r="G4981" t="s">
        <v>1916</v>
      </c>
      <c r="H4981" t="s">
        <v>4516</v>
      </c>
      <c r="I4981" s="28" t="s">
        <v>25</v>
      </c>
    </row>
    <row r="4982" spans="1:9" x14ac:dyDescent="0.3">
      <c r="A4982" s="26">
        <v>45349</v>
      </c>
      <c r="B4982" t="s">
        <v>1049</v>
      </c>
      <c r="C4982" t="s">
        <v>776</v>
      </c>
      <c r="D4982">
        <v>0.12</v>
      </c>
      <c r="E4982" t="s">
        <v>1069</v>
      </c>
      <c r="F4982" t="s">
        <v>754</v>
      </c>
      <c r="G4982" t="s">
        <v>1916</v>
      </c>
      <c r="H4982" t="s">
        <v>4516</v>
      </c>
      <c r="I4982" s="28" t="s">
        <v>25</v>
      </c>
    </row>
    <row r="4983" spans="1:9" x14ac:dyDescent="0.3">
      <c r="A4983" s="26">
        <v>45349</v>
      </c>
      <c r="B4983" t="s">
        <v>1049</v>
      </c>
      <c r="C4983" t="s">
        <v>776</v>
      </c>
      <c r="D4983">
        <v>0.35</v>
      </c>
      <c r="E4983" t="s">
        <v>811</v>
      </c>
      <c r="F4983" t="s">
        <v>754</v>
      </c>
      <c r="G4983" t="s">
        <v>4179</v>
      </c>
      <c r="H4983" t="s">
        <v>4516</v>
      </c>
      <c r="I4983" s="28" t="s">
        <v>25</v>
      </c>
    </row>
    <row r="4984" spans="1:9" x14ac:dyDescent="0.3">
      <c r="A4984" s="26">
        <v>45349</v>
      </c>
      <c r="B4984" t="s">
        <v>1049</v>
      </c>
      <c r="C4984" t="s">
        <v>776</v>
      </c>
      <c r="D4984">
        <v>0.43</v>
      </c>
      <c r="E4984" t="s">
        <v>813</v>
      </c>
      <c r="F4984" t="s">
        <v>754</v>
      </c>
      <c r="G4984" t="s">
        <v>1916</v>
      </c>
      <c r="H4984" t="s">
        <v>4516</v>
      </c>
      <c r="I4984" s="28" t="s">
        <v>25</v>
      </c>
    </row>
    <row r="4985" spans="1:9" x14ac:dyDescent="0.3">
      <c r="A4985" s="26">
        <v>45349</v>
      </c>
      <c r="B4985" t="s">
        <v>1060</v>
      </c>
      <c r="C4985" t="s">
        <v>909</v>
      </c>
      <c r="D4985">
        <v>0.33</v>
      </c>
      <c r="E4985" t="s">
        <v>589</v>
      </c>
      <c r="F4985" t="s">
        <v>754</v>
      </c>
      <c r="G4985" t="s">
        <v>4180</v>
      </c>
      <c r="H4985" t="s">
        <v>4516</v>
      </c>
      <c r="I4985" s="28" t="s">
        <v>25</v>
      </c>
    </row>
    <row r="4986" spans="1:9" x14ac:dyDescent="0.3">
      <c r="A4986" s="26">
        <v>45349</v>
      </c>
      <c r="B4986" t="s">
        <v>1060</v>
      </c>
      <c r="C4986" t="s">
        <v>909</v>
      </c>
      <c r="D4986">
        <v>0.5</v>
      </c>
      <c r="E4986" t="s">
        <v>2604</v>
      </c>
      <c r="F4986" t="s">
        <v>772</v>
      </c>
      <c r="G4986" t="s">
        <v>4181</v>
      </c>
      <c r="H4986" t="s">
        <v>4516</v>
      </c>
      <c r="I4986" s="28" t="s">
        <v>25</v>
      </c>
    </row>
    <row r="4987" spans="1:9" x14ac:dyDescent="0.3">
      <c r="A4987" s="26">
        <v>45349</v>
      </c>
      <c r="B4987" t="s">
        <v>1060</v>
      </c>
      <c r="C4987" t="s">
        <v>909</v>
      </c>
      <c r="D4987">
        <v>6.25</v>
      </c>
      <c r="E4987" t="s">
        <v>2604</v>
      </c>
      <c r="F4987" t="s">
        <v>754</v>
      </c>
      <c r="G4987" t="s">
        <v>4182</v>
      </c>
      <c r="H4987" t="s">
        <v>4516</v>
      </c>
      <c r="I4987" s="28" t="s">
        <v>25</v>
      </c>
    </row>
    <row r="4988" spans="1:9" x14ac:dyDescent="0.3">
      <c r="A4988" s="26">
        <v>45349</v>
      </c>
      <c r="B4988" t="s">
        <v>1060</v>
      </c>
      <c r="C4988" t="s">
        <v>771</v>
      </c>
      <c r="D4988">
        <v>0.5</v>
      </c>
      <c r="E4988" t="s">
        <v>7</v>
      </c>
      <c r="F4988" t="s">
        <v>772</v>
      </c>
      <c r="G4988" t="s">
        <v>4183</v>
      </c>
      <c r="H4988" t="s">
        <v>4516</v>
      </c>
      <c r="I4988" s="28" t="s">
        <v>25</v>
      </c>
    </row>
    <row r="4989" spans="1:9" x14ac:dyDescent="0.3">
      <c r="A4989" s="26">
        <v>45349</v>
      </c>
      <c r="B4989" t="s">
        <v>2945</v>
      </c>
      <c r="C4989" t="s">
        <v>771</v>
      </c>
      <c r="D4989">
        <v>8.9499999999999993</v>
      </c>
      <c r="E4989" t="s">
        <v>7</v>
      </c>
      <c r="F4989" t="s">
        <v>772</v>
      </c>
      <c r="G4989" t="s">
        <v>4184</v>
      </c>
      <c r="H4989" t="s">
        <v>4516</v>
      </c>
      <c r="I4989" s="28" t="s">
        <v>25</v>
      </c>
    </row>
    <row r="4990" spans="1:9" x14ac:dyDescent="0.3">
      <c r="A4990" s="26">
        <v>45349</v>
      </c>
      <c r="B4990" t="s">
        <v>1074</v>
      </c>
      <c r="C4990" t="s">
        <v>753</v>
      </c>
      <c r="D4990">
        <v>0.6</v>
      </c>
      <c r="E4990" t="s">
        <v>964</v>
      </c>
      <c r="F4990" t="s">
        <v>754</v>
      </c>
      <c r="G4990" t="s">
        <v>4185</v>
      </c>
      <c r="H4990" t="s">
        <v>4516</v>
      </c>
      <c r="I4990" s="28" t="s">
        <v>25</v>
      </c>
    </row>
    <row r="4991" spans="1:9" x14ac:dyDescent="0.3">
      <c r="A4991" s="26">
        <v>45349</v>
      </c>
      <c r="B4991" t="s">
        <v>1074</v>
      </c>
      <c r="C4991" t="s">
        <v>753</v>
      </c>
      <c r="D4991">
        <v>1.5</v>
      </c>
      <c r="E4991" t="s">
        <v>964</v>
      </c>
      <c r="F4991" t="s">
        <v>754</v>
      </c>
      <c r="G4991" t="s">
        <v>3614</v>
      </c>
      <c r="H4991" t="s">
        <v>4516</v>
      </c>
      <c r="I4991" s="28" t="s">
        <v>25</v>
      </c>
    </row>
    <row r="4992" spans="1:9" x14ac:dyDescent="0.3">
      <c r="A4992" s="26">
        <v>45349</v>
      </c>
      <c r="B4992" t="s">
        <v>1074</v>
      </c>
      <c r="C4992" t="s">
        <v>909</v>
      </c>
      <c r="D4992">
        <v>0.7</v>
      </c>
      <c r="E4992" t="s">
        <v>964</v>
      </c>
      <c r="F4992" t="s">
        <v>754</v>
      </c>
      <c r="G4992" t="s">
        <v>4186</v>
      </c>
      <c r="H4992" t="s">
        <v>4516</v>
      </c>
      <c r="I4992" s="28" t="s">
        <v>25</v>
      </c>
    </row>
    <row r="4993" spans="1:9" x14ac:dyDescent="0.3">
      <c r="A4993" s="26">
        <v>45349</v>
      </c>
      <c r="B4993" t="s">
        <v>1074</v>
      </c>
      <c r="C4993" t="s">
        <v>789</v>
      </c>
      <c r="D4993">
        <v>2</v>
      </c>
      <c r="E4993" t="s">
        <v>964</v>
      </c>
      <c r="F4993" t="s">
        <v>754</v>
      </c>
      <c r="G4993" t="s">
        <v>4187</v>
      </c>
      <c r="H4993" t="s">
        <v>4516</v>
      </c>
      <c r="I4993" s="28" t="s">
        <v>25</v>
      </c>
    </row>
    <row r="4994" spans="1:9" x14ac:dyDescent="0.3">
      <c r="A4994" s="26">
        <v>45349</v>
      </c>
      <c r="B4994" t="s">
        <v>1074</v>
      </c>
      <c r="C4994" t="s">
        <v>835</v>
      </c>
      <c r="D4994">
        <v>2.5</v>
      </c>
      <c r="E4994" t="s">
        <v>964</v>
      </c>
      <c r="F4994" t="s">
        <v>754</v>
      </c>
      <c r="G4994" t="s">
        <v>4188</v>
      </c>
      <c r="H4994" t="s">
        <v>4516</v>
      </c>
      <c r="I4994" s="28" t="s">
        <v>25</v>
      </c>
    </row>
    <row r="4995" spans="1:9" x14ac:dyDescent="0.3">
      <c r="A4995" s="26">
        <v>45349</v>
      </c>
      <c r="B4995" t="s">
        <v>1074</v>
      </c>
      <c r="C4995" t="s">
        <v>776</v>
      </c>
      <c r="D4995">
        <v>0.8</v>
      </c>
      <c r="E4995" t="s">
        <v>964</v>
      </c>
      <c r="F4995" t="s">
        <v>754</v>
      </c>
      <c r="G4995" t="s">
        <v>4189</v>
      </c>
      <c r="H4995" t="s">
        <v>4516</v>
      </c>
      <c r="I4995" s="28" t="s">
        <v>25</v>
      </c>
    </row>
    <row r="4996" spans="1:9" x14ac:dyDescent="0.3">
      <c r="A4996" s="26">
        <v>45349</v>
      </c>
      <c r="B4996" t="s">
        <v>1081</v>
      </c>
      <c r="C4996" t="s">
        <v>942</v>
      </c>
      <c r="D4996">
        <v>8</v>
      </c>
      <c r="E4996" t="s">
        <v>7</v>
      </c>
      <c r="F4996" t="s">
        <v>772</v>
      </c>
      <c r="H4996" t="s">
        <v>4516</v>
      </c>
      <c r="I4996" s="28" t="s">
        <v>25</v>
      </c>
    </row>
    <row r="4997" spans="1:9" x14ac:dyDescent="0.3">
      <c r="A4997" s="26">
        <v>45350</v>
      </c>
      <c r="B4997" t="s">
        <v>752</v>
      </c>
      <c r="C4997" t="s">
        <v>753</v>
      </c>
      <c r="D4997">
        <v>0.05</v>
      </c>
      <c r="E4997" t="s">
        <v>664</v>
      </c>
      <c r="F4997" t="s">
        <v>754</v>
      </c>
      <c r="G4997" t="s">
        <v>755</v>
      </c>
      <c r="H4997" t="s">
        <v>4516</v>
      </c>
      <c r="I4997" s="28" t="s">
        <v>26</v>
      </c>
    </row>
    <row r="4998" spans="1:9" x14ac:dyDescent="0.3">
      <c r="A4998" s="26">
        <v>45350</v>
      </c>
      <c r="B4998" t="s">
        <v>752</v>
      </c>
      <c r="C4998" t="s">
        <v>753</v>
      </c>
      <c r="D4998">
        <v>7.0000000000000007E-2</v>
      </c>
      <c r="E4998" t="s">
        <v>1084</v>
      </c>
      <c r="F4998" t="s">
        <v>754</v>
      </c>
      <c r="G4998" t="s">
        <v>760</v>
      </c>
      <c r="H4998" t="s">
        <v>4516</v>
      </c>
      <c r="I4998" s="28" t="s">
        <v>26</v>
      </c>
    </row>
    <row r="4999" spans="1:9" x14ac:dyDescent="0.3">
      <c r="A4999" s="26">
        <v>45350</v>
      </c>
      <c r="B4999" t="s">
        <v>752</v>
      </c>
      <c r="C4999" t="s">
        <v>753</v>
      </c>
      <c r="D4999">
        <v>7.0000000000000007E-2</v>
      </c>
      <c r="E4999" t="s">
        <v>757</v>
      </c>
      <c r="F4999" t="s">
        <v>754</v>
      </c>
      <c r="G4999" t="s">
        <v>760</v>
      </c>
      <c r="H4999" t="s">
        <v>4516</v>
      </c>
      <c r="I4999" s="28" t="s">
        <v>26</v>
      </c>
    </row>
    <row r="5000" spans="1:9" x14ac:dyDescent="0.3">
      <c r="A5000" s="26">
        <v>45350</v>
      </c>
      <c r="B5000" t="s">
        <v>752</v>
      </c>
      <c r="C5000" t="s">
        <v>753</v>
      </c>
      <c r="D5000">
        <v>0.08</v>
      </c>
      <c r="E5000" t="s">
        <v>757</v>
      </c>
      <c r="F5000" t="s">
        <v>754</v>
      </c>
      <c r="G5000" t="s">
        <v>4190</v>
      </c>
      <c r="H5000" t="s">
        <v>4516</v>
      </c>
      <c r="I5000" s="28" t="s">
        <v>26</v>
      </c>
    </row>
    <row r="5001" spans="1:9" x14ac:dyDescent="0.3">
      <c r="A5001" s="26">
        <v>45350</v>
      </c>
      <c r="B5001" t="s">
        <v>752</v>
      </c>
      <c r="C5001" t="s">
        <v>753</v>
      </c>
      <c r="D5001">
        <v>0.17</v>
      </c>
      <c r="E5001" t="s">
        <v>757</v>
      </c>
      <c r="F5001" t="s">
        <v>754</v>
      </c>
      <c r="G5001" t="s">
        <v>758</v>
      </c>
      <c r="H5001" t="s">
        <v>4516</v>
      </c>
      <c r="I5001" s="28" t="s">
        <v>26</v>
      </c>
    </row>
    <row r="5002" spans="1:9" x14ac:dyDescent="0.3">
      <c r="A5002" s="26">
        <v>45350</v>
      </c>
      <c r="B5002" t="s">
        <v>752</v>
      </c>
      <c r="C5002" t="s">
        <v>753</v>
      </c>
      <c r="D5002">
        <v>0.18</v>
      </c>
      <c r="E5002" t="s">
        <v>664</v>
      </c>
      <c r="F5002" t="s">
        <v>754</v>
      </c>
      <c r="G5002" t="s">
        <v>760</v>
      </c>
      <c r="H5002" t="s">
        <v>4516</v>
      </c>
      <c r="I5002" s="28" t="s">
        <v>26</v>
      </c>
    </row>
    <row r="5003" spans="1:9" x14ac:dyDescent="0.3">
      <c r="A5003" s="26">
        <v>45350</v>
      </c>
      <c r="B5003" t="s">
        <v>752</v>
      </c>
      <c r="C5003" t="s">
        <v>753</v>
      </c>
      <c r="D5003">
        <v>0.22</v>
      </c>
      <c r="E5003" t="s">
        <v>1084</v>
      </c>
      <c r="F5003" t="s">
        <v>754</v>
      </c>
      <c r="G5003" t="s">
        <v>769</v>
      </c>
      <c r="H5003" t="s">
        <v>4516</v>
      </c>
      <c r="I5003" s="28" t="s">
        <v>26</v>
      </c>
    </row>
    <row r="5004" spans="1:9" x14ac:dyDescent="0.3">
      <c r="A5004" s="26">
        <v>45350</v>
      </c>
      <c r="B5004" t="s">
        <v>752</v>
      </c>
      <c r="C5004" t="s">
        <v>753</v>
      </c>
      <c r="D5004">
        <v>0.23</v>
      </c>
      <c r="E5004" t="s">
        <v>757</v>
      </c>
      <c r="F5004" t="s">
        <v>754</v>
      </c>
      <c r="G5004" t="s">
        <v>4191</v>
      </c>
      <c r="H5004" t="s">
        <v>4516</v>
      </c>
      <c r="I5004" s="28" t="s">
        <v>26</v>
      </c>
    </row>
    <row r="5005" spans="1:9" x14ac:dyDescent="0.3">
      <c r="A5005" s="26">
        <v>45350</v>
      </c>
      <c r="B5005" t="s">
        <v>752</v>
      </c>
      <c r="C5005" t="s">
        <v>753</v>
      </c>
      <c r="D5005">
        <v>0.23</v>
      </c>
      <c r="E5005" t="s">
        <v>664</v>
      </c>
      <c r="F5005" t="s">
        <v>754</v>
      </c>
      <c r="G5005" t="s">
        <v>1088</v>
      </c>
      <c r="H5005" t="s">
        <v>4516</v>
      </c>
      <c r="I5005" s="28" t="s">
        <v>26</v>
      </c>
    </row>
    <row r="5006" spans="1:9" x14ac:dyDescent="0.3">
      <c r="A5006" s="26">
        <v>45350</v>
      </c>
      <c r="B5006" t="s">
        <v>752</v>
      </c>
      <c r="C5006" t="s">
        <v>753</v>
      </c>
      <c r="D5006">
        <v>0.25</v>
      </c>
      <c r="E5006" t="s">
        <v>757</v>
      </c>
      <c r="F5006" t="s">
        <v>754</v>
      </c>
      <c r="G5006" t="s">
        <v>4192</v>
      </c>
      <c r="H5006" t="s">
        <v>4516</v>
      </c>
      <c r="I5006" s="28" t="s">
        <v>26</v>
      </c>
    </row>
    <row r="5007" spans="1:9" x14ac:dyDescent="0.3">
      <c r="A5007" s="26">
        <v>45350</v>
      </c>
      <c r="B5007" t="s">
        <v>752</v>
      </c>
      <c r="C5007" t="s">
        <v>753</v>
      </c>
      <c r="D5007">
        <v>0.27</v>
      </c>
      <c r="E5007" t="s">
        <v>553</v>
      </c>
      <c r="F5007" t="s">
        <v>754</v>
      </c>
      <c r="G5007" t="s">
        <v>765</v>
      </c>
      <c r="H5007" t="s">
        <v>4516</v>
      </c>
      <c r="I5007" s="28" t="s">
        <v>26</v>
      </c>
    </row>
    <row r="5008" spans="1:9" x14ac:dyDescent="0.3">
      <c r="A5008" s="26">
        <v>45350</v>
      </c>
      <c r="B5008" t="s">
        <v>752</v>
      </c>
      <c r="C5008" t="s">
        <v>753</v>
      </c>
      <c r="D5008">
        <v>0.38</v>
      </c>
      <c r="E5008" t="s">
        <v>602</v>
      </c>
      <c r="F5008" t="s">
        <v>754</v>
      </c>
      <c r="G5008" t="s">
        <v>766</v>
      </c>
      <c r="H5008" t="s">
        <v>4516</v>
      </c>
      <c r="I5008" s="28" t="s">
        <v>26</v>
      </c>
    </row>
    <row r="5009" spans="1:9" x14ac:dyDescent="0.3">
      <c r="A5009" s="26">
        <v>45350</v>
      </c>
      <c r="B5009" t="s">
        <v>752</v>
      </c>
      <c r="C5009" t="s">
        <v>753</v>
      </c>
      <c r="D5009">
        <v>0.47</v>
      </c>
      <c r="E5009" t="s">
        <v>757</v>
      </c>
      <c r="F5009" t="s">
        <v>754</v>
      </c>
      <c r="G5009" t="s">
        <v>4193</v>
      </c>
      <c r="H5009" t="s">
        <v>4516</v>
      </c>
      <c r="I5009" s="28" t="s">
        <v>26</v>
      </c>
    </row>
    <row r="5010" spans="1:9" x14ac:dyDescent="0.3">
      <c r="A5010" s="26">
        <v>45350</v>
      </c>
      <c r="B5010" t="s">
        <v>752</v>
      </c>
      <c r="C5010" t="s">
        <v>753</v>
      </c>
      <c r="D5010">
        <v>0.48</v>
      </c>
      <c r="E5010" t="s">
        <v>659</v>
      </c>
      <c r="F5010" t="s">
        <v>754</v>
      </c>
      <c r="G5010" t="s">
        <v>4194</v>
      </c>
      <c r="H5010" t="s">
        <v>4516</v>
      </c>
      <c r="I5010" s="28" t="s">
        <v>26</v>
      </c>
    </row>
    <row r="5011" spans="1:9" x14ac:dyDescent="0.3">
      <c r="A5011" s="26">
        <v>45350</v>
      </c>
      <c r="B5011" t="s">
        <v>752</v>
      </c>
      <c r="C5011" t="s">
        <v>753</v>
      </c>
      <c r="D5011">
        <v>0.65</v>
      </c>
      <c r="E5011" t="s">
        <v>757</v>
      </c>
      <c r="F5011" t="s">
        <v>754</v>
      </c>
      <c r="G5011" t="s">
        <v>1513</v>
      </c>
      <c r="H5011" t="s">
        <v>4516</v>
      </c>
      <c r="I5011" s="28" t="s">
        <v>26</v>
      </c>
    </row>
    <row r="5012" spans="1:9" x14ac:dyDescent="0.3">
      <c r="A5012" s="26">
        <v>45350</v>
      </c>
      <c r="B5012" t="s">
        <v>752</v>
      </c>
      <c r="C5012" t="s">
        <v>753</v>
      </c>
      <c r="D5012">
        <v>0.7</v>
      </c>
      <c r="E5012" t="s">
        <v>430</v>
      </c>
      <c r="F5012" t="s">
        <v>754</v>
      </c>
      <c r="G5012" t="s">
        <v>769</v>
      </c>
      <c r="H5012" t="s">
        <v>4516</v>
      </c>
      <c r="I5012" s="28" t="s">
        <v>26</v>
      </c>
    </row>
    <row r="5013" spans="1:9" x14ac:dyDescent="0.3">
      <c r="A5013" s="26">
        <v>45350</v>
      </c>
      <c r="B5013" t="s">
        <v>752</v>
      </c>
      <c r="C5013" t="s">
        <v>753</v>
      </c>
      <c r="D5013">
        <v>0.75</v>
      </c>
      <c r="E5013" t="s">
        <v>659</v>
      </c>
      <c r="F5013" t="s">
        <v>754</v>
      </c>
      <c r="G5013" t="s">
        <v>765</v>
      </c>
      <c r="H5013" t="s">
        <v>4516</v>
      </c>
      <c r="I5013" s="28" t="s">
        <v>26</v>
      </c>
    </row>
    <row r="5014" spans="1:9" x14ac:dyDescent="0.3">
      <c r="A5014" s="26">
        <v>45350</v>
      </c>
      <c r="B5014" t="s">
        <v>752</v>
      </c>
      <c r="C5014" t="s">
        <v>753</v>
      </c>
      <c r="D5014">
        <v>0.82</v>
      </c>
      <c r="E5014" t="s">
        <v>430</v>
      </c>
      <c r="F5014" t="s">
        <v>754</v>
      </c>
      <c r="G5014" t="s">
        <v>766</v>
      </c>
      <c r="H5014" t="s">
        <v>4516</v>
      </c>
      <c r="I5014" s="28" t="s">
        <v>26</v>
      </c>
    </row>
    <row r="5015" spans="1:9" x14ac:dyDescent="0.3">
      <c r="A5015" s="26">
        <v>45350</v>
      </c>
      <c r="B5015" t="s">
        <v>752</v>
      </c>
      <c r="C5015" t="s">
        <v>753</v>
      </c>
      <c r="D5015">
        <v>0.85</v>
      </c>
      <c r="E5015" t="s">
        <v>757</v>
      </c>
      <c r="F5015" t="s">
        <v>754</v>
      </c>
      <c r="G5015" t="s">
        <v>765</v>
      </c>
      <c r="H5015" t="s">
        <v>4516</v>
      </c>
      <c r="I5015" s="28" t="s">
        <v>26</v>
      </c>
    </row>
    <row r="5016" spans="1:9" x14ac:dyDescent="0.3">
      <c r="A5016" s="26">
        <v>45350</v>
      </c>
      <c r="B5016" t="s">
        <v>752</v>
      </c>
      <c r="C5016" t="s">
        <v>771</v>
      </c>
      <c r="D5016">
        <v>0.25</v>
      </c>
      <c r="E5016" t="s">
        <v>7</v>
      </c>
      <c r="F5016" t="s">
        <v>772</v>
      </c>
      <c r="G5016" t="s">
        <v>774</v>
      </c>
      <c r="H5016" t="s">
        <v>4516</v>
      </c>
      <c r="I5016" s="28" t="s">
        <v>26</v>
      </c>
    </row>
    <row r="5017" spans="1:9" x14ac:dyDescent="0.3">
      <c r="A5017" s="26">
        <v>45350</v>
      </c>
      <c r="B5017" t="s">
        <v>752</v>
      </c>
      <c r="C5017" t="s">
        <v>771</v>
      </c>
      <c r="D5017">
        <v>0.25</v>
      </c>
      <c r="E5017" t="s">
        <v>7</v>
      </c>
      <c r="F5017" t="s">
        <v>772</v>
      </c>
      <c r="G5017" t="s">
        <v>775</v>
      </c>
      <c r="H5017" t="s">
        <v>4516</v>
      </c>
      <c r="I5017" s="28" t="s">
        <v>26</v>
      </c>
    </row>
    <row r="5018" spans="1:9" x14ac:dyDescent="0.3">
      <c r="A5018" s="26">
        <v>45350</v>
      </c>
      <c r="B5018" t="s">
        <v>752</v>
      </c>
      <c r="C5018" t="s">
        <v>776</v>
      </c>
      <c r="D5018">
        <v>0.08</v>
      </c>
      <c r="E5018" t="s">
        <v>659</v>
      </c>
      <c r="F5018" t="s">
        <v>754</v>
      </c>
      <c r="G5018" t="s">
        <v>768</v>
      </c>
      <c r="H5018" t="s">
        <v>4516</v>
      </c>
      <c r="I5018" s="28" t="s">
        <v>26</v>
      </c>
    </row>
    <row r="5019" spans="1:9" x14ac:dyDescent="0.3">
      <c r="A5019" s="26">
        <v>45350</v>
      </c>
      <c r="B5019" t="s">
        <v>752</v>
      </c>
      <c r="C5019" t="s">
        <v>776</v>
      </c>
      <c r="D5019">
        <v>0.5</v>
      </c>
      <c r="E5019" t="s">
        <v>458</v>
      </c>
      <c r="F5019" t="s">
        <v>754</v>
      </c>
      <c r="H5019" t="s">
        <v>4516</v>
      </c>
      <c r="I5019" s="28" t="s">
        <v>26</v>
      </c>
    </row>
    <row r="5020" spans="1:9" x14ac:dyDescent="0.3">
      <c r="A5020" s="26">
        <v>45350</v>
      </c>
      <c r="B5020" t="s">
        <v>1093</v>
      </c>
      <c r="C5020" t="s">
        <v>1522</v>
      </c>
      <c r="D5020">
        <v>1.25</v>
      </c>
      <c r="E5020" t="s">
        <v>455</v>
      </c>
      <c r="F5020" t="s">
        <v>754</v>
      </c>
      <c r="G5020" t="s">
        <v>4195</v>
      </c>
      <c r="H5020" t="s">
        <v>4516</v>
      </c>
      <c r="I5020" s="28" t="s">
        <v>26</v>
      </c>
    </row>
    <row r="5021" spans="1:9" x14ac:dyDescent="0.3">
      <c r="A5021" s="26">
        <v>45350</v>
      </c>
      <c r="B5021" t="s">
        <v>1093</v>
      </c>
      <c r="C5021" t="s">
        <v>1309</v>
      </c>
      <c r="D5021">
        <v>0.5</v>
      </c>
      <c r="E5021" t="s">
        <v>455</v>
      </c>
      <c r="F5021" t="s">
        <v>754</v>
      </c>
      <c r="G5021" t="s">
        <v>4196</v>
      </c>
      <c r="H5021" t="s">
        <v>4516</v>
      </c>
      <c r="I5021" s="28" t="s">
        <v>26</v>
      </c>
    </row>
    <row r="5022" spans="1:9" x14ac:dyDescent="0.3">
      <c r="A5022" s="26">
        <v>45350</v>
      </c>
      <c r="B5022" t="s">
        <v>1093</v>
      </c>
      <c r="C5022" t="s">
        <v>1524</v>
      </c>
      <c r="D5022">
        <v>2.75</v>
      </c>
      <c r="E5022" t="s">
        <v>455</v>
      </c>
      <c r="F5022" t="s">
        <v>754</v>
      </c>
      <c r="G5022" t="s">
        <v>4197</v>
      </c>
      <c r="H5022" t="s">
        <v>4516</v>
      </c>
      <c r="I5022" s="28" t="s">
        <v>26</v>
      </c>
    </row>
    <row r="5023" spans="1:9" x14ac:dyDescent="0.3">
      <c r="A5023" s="26">
        <v>45350</v>
      </c>
      <c r="B5023" t="s">
        <v>1093</v>
      </c>
      <c r="C5023" t="s">
        <v>1094</v>
      </c>
      <c r="D5023">
        <v>0.25</v>
      </c>
      <c r="E5023" t="s">
        <v>455</v>
      </c>
      <c r="F5023" t="s">
        <v>754</v>
      </c>
      <c r="G5023" t="s">
        <v>4198</v>
      </c>
      <c r="H5023" t="s">
        <v>4516</v>
      </c>
      <c r="I5023" s="28" t="s">
        <v>26</v>
      </c>
    </row>
    <row r="5024" spans="1:9" x14ac:dyDescent="0.3">
      <c r="A5024" s="26">
        <v>45350</v>
      </c>
      <c r="B5024" t="s">
        <v>21</v>
      </c>
      <c r="C5024" t="s">
        <v>1163</v>
      </c>
      <c r="D5024">
        <v>8</v>
      </c>
      <c r="E5024" t="s">
        <v>7</v>
      </c>
      <c r="F5024" t="s">
        <v>772</v>
      </c>
      <c r="H5024" t="s">
        <v>4516</v>
      </c>
      <c r="I5024" s="28" t="s">
        <v>26</v>
      </c>
    </row>
    <row r="5025" spans="1:9" x14ac:dyDescent="0.3">
      <c r="A5025" s="26">
        <v>45350</v>
      </c>
      <c r="B5025" t="s">
        <v>21</v>
      </c>
      <c r="C5025" t="s">
        <v>753</v>
      </c>
      <c r="D5025">
        <v>0.57999999999999996</v>
      </c>
      <c r="E5025" t="s">
        <v>589</v>
      </c>
      <c r="F5025" t="s">
        <v>754</v>
      </c>
      <c r="H5025" t="s">
        <v>4516</v>
      </c>
      <c r="I5025" s="28" t="s">
        <v>26</v>
      </c>
    </row>
    <row r="5026" spans="1:9" x14ac:dyDescent="0.3">
      <c r="A5026" s="26">
        <v>45350</v>
      </c>
      <c r="B5026" t="s">
        <v>21</v>
      </c>
      <c r="C5026" t="s">
        <v>753</v>
      </c>
      <c r="D5026">
        <v>2.13</v>
      </c>
      <c r="E5026" t="s">
        <v>1096</v>
      </c>
      <c r="F5026" t="s">
        <v>754</v>
      </c>
      <c r="G5026" t="s">
        <v>4199</v>
      </c>
      <c r="H5026" t="s">
        <v>4516</v>
      </c>
      <c r="I5026" s="28" t="s">
        <v>26</v>
      </c>
    </row>
    <row r="5027" spans="1:9" x14ac:dyDescent="0.3">
      <c r="A5027" s="26">
        <v>45350</v>
      </c>
      <c r="B5027" t="s">
        <v>21</v>
      </c>
      <c r="C5027" t="s">
        <v>776</v>
      </c>
      <c r="D5027">
        <v>2.63</v>
      </c>
      <c r="E5027" t="s">
        <v>13</v>
      </c>
      <c r="F5027" t="s">
        <v>754</v>
      </c>
      <c r="H5027" t="s">
        <v>4516</v>
      </c>
      <c r="I5027" s="28" t="s">
        <v>26</v>
      </c>
    </row>
    <row r="5028" spans="1:9" x14ac:dyDescent="0.3">
      <c r="A5028" s="26">
        <v>45350</v>
      </c>
      <c r="B5028" t="s">
        <v>785</v>
      </c>
      <c r="C5028" t="s">
        <v>786</v>
      </c>
      <c r="D5028">
        <v>8</v>
      </c>
      <c r="E5028" t="s">
        <v>7</v>
      </c>
      <c r="F5028" t="s">
        <v>772</v>
      </c>
      <c r="G5028" t="s">
        <v>3917</v>
      </c>
      <c r="H5028" t="s">
        <v>4516</v>
      </c>
      <c r="I5028" s="28" t="s">
        <v>26</v>
      </c>
    </row>
    <row r="5029" spans="1:9" x14ac:dyDescent="0.3">
      <c r="A5029" s="26">
        <v>45350</v>
      </c>
      <c r="B5029" t="s">
        <v>788</v>
      </c>
      <c r="C5029" t="s">
        <v>786</v>
      </c>
      <c r="D5029">
        <v>8</v>
      </c>
      <c r="E5029" t="s">
        <v>7</v>
      </c>
      <c r="F5029" t="s">
        <v>772</v>
      </c>
      <c r="H5029" t="s">
        <v>4516</v>
      </c>
      <c r="I5029" s="28" t="s">
        <v>26</v>
      </c>
    </row>
    <row r="5030" spans="1:9" x14ac:dyDescent="0.3">
      <c r="A5030" s="26">
        <v>45350</v>
      </c>
      <c r="B5030" t="s">
        <v>792</v>
      </c>
      <c r="C5030" t="s">
        <v>753</v>
      </c>
      <c r="D5030">
        <v>0.4</v>
      </c>
      <c r="E5030" t="s">
        <v>790</v>
      </c>
      <c r="F5030" t="s">
        <v>754</v>
      </c>
      <c r="G5030" t="s">
        <v>3462</v>
      </c>
      <c r="H5030" t="s">
        <v>4516</v>
      </c>
      <c r="I5030" s="28" t="s">
        <v>26</v>
      </c>
    </row>
    <row r="5031" spans="1:9" x14ac:dyDescent="0.3">
      <c r="A5031" s="26">
        <v>45350</v>
      </c>
      <c r="B5031" t="s">
        <v>792</v>
      </c>
      <c r="C5031" t="s">
        <v>753</v>
      </c>
      <c r="D5031">
        <v>0.5</v>
      </c>
      <c r="E5031" t="s">
        <v>790</v>
      </c>
      <c r="F5031" t="s">
        <v>754</v>
      </c>
      <c r="G5031" t="s">
        <v>1539</v>
      </c>
      <c r="H5031" t="s">
        <v>4516</v>
      </c>
      <c r="I5031" s="28" t="s">
        <v>26</v>
      </c>
    </row>
    <row r="5032" spans="1:9" x14ac:dyDescent="0.3">
      <c r="A5032" s="26">
        <v>45350</v>
      </c>
      <c r="B5032" t="s">
        <v>792</v>
      </c>
      <c r="C5032" t="s">
        <v>753</v>
      </c>
      <c r="D5032">
        <v>1.88</v>
      </c>
      <c r="E5032" t="s">
        <v>790</v>
      </c>
      <c r="F5032" t="s">
        <v>754</v>
      </c>
      <c r="G5032" t="s">
        <v>793</v>
      </c>
      <c r="H5032" t="s">
        <v>4516</v>
      </c>
      <c r="I5032" s="28" t="s">
        <v>26</v>
      </c>
    </row>
    <row r="5033" spans="1:9" x14ac:dyDescent="0.3">
      <c r="A5033" s="26">
        <v>45350</v>
      </c>
      <c r="B5033" t="s">
        <v>792</v>
      </c>
      <c r="C5033" t="s">
        <v>753</v>
      </c>
      <c r="D5033">
        <v>6.23</v>
      </c>
      <c r="E5033" t="s">
        <v>790</v>
      </c>
      <c r="F5033" t="s">
        <v>754</v>
      </c>
      <c r="G5033" t="s">
        <v>4200</v>
      </c>
      <c r="H5033" t="s">
        <v>4516</v>
      </c>
      <c r="I5033" s="28" t="s">
        <v>26</v>
      </c>
    </row>
    <row r="5034" spans="1:9" x14ac:dyDescent="0.3">
      <c r="A5034" s="26">
        <v>45350</v>
      </c>
      <c r="B5034" t="s">
        <v>801</v>
      </c>
      <c r="C5034" t="s">
        <v>802</v>
      </c>
      <c r="D5034">
        <v>9.8699999999999992</v>
      </c>
      <c r="E5034" t="s">
        <v>7</v>
      </c>
      <c r="F5034" t="s">
        <v>772</v>
      </c>
      <c r="H5034" t="s">
        <v>4516</v>
      </c>
      <c r="I5034" s="28" t="s">
        <v>26</v>
      </c>
    </row>
    <row r="5035" spans="1:9" x14ac:dyDescent="0.3">
      <c r="A5035" s="26">
        <v>45350</v>
      </c>
      <c r="B5035" t="s">
        <v>803</v>
      </c>
      <c r="C5035" t="s">
        <v>804</v>
      </c>
      <c r="D5035">
        <v>0.02</v>
      </c>
      <c r="E5035" t="s">
        <v>4201</v>
      </c>
      <c r="F5035" t="s">
        <v>772</v>
      </c>
      <c r="H5035" t="s">
        <v>4516</v>
      </c>
      <c r="I5035" s="28" t="s">
        <v>26</v>
      </c>
    </row>
    <row r="5036" spans="1:9" x14ac:dyDescent="0.3">
      <c r="A5036" s="26">
        <v>45350</v>
      </c>
      <c r="B5036" t="s">
        <v>803</v>
      </c>
      <c r="C5036" t="s">
        <v>804</v>
      </c>
      <c r="D5036">
        <v>0.02</v>
      </c>
      <c r="E5036" t="s">
        <v>4202</v>
      </c>
      <c r="F5036" t="s">
        <v>772</v>
      </c>
      <c r="H5036" t="s">
        <v>4516</v>
      </c>
      <c r="I5036" s="28" t="s">
        <v>26</v>
      </c>
    </row>
    <row r="5037" spans="1:9" x14ac:dyDescent="0.3">
      <c r="A5037" s="26">
        <v>45350</v>
      </c>
      <c r="B5037" t="s">
        <v>806</v>
      </c>
      <c r="C5037" t="s">
        <v>802</v>
      </c>
      <c r="D5037">
        <v>6</v>
      </c>
      <c r="E5037" t="s">
        <v>7</v>
      </c>
      <c r="F5037" t="s">
        <v>772</v>
      </c>
      <c r="G5037" t="s">
        <v>4203</v>
      </c>
      <c r="H5037" t="s">
        <v>4516</v>
      </c>
      <c r="I5037" s="28" t="s">
        <v>26</v>
      </c>
    </row>
    <row r="5038" spans="1:9" x14ac:dyDescent="0.3">
      <c r="A5038" s="26">
        <v>45350</v>
      </c>
      <c r="B5038" t="s">
        <v>808</v>
      </c>
      <c r="C5038" t="s">
        <v>802</v>
      </c>
      <c r="D5038">
        <v>9.2200000000000006</v>
      </c>
      <c r="E5038" t="s">
        <v>7</v>
      </c>
      <c r="F5038" t="s">
        <v>772</v>
      </c>
      <c r="G5038" t="s">
        <v>3922</v>
      </c>
      <c r="H5038" t="s">
        <v>4516</v>
      </c>
      <c r="I5038" s="28" t="s">
        <v>26</v>
      </c>
    </row>
    <row r="5039" spans="1:9" x14ac:dyDescent="0.3">
      <c r="A5039" s="26">
        <v>45350</v>
      </c>
      <c r="B5039" t="s">
        <v>810</v>
      </c>
      <c r="C5039" t="s">
        <v>753</v>
      </c>
      <c r="D5039">
        <v>0.33</v>
      </c>
      <c r="E5039" t="s">
        <v>628</v>
      </c>
      <c r="F5039" t="s">
        <v>772</v>
      </c>
      <c r="G5039" t="s">
        <v>4204</v>
      </c>
      <c r="H5039" t="s">
        <v>4516</v>
      </c>
      <c r="I5039" s="28" t="s">
        <v>26</v>
      </c>
    </row>
    <row r="5040" spans="1:9" x14ac:dyDescent="0.3">
      <c r="A5040" s="26">
        <v>45350</v>
      </c>
      <c r="B5040" t="s">
        <v>810</v>
      </c>
      <c r="C5040" t="s">
        <v>753</v>
      </c>
      <c r="D5040">
        <v>0.5</v>
      </c>
      <c r="E5040" t="s">
        <v>516</v>
      </c>
      <c r="F5040" t="s">
        <v>754</v>
      </c>
      <c r="G5040" t="s">
        <v>1337</v>
      </c>
      <c r="H5040" t="s">
        <v>4516</v>
      </c>
      <c r="I5040" s="28" t="s">
        <v>26</v>
      </c>
    </row>
    <row r="5041" spans="1:9" x14ac:dyDescent="0.3">
      <c r="A5041" s="26">
        <v>45350</v>
      </c>
      <c r="B5041" t="s">
        <v>810</v>
      </c>
      <c r="C5041" t="s">
        <v>753</v>
      </c>
      <c r="D5041">
        <v>0.57999999999999996</v>
      </c>
      <c r="E5041" t="s">
        <v>811</v>
      </c>
      <c r="F5041" t="s">
        <v>754</v>
      </c>
      <c r="G5041" t="s">
        <v>4076</v>
      </c>
      <c r="H5041" t="s">
        <v>4516</v>
      </c>
      <c r="I5041" s="28" t="s">
        <v>26</v>
      </c>
    </row>
    <row r="5042" spans="1:9" x14ac:dyDescent="0.3">
      <c r="A5042" s="26">
        <v>45350</v>
      </c>
      <c r="B5042" t="s">
        <v>810</v>
      </c>
      <c r="C5042" t="s">
        <v>753</v>
      </c>
      <c r="D5042">
        <v>0.92</v>
      </c>
      <c r="E5042" t="s">
        <v>814</v>
      </c>
      <c r="F5042" t="s">
        <v>772</v>
      </c>
      <c r="G5042" t="s">
        <v>4205</v>
      </c>
      <c r="H5042" t="s">
        <v>4516</v>
      </c>
      <c r="I5042" s="28" t="s">
        <v>26</v>
      </c>
    </row>
    <row r="5043" spans="1:9" x14ac:dyDescent="0.3">
      <c r="A5043" s="26">
        <v>45350</v>
      </c>
      <c r="B5043" t="s">
        <v>810</v>
      </c>
      <c r="C5043" t="s">
        <v>753</v>
      </c>
      <c r="D5043">
        <v>0.92</v>
      </c>
      <c r="E5043" t="s">
        <v>898</v>
      </c>
      <c r="F5043" t="s">
        <v>754</v>
      </c>
      <c r="G5043" t="s">
        <v>1550</v>
      </c>
      <c r="H5043" t="s">
        <v>4516</v>
      </c>
      <c r="I5043" s="28" t="s">
        <v>26</v>
      </c>
    </row>
    <row r="5044" spans="1:9" x14ac:dyDescent="0.3">
      <c r="A5044" s="26">
        <v>45350</v>
      </c>
      <c r="B5044" t="s">
        <v>810</v>
      </c>
      <c r="C5044" t="s">
        <v>753</v>
      </c>
      <c r="D5044">
        <v>4.25</v>
      </c>
      <c r="E5044" t="s">
        <v>814</v>
      </c>
      <c r="F5044" t="s">
        <v>754</v>
      </c>
      <c r="G5044" t="s">
        <v>4206</v>
      </c>
      <c r="H5044" t="s">
        <v>4516</v>
      </c>
      <c r="I5044" s="28" t="s">
        <v>26</v>
      </c>
    </row>
    <row r="5045" spans="1:9" x14ac:dyDescent="0.3">
      <c r="A5045" s="26">
        <v>45350</v>
      </c>
      <c r="B5045" t="s">
        <v>810</v>
      </c>
      <c r="C5045" t="s">
        <v>771</v>
      </c>
      <c r="D5045">
        <v>0.5</v>
      </c>
      <c r="E5045" t="s">
        <v>7</v>
      </c>
      <c r="F5045" t="s">
        <v>772</v>
      </c>
      <c r="G5045" t="s">
        <v>781</v>
      </c>
      <c r="H5045" t="s">
        <v>4516</v>
      </c>
      <c r="I5045" s="28" t="s">
        <v>26</v>
      </c>
    </row>
    <row r="5046" spans="1:9" x14ac:dyDescent="0.3">
      <c r="A5046" s="26">
        <v>45350</v>
      </c>
      <c r="B5046" t="s">
        <v>825</v>
      </c>
      <c r="C5046" t="s">
        <v>1975</v>
      </c>
      <c r="D5046">
        <v>1</v>
      </c>
      <c r="E5046" t="s">
        <v>250</v>
      </c>
      <c r="F5046" t="s">
        <v>754</v>
      </c>
      <c r="G5046" t="s">
        <v>4207</v>
      </c>
      <c r="H5046" t="s">
        <v>4516</v>
      </c>
      <c r="I5046" s="28" t="s">
        <v>26</v>
      </c>
    </row>
    <row r="5047" spans="1:9" x14ac:dyDescent="0.3">
      <c r="A5047" s="26">
        <v>45350</v>
      </c>
      <c r="B5047" t="s">
        <v>829</v>
      </c>
      <c r="C5047" t="s">
        <v>753</v>
      </c>
      <c r="D5047">
        <v>0.18</v>
      </c>
      <c r="E5047" t="s">
        <v>857</v>
      </c>
      <c r="F5047" t="s">
        <v>754</v>
      </c>
      <c r="G5047" t="s">
        <v>2441</v>
      </c>
      <c r="H5047" t="s">
        <v>4516</v>
      </c>
      <c r="I5047" s="28" t="s">
        <v>26</v>
      </c>
    </row>
    <row r="5048" spans="1:9" x14ac:dyDescent="0.3">
      <c r="A5048" s="26">
        <v>45350</v>
      </c>
      <c r="B5048" t="s">
        <v>829</v>
      </c>
      <c r="C5048" t="s">
        <v>753</v>
      </c>
      <c r="D5048">
        <v>0.47</v>
      </c>
      <c r="E5048" t="s">
        <v>628</v>
      </c>
      <c r="F5048" t="s">
        <v>754</v>
      </c>
      <c r="G5048" t="s">
        <v>4208</v>
      </c>
      <c r="H5048" t="s">
        <v>4516</v>
      </c>
      <c r="I5048" s="28" t="s">
        <v>26</v>
      </c>
    </row>
    <row r="5049" spans="1:9" x14ac:dyDescent="0.3">
      <c r="A5049" s="26">
        <v>45350</v>
      </c>
      <c r="B5049" t="s">
        <v>829</v>
      </c>
      <c r="C5049" t="s">
        <v>771</v>
      </c>
      <c r="D5049">
        <v>0.15</v>
      </c>
      <c r="E5049" t="s">
        <v>7</v>
      </c>
      <c r="F5049" t="s">
        <v>772</v>
      </c>
      <c r="G5049" t="s">
        <v>4209</v>
      </c>
      <c r="H5049" t="s">
        <v>4516</v>
      </c>
      <c r="I5049" s="28" t="s">
        <v>26</v>
      </c>
    </row>
    <row r="5050" spans="1:9" x14ac:dyDescent="0.3">
      <c r="A5050" s="26">
        <v>45350</v>
      </c>
      <c r="B5050" t="s">
        <v>829</v>
      </c>
      <c r="C5050" t="s">
        <v>771</v>
      </c>
      <c r="D5050">
        <v>0.35</v>
      </c>
      <c r="E5050" t="s">
        <v>7</v>
      </c>
      <c r="F5050" t="s">
        <v>772</v>
      </c>
      <c r="G5050" t="s">
        <v>4210</v>
      </c>
      <c r="H5050" t="s">
        <v>4516</v>
      </c>
      <c r="I5050" s="28" t="s">
        <v>26</v>
      </c>
    </row>
    <row r="5051" spans="1:9" x14ac:dyDescent="0.3">
      <c r="A5051" s="26">
        <v>45350</v>
      </c>
      <c r="B5051" t="s">
        <v>829</v>
      </c>
      <c r="C5051" t="s">
        <v>771</v>
      </c>
      <c r="D5051">
        <v>0.5</v>
      </c>
      <c r="E5051" t="s">
        <v>7</v>
      </c>
      <c r="F5051" t="s">
        <v>772</v>
      </c>
      <c r="G5051" t="s">
        <v>781</v>
      </c>
      <c r="H5051" t="s">
        <v>4516</v>
      </c>
      <c r="I5051" s="28" t="s">
        <v>26</v>
      </c>
    </row>
    <row r="5052" spans="1:9" x14ac:dyDescent="0.3">
      <c r="A5052" s="26">
        <v>45350</v>
      </c>
      <c r="B5052" t="s">
        <v>829</v>
      </c>
      <c r="C5052" t="s">
        <v>771</v>
      </c>
      <c r="D5052">
        <v>0.53</v>
      </c>
      <c r="E5052" t="s">
        <v>7</v>
      </c>
      <c r="F5052" t="s">
        <v>772</v>
      </c>
      <c r="G5052" t="s">
        <v>4211</v>
      </c>
      <c r="H5052" t="s">
        <v>4516</v>
      </c>
      <c r="I5052" s="28" t="s">
        <v>26</v>
      </c>
    </row>
    <row r="5053" spans="1:9" x14ac:dyDescent="0.3">
      <c r="A5053" s="26">
        <v>45350</v>
      </c>
      <c r="B5053" t="s">
        <v>829</v>
      </c>
      <c r="C5053" t="s">
        <v>942</v>
      </c>
      <c r="D5053">
        <v>1.25</v>
      </c>
      <c r="E5053" t="s">
        <v>7</v>
      </c>
      <c r="F5053" t="s">
        <v>772</v>
      </c>
      <c r="G5053" t="s">
        <v>4212</v>
      </c>
      <c r="H5053" t="s">
        <v>4516</v>
      </c>
      <c r="I5053" s="28" t="s">
        <v>26</v>
      </c>
    </row>
    <row r="5054" spans="1:9" x14ac:dyDescent="0.3">
      <c r="A5054" s="26">
        <v>45350</v>
      </c>
      <c r="B5054" t="s">
        <v>829</v>
      </c>
      <c r="C5054" t="s">
        <v>835</v>
      </c>
      <c r="D5054">
        <v>0.93</v>
      </c>
      <c r="E5054" t="s">
        <v>375</v>
      </c>
      <c r="F5054" t="s">
        <v>754</v>
      </c>
      <c r="G5054" t="s">
        <v>4213</v>
      </c>
      <c r="H5054" t="s">
        <v>4516</v>
      </c>
      <c r="I5054" s="28" t="s">
        <v>26</v>
      </c>
    </row>
    <row r="5055" spans="1:9" x14ac:dyDescent="0.3">
      <c r="A5055" s="26">
        <v>45350</v>
      </c>
      <c r="B5055" t="s">
        <v>829</v>
      </c>
      <c r="C5055" t="s">
        <v>776</v>
      </c>
      <c r="D5055">
        <v>0.1</v>
      </c>
      <c r="E5055" t="s">
        <v>375</v>
      </c>
      <c r="F5055" t="s">
        <v>754</v>
      </c>
      <c r="G5055" t="s">
        <v>4214</v>
      </c>
      <c r="H5055" t="s">
        <v>4516</v>
      </c>
      <c r="I5055" s="28" t="s">
        <v>26</v>
      </c>
    </row>
    <row r="5056" spans="1:9" x14ac:dyDescent="0.3">
      <c r="A5056" s="26">
        <v>45350</v>
      </c>
      <c r="B5056" t="s">
        <v>829</v>
      </c>
      <c r="C5056" t="s">
        <v>776</v>
      </c>
      <c r="D5056">
        <v>0.17</v>
      </c>
      <c r="E5056" t="s">
        <v>375</v>
      </c>
      <c r="F5056" t="s">
        <v>772</v>
      </c>
      <c r="G5056" t="s">
        <v>4215</v>
      </c>
      <c r="H5056" t="s">
        <v>4516</v>
      </c>
      <c r="I5056" s="28" t="s">
        <v>26</v>
      </c>
    </row>
    <row r="5057" spans="1:9" x14ac:dyDescent="0.3">
      <c r="A5057" s="26">
        <v>45350</v>
      </c>
      <c r="B5057" t="s">
        <v>829</v>
      </c>
      <c r="C5057" t="s">
        <v>776</v>
      </c>
      <c r="D5057">
        <v>0.2</v>
      </c>
      <c r="E5057" t="s">
        <v>259</v>
      </c>
      <c r="F5057" t="s">
        <v>772</v>
      </c>
      <c r="G5057" t="s">
        <v>4216</v>
      </c>
      <c r="H5057" t="s">
        <v>4516</v>
      </c>
      <c r="I5057" s="28" t="s">
        <v>26</v>
      </c>
    </row>
    <row r="5058" spans="1:9" x14ac:dyDescent="0.3">
      <c r="A5058" s="26">
        <v>45350</v>
      </c>
      <c r="B5058" t="s">
        <v>829</v>
      </c>
      <c r="C5058" t="s">
        <v>776</v>
      </c>
      <c r="D5058">
        <v>0.27</v>
      </c>
      <c r="E5058" t="s">
        <v>458</v>
      </c>
      <c r="F5058" t="s">
        <v>772</v>
      </c>
      <c r="G5058" t="s">
        <v>4217</v>
      </c>
      <c r="H5058" t="s">
        <v>4516</v>
      </c>
      <c r="I5058" s="28" t="s">
        <v>26</v>
      </c>
    </row>
    <row r="5059" spans="1:9" x14ac:dyDescent="0.3">
      <c r="A5059" s="26">
        <v>45350</v>
      </c>
      <c r="B5059" t="s">
        <v>829</v>
      </c>
      <c r="C5059" t="s">
        <v>776</v>
      </c>
      <c r="D5059">
        <v>0.45</v>
      </c>
      <c r="E5059" t="s">
        <v>375</v>
      </c>
      <c r="F5059" t="s">
        <v>754</v>
      </c>
      <c r="G5059" t="s">
        <v>4218</v>
      </c>
      <c r="H5059" t="s">
        <v>4516</v>
      </c>
      <c r="I5059" s="28" t="s">
        <v>26</v>
      </c>
    </row>
    <row r="5060" spans="1:9" x14ac:dyDescent="0.3">
      <c r="A5060" s="26">
        <v>45350</v>
      </c>
      <c r="B5060" t="s">
        <v>829</v>
      </c>
      <c r="C5060" t="s">
        <v>776</v>
      </c>
      <c r="D5060">
        <v>1.22</v>
      </c>
      <c r="E5060" t="s">
        <v>375</v>
      </c>
      <c r="F5060" t="s">
        <v>754</v>
      </c>
      <c r="G5060" t="s">
        <v>4219</v>
      </c>
      <c r="H5060" t="s">
        <v>4516</v>
      </c>
      <c r="I5060" s="28" t="s">
        <v>26</v>
      </c>
    </row>
    <row r="5061" spans="1:9" x14ac:dyDescent="0.3">
      <c r="A5061" s="26">
        <v>45350</v>
      </c>
      <c r="B5061" t="s">
        <v>829</v>
      </c>
      <c r="C5061" t="s">
        <v>776</v>
      </c>
      <c r="D5061">
        <v>1.23</v>
      </c>
      <c r="E5061" t="s">
        <v>790</v>
      </c>
      <c r="F5061" t="s">
        <v>754</v>
      </c>
      <c r="H5061" t="s">
        <v>4516</v>
      </c>
      <c r="I5061" s="28" t="s">
        <v>26</v>
      </c>
    </row>
    <row r="5062" spans="1:9" x14ac:dyDescent="0.3">
      <c r="A5062" s="26">
        <v>45350</v>
      </c>
      <c r="B5062" t="s">
        <v>840</v>
      </c>
      <c r="C5062" t="s">
        <v>753</v>
      </c>
      <c r="D5062">
        <v>0.33</v>
      </c>
      <c r="E5062" t="s">
        <v>790</v>
      </c>
      <c r="F5062" t="s">
        <v>754</v>
      </c>
      <c r="G5062" t="e">
        <f>- Received raw invoices.</f>
        <v>#NAME?</v>
      </c>
      <c r="H5062" t="s">
        <v>4516</v>
      </c>
      <c r="I5062" s="28" t="s">
        <v>26</v>
      </c>
    </row>
    <row r="5063" spans="1:9" x14ac:dyDescent="0.3">
      <c r="A5063" s="26">
        <v>45350</v>
      </c>
      <c r="B5063" t="s">
        <v>840</v>
      </c>
      <c r="C5063" t="s">
        <v>771</v>
      </c>
      <c r="D5063">
        <v>6.58</v>
      </c>
      <c r="E5063" t="s">
        <v>7</v>
      </c>
      <c r="F5063" t="s">
        <v>772</v>
      </c>
      <c r="G5063" t="e">
        <f>- Meeting with Ali. - call to ATO for Fintech refund cheque. - ASIC  - ATO</f>
        <v>#NAME?</v>
      </c>
      <c r="H5063" t="s">
        <v>4516</v>
      </c>
      <c r="I5063" s="28" t="s">
        <v>26</v>
      </c>
    </row>
    <row r="5064" spans="1:9" x14ac:dyDescent="0.3">
      <c r="A5064" s="26">
        <v>45350</v>
      </c>
      <c r="B5064" t="s">
        <v>840</v>
      </c>
      <c r="C5064" t="s">
        <v>919</v>
      </c>
      <c r="D5064">
        <v>3</v>
      </c>
      <c r="E5064" t="s">
        <v>1631</v>
      </c>
      <c r="F5064" t="s">
        <v>754</v>
      </c>
      <c r="G5064" t="s">
        <v>4220</v>
      </c>
      <c r="H5064" t="s">
        <v>4516</v>
      </c>
      <c r="I5064" s="28" t="s">
        <v>26</v>
      </c>
    </row>
    <row r="5065" spans="1:9" x14ac:dyDescent="0.3">
      <c r="A5065" s="26">
        <v>45350</v>
      </c>
      <c r="B5065" t="s">
        <v>843</v>
      </c>
      <c r="C5065" t="s">
        <v>753</v>
      </c>
      <c r="D5065">
        <v>0.33</v>
      </c>
      <c r="E5065" t="s">
        <v>234</v>
      </c>
      <c r="F5065" t="s">
        <v>754</v>
      </c>
      <c r="G5065" t="s">
        <v>4221</v>
      </c>
      <c r="H5065" t="s">
        <v>4516</v>
      </c>
      <c r="I5065" s="28" t="s">
        <v>26</v>
      </c>
    </row>
    <row r="5066" spans="1:9" x14ac:dyDescent="0.3">
      <c r="A5066" s="26">
        <v>45350</v>
      </c>
      <c r="B5066" t="s">
        <v>843</v>
      </c>
      <c r="C5066" t="s">
        <v>753</v>
      </c>
      <c r="D5066">
        <v>0.38</v>
      </c>
      <c r="E5066" t="s">
        <v>170</v>
      </c>
      <c r="F5066" t="s">
        <v>754</v>
      </c>
      <c r="G5066" t="s">
        <v>4222</v>
      </c>
      <c r="H5066" t="s">
        <v>4516</v>
      </c>
      <c r="I5066" s="28" t="s">
        <v>26</v>
      </c>
    </row>
    <row r="5067" spans="1:9" x14ac:dyDescent="0.3">
      <c r="A5067" s="26">
        <v>45350</v>
      </c>
      <c r="B5067" t="s">
        <v>843</v>
      </c>
      <c r="C5067" t="s">
        <v>753</v>
      </c>
      <c r="D5067">
        <v>0.93</v>
      </c>
      <c r="E5067" t="s">
        <v>845</v>
      </c>
      <c r="F5067" t="s">
        <v>754</v>
      </c>
      <c r="G5067" t="s">
        <v>4223</v>
      </c>
      <c r="H5067" t="s">
        <v>4516</v>
      </c>
      <c r="I5067" s="28" t="s">
        <v>26</v>
      </c>
    </row>
    <row r="5068" spans="1:9" x14ac:dyDescent="0.3">
      <c r="A5068" s="26">
        <v>45350</v>
      </c>
      <c r="B5068" t="s">
        <v>843</v>
      </c>
      <c r="C5068" t="s">
        <v>753</v>
      </c>
      <c r="D5068">
        <v>1.2</v>
      </c>
      <c r="E5068" t="s">
        <v>845</v>
      </c>
      <c r="F5068" t="s">
        <v>754</v>
      </c>
      <c r="G5068" t="s">
        <v>4224</v>
      </c>
      <c r="H5068" t="s">
        <v>4516</v>
      </c>
      <c r="I5068" s="28" t="s">
        <v>26</v>
      </c>
    </row>
    <row r="5069" spans="1:9" x14ac:dyDescent="0.3">
      <c r="A5069" s="26">
        <v>45350</v>
      </c>
      <c r="B5069" t="s">
        <v>843</v>
      </c>
      <c r="C5069" t="s">
        <v>753</v>
      </c>
      <c r="D5069">
        <v>1.28</v>
      </c>
      <c r="E5069" t="s">
        <v>845</v>
      </c>
      <c r="F5069" t="s">
        <v>754</v>
      </c>
      <c r="G5069" t="s">
        <v>4225</v>
      </c>
      <c r="H5069" t="s">
        <v>4516</v>
      </c>
      <c r="I5069" s="28" t="s">
        <v>26</v>
      </c>
    </row>
    <row r="5070" spans="1:9" x14ac:dyDescent="0.3">
      <c r="A5070" s="26">
        <v>45350</v>
      </c>
      <c r="B5070" t="s">
        <v>843</v>
      </c>
      <c r="C5070" t="s">
        <v>753</v>
      </c>
      <c r="D5070">
        <v>1.78</v>
      </c>
      <c r="E5070" t="s">
        <v>234</v>
      </c>
      <c r="F5070" t="s">
        <v>754</v>
      </c>
      <c r="G5070" t="s">
        <v>4226</v>
      </c>
      <c r="H5070" t="s">
        <v>4516</v>
      </c>
      <c r="I5070" s="28" t="s">
        <v>26</v>
      </c>
    </row>
    <row r="5071" spans="1:9" x14ac:dyDescent="0.3">
      <c r="A5071" s="26">
        <v>45350</v>
      </c>
      <c r="B5071" t="s">
        <v>843</v>
      </c>
      <c r="C5071" t="s">
        <v>853</v>
      </c>
      <c r="D5071">
        <v>0.73</v>
      </c>
      <c r="E5071" t="s">
        <v>259</v>
      </c>
      <c r="F5071" t="s">
        <v>754</v>
      </c>
      <c r="G5071" t="s">
        <v>4091</v>
      </c>
      <c r="H5071" t="s">
        <v>4516</v>
      </c>
      <c r="I5071" s="28" t="s">
        <v>26</v>
      </c>
    </row>
    <row r="5072" spans="1:9" x14ac:dyDescent="0.3">
      <c r="A5072" s="26">
        <v>45350</v>
      </c>
      <c r="B5072" t="s">
        <v>843</v>
      </c>
      <c r="C5072" t="s">
        <v>1359</v>
      </c>
      <c r="D5072">
        <v>0.48</v>
      </c>
      <c r="E5072" t="s">
        <v>259</v>
      </c>
      <c r="F5072" t="s">
        <v>754</v>
      </c>
      <c r="G5072" t="s">
        <v>2813</v>
      </c>
      <c r="H5072" t="s">
        <v>4516</v>
      </c>
      <c r="I5072" s="28" t="s">
        <v>26</v>
      </c>
    </row>
    <row r="5073" spans="1:9" x14ac:dyDescent="0.3">
      <c r="A5073" s="26">
        <v>45350</v>
      </c>
      <c r="B5073" t="s">
        <v>843</v>
      </c>
      <c r="C5073" t="s">
        <v>771</v>
      </c>
      <c r="D5073">
        <v>0.5</v>
      </c>
      <c r="E5073" t="s">
        <v>7</v>
      </c>
      <c r="F5073" t="s">
        <v>772</v>
      </c>
      <c r="G5073" t="s">
        <v>781</v>
      </c>
      <c r="H5073" t="s">
        <v>4516</v>
      </c>
      <c r="I5073" s="28" t="s">
        <v>26</v>
      </c>
    </row>
    <row r="5074" spans="1:9" x14ac:dyDescent="0.3">
      <c r="A5074" s="26">
        <v>45350</v>
      </c>
      <c r="B5074" t="s">
        <v>843</v>
      </c>
      <c r="C5074" t="s">
        <v>874</v>
      </c>
      <c r="D5074">
        <v>0.37</v>
      </c>
      <c r="E5074" t="s">
        <v>7</v>
      </c>
      <c r="F5074" t="s">
        <v>772</v>
      </c>
      <c r="G5074" t="s">
        <v>4227</v>
      </c>
      <c r="H5074" t="s">
        <v>4516</v>
      </c>
      <c r="I5074" s="28" t="s">
        <v>26</v>
      </c>
    </row>
    <row r="5075" spans="1:9" x14ac:dyDescent="0.3">
      <c r="A5075" s="26">
        <v>45350</v>
      </c>
      <c r="B5075" t="s">
        <v>856</v>
      </c>
      <c r="C5075" t="s">
        <v>753</v>
      </c>
      <c r="D5075">
        <v>0.2</v>
      </c>
      <c r="E5075" t="s">
        <v>173</v>
      </c>
      <c r="F5075" t="s">
        <v>754</v>
      </c>
      <c r="G5075" t="s">
        <v>4228</v>
      </c>
      <c r="H5075" t="s">
        <v>4516</v>
      </c>
      <c r="I5075" s="28" t="s">
        <v>26</v>
      </c>
    </row>
    <row r="5076" spans="1:9" x14ac:dyDescent="0.3">
      <c r="A5076" s="26">
        <v>45350</v>
      </c>
      <c r="B5076" t="s">
        <v>856</v>
      </c>
      <c r="C5076" t="s">
        <v>753</v>
      </c>
      <c r="D5076">
        <v>0.22</v>
      </c>
      <c r="E5076" t="s">
        <v>857</v>
      </c>
      <c r="F5076" t="s">
        <v>754</v>
      </c>
      <c r="G5076" t="s">
        <v>4229</v>
      </c>
      <c r="H5076" t="s">
        <v>4516</v>
      </c>
      <c r="I5076" s="28" t="s">
        <v>26</v>
      </c>
    </row>
    <row r="5077" spans="1:9" x14ac:dyDescent="0.3">
      <c r="A5077" s="26">
        <v>45350</v>
      </c>
      <c r="B5077" t="s">
        <v>856</v>
      </c>
      <c r="C5077" t="s">
        <v>753</v>
      </c>
      <c r="D5077">
        <v>1.02</v>
      </c>
      <c r="E5077" t="s">
        <v>173</v>
      </c>
      <c r="F5077" t="s">
        <v>754</v>
      </c>
      <c r="G5077" t="s">
        <v>4230</v>
      </c>
      <c r="H5077" t="s">
        <v>4516</v>
      </c>
      <c r="I5077" s="28" t="s">
        <v>26</v>
      </c>
    </row>
    <row r="5078" spans="1:9" x14ac:dyDescent="0.3">
      <c r="A5078" s="26">
        <v>45350</v>
      </c>
      <c r="B5078" t="s">
        <v>856</v>
      </c>
      <c r="C5078" t="s">
        <v>753</v>
      </c>
      <c r="D5078">
        <v>1.1000000000000001</v>
      </c>
      <c r="E5078" t="s">
        <v>1989</v>
      </c>
      <c r="F5078" t="s">
        <v>754</v>
      </c>
      <c r="G5078" t="s">
        <v>863</v>
      </c>
      <c r="H5078" t="s">
        <v>4516</v>
      </c>
      <c r="I5078" s="28" t="s">
        <v>26</v>
      </c>
    </row>
    <row r="5079" spans="1:9" x14ac:dyDescent="0.3">
      <c r="A5079" s="26">
        <v>45350</v>
      </c>
      <c r="B5079" t="s">
        <v>856</v>
      </c>
      <c r="C5079" t="s">
        <v>753</v>
      </c>
      <c r="D5079">
        <v>1.33</v>
      </c>
      <c r="E5079" t="s">
        <v>857</v>
      </c>
      <c r="F5079" t="s">
        <v>754</v>
      </c>
      <c r="G5079" t="s">
        <v>4231</v>
      </c>
      <c r="H5079" t="s">
        <v>4516</v>
      </c>
      <c r="I5079" s="28" t="s">
        <v>26</v>
      </c>
    </row>
    <row r="5080" spans="1:9" x14ac:dyDescent="0.3">
      <c r="A5080" s="26">
        <v>45350</v>
      </c>
      <c r="B5080" t="s">
        <v>856</v>
      </c>
      <c r="C5080" t="s">
        <v>753</v>
      </c>
      <c r="D5080">
        <v>1.35</v>
      </c>
      <c r="E5080" t="s">
        <v>857</v>
      </c>
      <c r="F5080" t="s">
        <v>754</v>
      </c>
      <c r="G5080" t="s">
        <v>3662</v>
      </c>
      <c r="H5080" t="s">
        <v>4516</v>
      </c>
      <c r="I5080" s="28" t="s">
        <v>26</v>
      </c>
    </row>
    <row r="5081" spans="1:9" x14ac:dyDescent="0.3">
      <c r="A5081" s="26">
        <v>45350</v>
      </c>
      <c r="B5081" t="s">
        <v>856</v>
      </c>
      <c r="C5081" t="s">
        <v>753</v>
      </c>
      <c r="D5081">
        <v>1.38</v>
      </c>
      <c r="E5081" t="s">
        <v>226</v>
      </c>
      <c r="F5081" t="s">
        <v>754</v>
      </c>
      <c r="G5081" t="s">
        <v>4232</v>
      </c>
      <c r="H5081" t="s">
        <v>4516</v>
      </c>
      <c r="I5081" s="28" t="s">
        <v>26</v>
      </c>
    </row>
    <row r="5082" spans="1:9" x14ac:dyDescent="0.3">
      <c r="A5082" s="26">
        <v>45350</v>
      </c>
      <c r="B5082" t="s">
        <v>856</v>
      </c>
      <c r="C5082" t="s">
        <v>834</v>
      </c>
      <c r="D5082">
        <v>1.48</v>
      </c>
      <c r="E5082" t="s">
        <v>7</v>
      </c>
      <c r="F5082" t="s">
        <v>772</v>
      </c>
      <c r="G5082" t="s">
        <v>3085</v>
      </c>
      <c r="H5082" t="s">
        <v>4516</v>
      </c>
      <c r="I5082" s="28" t="s">
        <v>26</v>
      </c>
    </row>
    <row r="5083" spans="1:9" x14ac:dyDescent="0.3">
      <c r="A5083" s="26">
        <v>45350</v>
      </c>
      <c r="B5083" t="s">
        <v>856</v>
      </c>
      <c r="C5083" t="s">
        <v>874</v>
      </c>
      <c r="D5083">
        <v>0.45</v>
      </c>
      <c r="E5083" t="s">
        <v>7</v>
      </c>
      <c r="F5083" t="s">
        <v>772</v>
      </c>
      <c r="G5083" t="s">
        <v>4233</v>
      </c>
      <c r="H5083" t="s">
        <v>4516</v>
      </c>
      <c r="I5083" s="28" t="s">
        <v>26</v>
      </c>
    </row>
    <row r="5084" spans="1:9" x14ac:dyDescent="0.3">
      <c r="A5084" s="26">
        <v>45350</v>
      </c>
      <c r="B5084" t="s">
        <v>856</v>
      </c>
      <c r="C5084" t="s">
        <v>776</v>
      </c>
      <c r="D5084">
        <v>0.48</v>
      </c>
      <c r="E5084" t="s">
        <v>589</v>
      </c>
      <c r="F5084" t="s">
        <v>754</v>
      </c>
      <c r="G5084" t="s">
        <v>4234</v>
      </c>
      <c r="H5084" t="s">
        <v>4516</v>
      </c>
      <c r="I5084" s="28" t="s">
        <v>26</v>
      </c>
    </row>
    <row r="5085" spans="1:9" x14ac:dyDescent="0.3">
      <c r="A5085" s="26">
        <v>45350</v>
      </c>
      <c r="B5085" t="s">
        <v>33</v>
      </c>
      <c r="C5085" t="s">
        <v>771</v>
      </c>
      <c r="D5085">
        <v>0.97</v>
      </c>
      <c r="E5085" t="s">
        <v>7</v>
      </c>
      <c r="F5085" t="s">
        <v>772</v>
      </c>
      <c r="G5085" t="s">
        <v>4235</v>
      </c>
      <c r="H5085" t="s">
        <v>4516</v>
      </c>
      <c r="I5085" s="28" t="s">
        <v>26</v>
      </c>
    </row>
    <row r="5086" spans="1:9" x14ac:dyDescent="0.3">
      <c r="A5086" s="26">
        <v>45350</v>
      </c>
      <c r="B5086" t="s">
        <v>33</v>
      </c>
      <c r="C5086" t="s">
        <v>771</v>
      </c>
      <c r="D5086">
        <v>2.0499999999999998</v>
      </c>
      <c r="E5086" t="s">
        <v>7</v>
      </c>
      <c r="F5086" t="s">
        <v>772</v>
      </c>
      <c r="G5086" t="s">
        <v>4236</v>
      </c>
      <c r="H5086" t="s">
        <v>4516</v>
      </c>
      <c r="I5086" s="28" t="s">
        <v>26</v>
      </c>
    </row>
    <row r="5087" spans="1:9" x14ac:dyDescent="0.3">
      <c r="A5087" s="26">
        <v>45350</v>
      </c>
      <c r="B5087" t="s">
        <v>33</v>
      </c>
      <c r="C5087" t="s">
        <v>771</v>
      </c>
      <c r="D5087">
        <v>2.13</v>
      </c>
      <c r="E5087" t="s">
        <v>7</v>
      </c>
      <c r="F5087" t="s">
        <v>772</v>
      </c>
      <c r="G5087" t="s">
        <v>4237</v>
      </c>
      <c r="H5087" t="s">
        <v>4516</v>
      </c>
      <c r="I5087" s="28" t="s">
        <v>26</v>
      </c>
    </row>
    <row r="5088" spans="1:9" x14ac:dyDescent="0.3">
      <c r="A5088" s="26">
        <v>45350</v>
      </c>
      <c r="B5088" t="s">
        <v>33</v>
      </c>
      <c r="C5088" t="s">
        <v>771</v>
      </c>
      <c r="D5088">
        <v>3.02</v>
      </c>
      <c r="E5088" t="s">
        <v>7</v>
      </c>
      <c r="F5088" t="s">
        <v>772</v>
      </c>
      <c r="G5088" t="s">
        <v>4238</v>
      </c>
      <c r="H5088" t="s">
        <v>4516</v>
      </c>
      <c r="I5088" s="28" t="s">
        <v>26</v>
      </c>
    </row>
    <row r="5089" spans="1:9" x14ac:dyDescent="0.3">
      <c r="A5089" s="26">
        <v>45350</v>
      </c>
      <c r="B5089" t="s">
        <v>876</v>
      </c>
      <c r="C5089" t="s">
        <v>753</v>
      </c>
      <c r="D5089">
        <v>2</v>
      </c>
      <c r="E5089" t="s">
        <v>11</v>
      </c>
      <c r="F5089" t="s">
        <v>754</v>
      </c>
      <c r="H5089" t="s">
        <v>4516</v>
      </c>
      <c r="I5089" s="28" t="s">
        <v>26</v>
      </c>
    </row>
    <row r="5090" spans="1:9" x14ac:dyDescent="0.3">
      <c r="A5090" s="26">
        <v>45350</v>
      </c>
      <c r="B5090" t="s">
        <v>876</v>
      </c>
      <c r="C5090" t="s">
        <v>776</v>
      </c>
      <c r="D5090">
        <v>6.2</v>
      </c>
      <c r="E5090" t="s">
        <v>664</v>
      </c>
      <c r="F5090" t="s">
        <v>754</v>
      </c>
      <c r="H5090" t="s">
        <v>4516</v>
      </c>
      <c r="I5090" s="28" t="s">
        <v>26</v>
      </c>
    </row>
    <row r="5091" spans="1:9" x14ac:dyDescent="0.3">
      <c r="A5091" s="26">
        <v>45350</v>
      </c>
      <c r="B5091" t="s">
        <v>877</v>
      </c>
      <c r="C5091" t="s">
        <v>878</v>
      </c>
      <c r="D5091">
        <v>7.92</v>
      </c>
      <c r="E5091" t="s">
        <v>879</v>
      </c>
      <c r="F5091" t="s">
        <v>754</v>
      </c>
      <c r="G5091" t="s">
        <v>4239</v>
      </c>
      <c r="H5091" t="s">
        <v>4516</v>
      </c>
      <c r="I5091" s="28" t="s">
        <v>26</v>
      </c>
    </row>
    <row r="5092" spans="1:9" x14ac:dyDescent="0.3">
      <c r="A5092" s="26">
        <v>45350</v>
      </c>
      <c r="B5092" t="s">
        <v>884</v>
      </c>
      <c r="C5092" t="s">
        <v>753</v>
      </c>
      <c r="D5092">
        <v>0.33</v>
      </c>
      <c r="E5092" t="s">
        <v>248</v>
      </c>
      <c r="F5092" t="s">
        <v>754</v>
      </c>
      <c r="H5092" t="s">
        <v>4516</v>
      </c>
      <c r="I5092" s="28" t="s">
        <v>26</v>
      </c>
    </row>
    <row r="5093" spans="1:9" x14ac:dyDescent="0.3">
      <c r="A5093" s="26">
        <v>45350</v>
      </c>
      <c r="B5093" t="s">
        <v>884</v>
      </c>
      <c r="C5093" t="s">
        <v>753</v>
      </c>
      <c r="D5093">
        <v>0.56999999999999995</v>
      </c>
      <c r="E5093" t="s">
        <v>562</v>
      </c>
      <c r="F5093" t="s">
        <v>754</v>
      </c>
      <c r="G5093" t="s">
        <v>1092</v>
      </c>
      <c r="H5093" t="s">
        <v>4516</v>
      </c>
      <c r="I5093" s="28" t="s">
        <v>26</v>
      </c>
    </row>
    <row r="5094" spans="1:9" x14ac:dyDescent="0.3">
      <c r="A5094" s="26">
        <v>45350</v>
      </c>
      <c r="B5094" t="s">
        <v>884</v>
      </c>
      <c r="C5094" t="s">
        <v>753</v>
      </c>
      <c r="D5094">
        <v>1</v>
      </c>
      <c r="E5094" t="s">
        <v>11</v>
      </c>
      <c r="F5094" t="s">
        <v>754</v>
      </c>
      <c r="H5094" t="s">
        <v>4516</v>
      </c>
      <c r="I5094" s="28" t="s">
        <v>26</v>
      </c>
    </row>
    <row r="5095" spans="1:9" x14ac:dyDescent="0.3">
      <c r="A5095" s="26">
        <v>45350</v>
      </c>
      <c r="B5095" t="s">
        <v>884</v>
      </c>
      <c r="C5095" t="s">
        <v>753</v>
      </c>
      <c r="D5095">
        <v>1.1000000000000001</v>
      </c>
      <c r="E5095" t="s">
        <v>562</v>
      </c>
      <c r="F5095" t="s">
        <v>754</v>
      </c>
      <c r="G5095" t="s">
        <v>4240</v>
      </c>
      <c r="H5095" t="s">
        <v>4516</v>
      </c>
      <c r="I5095" s="28" t="s">
        <v>26</v>
      </c>
    </row>
    <row r="5096" spans="1:9" x14ac:dyDescent="0.3">
      <c r="A5096" s="26">
        <v>45350</v>
      </c>
      <c r="B5096" t="s">
        <v>884</v>
      </c>
      <c r="C5096" t="s">
        <v>753</v>
      </c>
      <c r="D5096">
        <v>1.88</v>
      </c>
      <c r="E5096" t="s">
        <v>562</v>
      </c>
      <c r="F5096" t="s">
        <v>754</v>
      </c>
      <c r="H5096" t="s">
        <v>4516</v>
      </c>
      <c r="I5096" s="28" t="s">
        <v>26</v>
      </c>
    </row>
    <row r="5097" spans="1:9" x14ac:dyDescent="0.3">
      <c r="A5097" s="26">
        <v>45350</v>
      </c>
      <c r="B5097" t="s">
        <v>884</v>
      </c>
      <c r="C5097" t="s">
        <v>753</v>
      </c>
      <c r="D5097">
        <v>2.62</v>
      </c>
      <c r="E5097" t="s">
        <v>375</v>
      </c>
      <c r="F5097" t="s">
        <v>754</v>
      </c>
      <c r="G5097" t="s">
        <v>4241</v>
      </c>
      <c r="H5097" t="s">
        <v>4516</v>
      </c>
      <c r="I5097" s="28" t="s">
        <v>26</v>
      </c>
    </row>
    <row r="5098" spans="1:9" x14ac:dyDescent="0.3">
      <c r="A5098" s="26">
        <v>45350</v>
      </c>
      <c r="B5098" t="s">
        <v>884</v>
      </c>
      <c r="C5098" t="s">
        <v>776</v>
      </c>
      <c r="D5098">
        <v>0.56999999999999995</v>
      </c>
      <c r="E5098" t="s">
        <v>562</v>
      </c>
      <c r="F5098" t="s">
        <v>754</v>
      </c>
      <c r="H5098" t="s">
        <v>4516</v>
      </c>
      <c r="I5098" s="28" t="s">
        <v>26</v>
      </c>
    </row>
    <row r="5099" spans="1:9" x14ac:dyDescent="0.3">
      <c r="A5099" s="26">
        <v>45350</v>
      </c>
      <c r="B5099" t="s">
        <v>891</v>
      </c>
      <c r="C5099" t="s">
        <v>3169</v>
      </c>
      <c r="D5099">
        <v>8</v>
      </c>
      <c r="E5099" t="s">
        <v>7</v>
      </c>
      <c r="F5099" t="s">
        <v>772</v>
      </c>
      <c r="G5099" t="s">
        <v>3951</v>
      </c>
      <c r="H5099" t="s">
        <v>4516</v>
      </c>
      <c r="I5099" s="28" t="s">
        <v>26</v>
      </c>
    </row>
    <row r="5100" spans="1:9" x14ac:dyDescent="0.3">
      <c r="A5100" s="26">
        <v>45350</v>
      </c>
      <c r="B5100" t="s">
        <v>34</v>
      </c>
      <c r="C5100" t="s">
        <v>802</v>
      </c>
      <c r="D5100">
        <v>8</v>
      </c>
      <c r="E5100" t="s">
        <v>7</v>
      </c>
      <c r="F5100" t="s">
        <v>772</v>
      </c>
      <c r="H5100" t="s">
        <v>4516</v>
      </c>
      <c r="I5100" s="28" t="s">
        <v>26</v>
      </c>
    </row>
    <row r="5101" spans="1:9" x14ac:dyDescent="0.3">
      <c r="A5101" s="26">
        <v>45350</v>
      </c>
      <c r="B5101" t="s">
        <v>893</v>
      </c>
      <c r="C5101" t="s">
        <v>802</v>
      </c>
      <c r="D5101">
        <v>8</v>
      </c>
      <c r="E5101" t="s">
        <v>7</v>
      </c>
      <c r="F5101" t="s">
        <v>772</v>
      </c>
      <c r="G5101" t="s">
        <v>4242</v>
      </c>
      <c r="H5101" t="s">
        <v>4516</v>
      </c>
      <c r="I5101" s="28" t="s">
        <v>26</v>
      </c>
    </row>
    <row r="5102" spans="1:9" x14ac:dyDescent="0.3">
      <c r="A5102" s="26">
        <v>45350</v>
      </c>
      <c r="B5102" t="s">
        <v>895</v>
      </c>
      <c r="C5102" t="s">
        <v>771</v>
      </c>
      <c r="D5102">
        <v>0.5</v>
      </c>
      <c r="E5102" t="s">
        <v>7</v>
      </c>
      <c r="F5102" t="s">
        <v>772</v>
      </c>
      <c r="G5102" t="s">
        <v>4243</v>
      </c>
      <c r="H5102" t="s">
        <v>4516</v>
      </c>
      <c r="I5102" s="28" t="s">
        <v>26</v>
      </c>
    </row>
    <row r="5103" spans="1:9" x14ac:dyDescent="0.3">
      <c r="A5103" s="26">
        <v>45350</v>
      </c>
      <c r="B5103" t="s">
        <v>895</v>
      </c>
      <c r="C5103" t="s">
        <v>916</v>
      </c>
      <c r="D5103">
        <v>0.25</v>
      </c>
      <c r="E5103" t="s">
        <v>815</v>
      </c>
      <c r="F5103" t="s">
        <v>754</v>
      </c>
      <c r="G5103" t="s">
        <v>4244</v>
      </c>
      <c r="H5103" t="s">
        <v>4516</v>
      </c>
      <c r="I5103" s="28" t="s">
        <v>26</v>
      </c>
    </row>
    <row r="5104" spans="1:9" x14ac:dyDescent="0.3">
      <c r="A5104" s="26">
        <v>45350</v>
      </c>
      <c r="B5104" t="s">
        <v>895</v>
      </c>
      <c r="C5104" t="s">
        <v>916</v>
      </c>
      <c r="D5104">
        <v>0.25</v>
      </c>
      <c r="E5104" t="s">
        <v>811</v>
      </c>
      <c r="F5104" t="s">
        <v>754</v>
      </c>
      <c r="G5104" t="s">
        <v>4245</v>
      </c>
      <c r="H5104" t="s">
        <v>4516</v>
      </c>
      <c r="I5104" s="28" t="s">
        <v>26</v>
      </c>
    </row>
    <row r="5105" spans="1:9" x14ac:dyDescent="0.3">
      <c r="A5105" s="26">
        <v>45350</v>
      </c>
      <c r="B5105" t="s">
        <v>895</v>
      </c>
      <c r="C5105" t="s">
        <v>776</v>
      </c>
      <c r="D5105">
        <v>7.0000000000000007E-2</v>
      </c>
      <c r="E5105" t="s">
        <v>815</v>
      </c>
      <c r="F5105" t="s">
        <v>754</v>
      </c>
      <c r="G5105" t="s">
        <v>4246</v>
      </c>
      <c r="H5105" t="s">
        <v>4516</v>
      </c>
      <c r="I5105" s="28" t="s">
        <v>26</v>
      </c>
    </row>
    <row r="5106" spans="1:9" x14ac:dyDescent="0.3">
      <c r="A5106" s="26">
        <v>45350</v>
      </c>
      <c r="B5106" t="s">
        <v>895</v>
      </c>
      <c r="C5106" t="s">
        <v>776</v>
      </c>
      <c r="D5106">
        <v>0.2</v>
      </c>
      <c r="E5106" t="s">
        <v>811</v>
      </c>
      <c r="F5106" t="s">
        <v>754</v>
      </c>
      <c r="G5106" t="s">
        <v>4247</v>
      </c>
      <c r="H5106" t="s">
        <v>4516</v>
      </c>
      <c r="I5106" s="28" t="s">
        <v>26</v>
      </c>
    </row>
    <row r="5107" spans="1:9" x14ac:dyDescent="0.3">
      <c r="A5107" s="26">
        <v>45350</v>
      </c>
      <c r="B5107" t="s">
        <v>895</v>
      </c>
      <c r="C5107" t="s">
        <v>776</v>
      </c>
      <c r="D5107">
        <v>6.33</v>
      </c>
      <c r="E5107" t="s">
        <v>879</v>
      </c>
      <c r="F5107" t="s">
        <v>754</v>
      </c>
      <c r="G5107" t="s">
        <v>4248</v>
      </c>
      <c r="H5107" t="s">
        <v>4516</v>
      </c>
      <c r="I5107" s="28" t="s">
        <v>26</v>
      </c>
    </row>
    <row r="5108" spans="1:9" x14ac:dyDescent="0.3">
      <c r="A5108" s="26">
        <v>45350</v>
      </c>
      <c r="B5108" t="s">
        <v>929</v>
      </c>
      <c r="C5108" t="s">
        <v>789</v>
      </c>
      <c r="D5108">
        <v>0.05</v>
      </c>
      <c r="E5108" t="s">
        <v>1013</v>
      </c>
      <c r="F5108" t="s">
        <v>772</v>
      </c>
      <c r="G5108" t="s">
        <v>4249</v>
      </c>
      <c r="H5108" t="s">
        <v>4516</v>
      </c>
      <c r="I5108" s="28" t="s">
        <v>26</v>
      </c>
    </row>
    <row r="5109" spans="1:9" x14ac:dyDescent="0.3">
      <c r="A5109" s="26">
        <v>45350</v>
      </c>
      <c r="B5109" t="s">
        <v>929</v>
      </c>
      <c r="C5109" t="s">
        <v>789</v>
      </c>
      <c r="D5109">
        <v>0.08</v>
      </c>
      <c r="E5109" t="s">
        <v>815</v>
      </c>
      <c r="F5109" t="s">
        <v>772</v>
      </c>
      <c r="G5109" t="s">
        <v>1398</v>
      </c>
      <c r="H5109" t="s">
        <v>4516</v>
      </c>
      <c r="I5109" s="28" t="s">
        <v>26</v>
      </c>
    </row>
    <row r="5110" spans="1:9" x14ac:dyDescent="0.3">
      <c r="A5110" s="26">
        <v>45350</v>
      </c>
      <c r="B5110" t="s">
        <v>929</v>
      </c>
      <c r="C5110" t="s">
        <v>789</v>
      </c>
      <c r="D5110">
        <v>0.08</v>
      </c>
      <c r="E5110" t="s">
        <v>3357</v>
      </c>
      <c r="F5110" t="s">
        <v>754</v>
      </c>
      <c r="G5110" t="s">
        <v>4250</v>
      </c>
      <c r="H5110" t="s">
        <v>4516</v>
      </c>
      <c r="I5110" s="28" t="s">
        <v>26</v>
      </c>
    </row>
    <row r="5111" spans="1:9" x14ac:dyDescent="0.3">
      <c r="A5111" s="26">
        <v>45350</v>
      </c>
      <c r="B5111" t="s">
        <v>929</v>
      </c>
      <c r="C5111" t="s">
        <v>789</v>
      </c>
      <c r="D5111">
        <v>0.12</v>
      </c>
      <c r="E5111" t="s">
        <v>1543</v>
      </c>
      <c r="F5111" t="s">
        <v>772</v>
      </c>
      <c r="G5111" t="s">
        <v>4250</v>
      </c>
      <c r="H5111" t="s">
        <v>4516</v>
      </c>
      <c r="I5111" s="28" t="s">
        <v>26</v>
      </c>
    </row>
    <row r="5112" spans="1:9" x14ac:dyDescent="0.3">
      <c r="A5112" s="26">
        <v>45350</v>
      </c>
      <c r="B5112" t="s">
        <v>929</v>
      </c>
      <c r="C5112" t="s">
        <v>789</v>
      </c>
      <c r="D5112">
        <v>0.12</v>
      </c>
      <c r="E5112" t="s">
        <v>1013</v>
      </c>
      <c r="F5112" t="s">
        <v>772</v>
      </c>
      <c r="G5112" t="s">
        <v>1398</v>
      </c>
      <c r="H5112" t="s">
        <v>4516</v>
      </c>
      <c r="I5112" s="28" t="s">
        <v>26</v>
      </c>
    </row>
    <row r="5113" spans="1:9" x14ac:dyDescent="0.3">
      <c r="A5113" s="26">
        <v>45350</v>
      </c>
      <c r="B5113" t="s">
        <v>929</v>
      </c>
      <c r="C5113" t="s">
        <v>789</v>
      </c>
      <c r="D5113">
        <v>0.12</v>
      </c>
      <c r="E5113" t="s">
        <v>811</v>
      </c>
      <c r="F5113" t="s">
        <v>772</v>
      </c>
      <c r="G5113" t="s">
        <v>4251</v>
      </c>
      <c r="H5113" t="s">
        <v>4516</v>
      </c>
      <c r="I5113" s="28" t="s">
        <v>26</v>
      </c>
    </row>
    <row r="5114" spans="1:9" x14ac:dyDescent="0.3">
      <c r="A5114" s="26">
        <v>45350</v>
      </c>
      <c r="B5114" t="s">
        <v>929</v>
      </c>
      <c r="C5114" t="s">
        <v>789</v>
      </c>
      <c r="D5114">
        <v>0.13</v>
      </c>
      <c r="E5114" t="s">
        <v>516</v>
      </c>
      <c r="F5114" t="s">
        <v>772</v>
      </c>
      <c r="G5114" t="s">
        <v>4252</v>
      </c>
      <c r="H5114" t="s">
        <v>4516</v>
      </c>
      <c r="I5114" s="28" t="s">
        <v>26</v>
      </c>
    </row>
    <row r="5115" spans="1:9" x14ac:dyDescent="0.3">
      <c r="A5115" s="26">
        <v>45350</v>
      </c>
      <c r="B5115" t="s">
        <v>929</v>
      </c>
      <c r="C5115" t="s">
        <v>789</v>
      </c>
      <c r="D5115">
        <v>0.22</v>
      </c>
      <c r="E5115" t="s">
        <v>7</v>
      </c>
      <c r="F5115" t="s">
        <v>772</v>
      </c>
      <c r="G5115" t="s">
        <v>4253</v>
      </c>
      <c r="H5115" t="s">
        <v>4516</v>
      </c>
      <c r="I5115" s="28" t="s">
        <v>26</v>
      </c>
    </row>
    <row r="5116" spans="1:9" x14ac:dyDescent="0.3">
      <c r="A5116" s="26">
        <v>45350</v>
      </c>
      <c r="B5116" t="s">
        <v>929</v>
      </c>
      <c r="C5116" t="s">
        <v>771</v>
      </c>
      <c r="D5116">
        <v>0.25</v>
      </c>
      <c r="E5116" t="s">
        <v>7</v>
      </c>
      <c r="F5116" t="s">
        <v>772</v>
      </c>
      <c r="G5116" t="s">
        <v>3982</v>
      </c>
      <c r="H5116" t="s">
        <v>4516</v>
      </c>
      <c r="I5116" s="28" t="s">
        <v>26</v>
      </c>
    </row>
    <row r="5117" spans="1:9" x14ac:dyDescent="0.3">
      <c r="A5117" s="26">
        <v>45350</v>
      </c>
      <c r="B5117" t="s">
        <v>929</v>
      </c>
      <c r="C5117" t="s">
        <v>771</v>
      </c>
      <c r="D5117">
        <v>0.25</v>
      </c>
      <c r="E5117" t="s">
        <v>7</v>
      </c>
      <c r="F5117" t="s">
        <v>772</v>
      </c>
      <c r="G5117" t="s">
        <v>4254</v>
      </c>
      <c r="H5117" t="s">
        <v>4516</v>
      </c>
      <c r="I5117" s="28" t="s">
        <v>26</v>
      </c>
    </row>
    <row r="5118" spans="1:9" x14ac:dyDescent="0.3">
      <c r="A5118" s="26">
        <v>45350</v>
      </c>
      <c r="B5118" t="s">
        <v>929</v>
      </c>
      <c r="C5118" t="s">
        <v>771</v>
      </c>
      <c r="D5118">
        <v>0.4</v>
      </c>
      <c r="E5118" t="s">
        <v>7</v>
      </c>
      <c r="F5118" t="s">
        <v>772</v>
      </c>
      <c r="G5118" t="s">
        <v>4255</v>
      </c>
      <c r="H5118" t="s">
        <v>4516</v>
      </c>
      <c r="I5118" s="28" t="s">
        <v>26</v>
      </c>
    </row>
    <row r="5119" spans="1:9" x14ac:dyDescent="0.3">
      <c r="A5119" s="26">
        <v>45350</v>
      </c>
      <c r="B5119" t="s">
        <v>929</v>
      </c>
      <c r="C5119" t="s">
        <v>771</v>
      </c>
      <c r="D5119">
        <v>0.52</v>
      </c>
      <c r="E5119" t="s">
        <v>7</v>
      </c>
      <c r="F5119" t="s">
        <v>772</v>
      </c>
      <c r="G5119" t="s">
        <v>4256</v>
      </c>
      <c r="H5119" t="s">
        <v>4516</v>
      </c>
      <c r="I5119" s="28" t="s">
        <v>26</v>
      </c>
    </row>
    <row r="5120" spans="1:9" x14ac:dyDescent="0.3">
      <c r="A5120" s="26">
        <v>45350</v>
      </c>
      <c r="B5120" t="s">
        <v>929</v>
      </c>
      <c r="C5120" t="s">
        <v>771</v>
      </c>
      <c r="D5120">
        <v>0.62</v>
      </c>
      <c r="E5120" t="s">
        <v>7</v>
      </c>
      <c r="F5120" t="s">
        <v>772</v>
      </c>
      <c r="G5120" t="s">
        <v>755</v>
      </c>
      <c r="H5120" t="s">
        <v>4516</v>
      </c>
      <c r="I5120" s="28" t="s">
        <v>26</v>
      </c>
    </row>
    <row r="5121" spans="1:9" x14ac:dyDescent="0.3">
      <c r="A5121" s="26">
        <v>45350</v>
      </c>
      <c r="B5121" t="s">
        <v>929</v>
      </c>
      <c r="C5121" t="s">
        <v>942</v>
      </c>
      <c r="D5121">
        <v>0.08</v>
      </c>
      <c r="E5121" t="s">
        <v>7</v>
      </c>
      <c r="F5121" t="s">
        <v>772</v>
      </c>
      <c r="G5121" t="s">
        <v>4257</v>
      </c>
      <c r="H5121" t="s">
        <v>4516</v>
      </c>
      <c r="I5121" s="28" t="s">
        <v>26</v>
      </c>
    </row>
    <row r="5122" spans="1:9" x14ac:dyDescent="0.3">
      <c r="A5122" s="26">
        <v>45350</v>
      </c>
      <c r="B5122" t="s">
        <v>929</v>
      </c>
      <c r="C5122" t="s">
        <v>916</v>
      </c>
      <c r="D5122">
        <v>0.15</v>
      </c>
      <c r="E5122" t="s">
        <v>1013</v>
      </c>
      <c r="F5122" t="s">
        <v>772</v>
      </c>
      <c r="G5122" t="s">
        <v>4258</v>
      </c>
      <c r="H5122" t="s">
        <v>4516</v>
      </c>
      <c r="I5122" s="28" t="s">
        <v>26</v>
      </c>
    </row>
    <row r="5123" spans="1:9" x14ac:dyDescent="0.3">
      <c r="A5123" s="26">
        <v>45350</v>
      </c>
      <c r="B5123" t="s">
        <v>929</v>
      </c>
      <c r="C5123" t="s">
        <v>916</v>
      </c>
      <c r="D5123">
        <v>0.18</v>
      </c>
      <c r="E5123" t="s">
        <v>516</v>
      </c>
      <c r="F5123" t="s">
        <v>772</v>
      </c>
      <c r="G5123" t="s">
        <v>4259</v>
      </c>
      <c r="H5123" t="s">
        <v>4516</v>
      </c>
      <c r="I5123" s="28" t="s">
        <v>26</v>
      </c>
    </row>
    <row r="5124" spans="1:9" x14ac:dyDescent="0.3">
      <c r="A5124" s="26">
        <v>45350</v>
      </c>
      <c r="B5124" t="s">
        <v>929</v>
      </c>
      <c r="C5124" t="s">
        <v>916</v>
      </c>
      <c r="D5124">
        <v>0.32</v>
      </c>
      <c r="E5124" t="s">
        <v>811</v>
      </c>
      <c r="F5124" t="s">
        <v>772</v>
      </c>
      <c r="G5124" t="s">
        <v>4260</v>
      </c>
      <c r="H5124" t="s">
        <v>4516</v>
      </c>
      <c r="I5124" s="28" t="s">
        <v>26</v>
      </c>
    </row>
    <row r="5125" spans="1:9" x14ac:dyDescent="0.3">
      <c r="A5125" s="26">
        <v>45350</v>
      </c>
      <c r="B5125" t="s">
        <v>929</v>
      </c>
      <c r="C5125" t="s">
        <v>916</v>
      </c>
      <c r="D5125">
        <v>0.48</v>
      </c>
      <c r="E5125" t="s">
        <v>303</v>
      </c>
      <c r="F5125" t="s">
        <v>754</v>
      </c>
      <c r="G5125" t="s">
        <v>1853</v>
      </c>
      <c r="H5125" t="s">
        <v>4516</v>
      </c>
      <c r="I5125" s="28" t="s">
        <v>26</v>
      </c>
    </row>
    <row r="5126" spans="1:9" x14ac:dyDescent="0.3">
      <c r="A5126" s="26">
        <v>45350</v>
      </c>
      <c r="B5126" t="s">
        <v>929</v>
      </c>
      <c r="C5126" t="s">
        <v>916</v>
      </c>
      <c r="D5126">
        <v>0.5</v>
      </c>
      <c r="E5126" t="s">
        <v>815</v>
      </c>
      <c r="F5126" t="s">
        <v>772</v>
      </c>
      <c r="G5126" t="s">
        <v>4261</v>
      </c>
      <c r="H5126" t="s">
        <v>4516</v>
      </c>
      <c r="I5126" s="28" t="s">
        <v>26</v>
      </c>
    </row>
    <row r="5127" spans="1:9" x14ac:dyDescent="0.3">
      <c r="A5127" s="26">
        <v>45350</v>
      </c>
      <c r="B5127" t="s">
        <v>929</v>
      </c>
      <c r="C5127" t="s">
        <v>916</v>
      </c>
      <c r="D5127">
        <v>0.53</v>
      </c>
      <c r="E5127" t="s">
        <v>303</v>
      </c>
      <c r="F5127" t="s">
        <v>754</v>
      </c>
      <c r="G5127" t="s">
        <v>2493</v>
      </c>
      <c r="H5127" t="s">
        <v>4516</v>
      </c>
      <c r="I5127" s="28" t="s">
        <v>26</v>
      </c>
    </row>
    <row r="5128" spans="1:9" x14ac:dyDescent="0.3">
      <c r="A5128" s="26">
        <v>45350</v>
      </c>
      <c r="B5128" t="s">
        <v>929</v>
      </c>
      <c r="C5128" t="s">
        <v>916</v>
      </c>
      <c r="D5128">
        <v>0.53</v>
      </c>
      <c r="E5128" t="s">
        <v>811</v>
      </c>
      <c r="F5128" t="s">
        <v>754</v>
      </c>
      <c r="G5128" t="s">
        <v>4262</v>
      </c>
      <c r="H5128" t="s">
        <v>4516</v>
      </c>
      <c r="I5128" s="28" t="s">
        <v>26</v>
      </c>
    </row>
    <row r="5129" spans="1:9" x14ac:dyDescent="0.3">
      <c r="A5129" s="26">
        <v>45350</v>
      </c>
      <c r="B5129" t="s">
        <v>929</v>
      </c>
      <c r="C5129" t="s">
        <v>916</v>
      </c>
      <c r="D5129">
        <v>0.6</v>
      </c>
      <c r="E5129" t="s">
        <v>811</v>
      </c>
      <c r="F5129" t="s">
        <v>754</v>
      </c>
      <c r="G5129" t="s">
        <v>4263</v>
      </c>
      <c r="H5129" t="s">
        <v>4516</v>
      </c>
      <c r="I5129" s="28" t="s">
        <v>26</v>
      </c>
    </row>
    <row r="5130" spans="1:9" x14ac:dyDescent="0.3">
      <c r="A5130" s="26">
        <v>45350</v>
      </c>
      <c r="B5130" t="s">
        <v>929</v>
      </c>
      <c r="C5130" t="s">
        <v>916</v>
      </c>
      <c r="D5130">
        <v>0.7</v>
      </c>
      <c r="E5130" t="s">
        <v>815</v>
      </c>
      <c r="F5130" t="s">
        <v>754</v>
      </c>
      <c r="G5130" t="s">
        <v>1853</v>
      </c>
      <c r="H5130" t="s">
        <v>4516</v>
      </c>
      <c r="I5130" s="28" t="s">
        <v>26</v>
      </c>
    </row>
    <row r="5131" spans="1:9" x14ac:dyDescent="0.3">
      <c r="A5131" s="26">
        <v>45350</v>
      </c>
      <c r="B5131" t="s">
        <v>929</v>
      </c>
      <c r="C5131" t="s">
        <v>916</v>
      </c>
      <c r="D5131">
        <v>1.03</v>
      </c>
      <c r="E5131" t="s">
        <v>815</v>
      </c>
      <c r="F5131" t="s">
        <v>754</v>
      </c>
      <c r="G5131" t="s">
        <v>4264</v>
      </c>
      <c r="H5131" t="s">
        <v>4516</v>
      </c>
      <c r="I5131" s="28" t="s">
        <v>26</v>
      </c>
    </row>
    <row r="5132" spans="1:9" x14ac:dyDescent="0.3">
      <c r="A5132" s="26">
        <v>45350</v>
      </c>
      <c r="B5132" t="s">
        <v>929</v>
      </c>
      <c r="C5132" t="s">
        <v>874</v>
      </c>
      <c r="D5132">
        <v>0.37</v>
      </c>
      <c r="E5132" t="s">
        <v>7</v>
      </c>
      <c r="F5132" t="s">
        <v>772</v>
      </c>
      <c r="G5132" t="s">
        <v>4265</v>
      </c>
      <c r="H5132" t="s">
        <v>4516</v>
      </c>
      <c r="I5132" s="28" t="s">
        <v>26</v>
      </c>
    </row>
    <row r="5133" spans="1:9" x14ac:dyDescent="0.3">
      <c r="A5133" s="26">
        <v>45350</v>
      </c>
      <c r="B5133" t="s">
        <v>959</v>
      </c>
      <c r="C5133" t="s">
        <v>942</v>
      </c>
      <c r="D5133">
        <v>2</v>
      </c>
      <c r="E5133" t="s">
        <v>7</v>
      </c>
      <c r="F5133" t="s">
        <v>772</v>
      </c>
      <c r="G5133" t="s">
        <v>4266</v>
      </c>
      <c r="H5133" t="s">
        <v>4516</v>
      </c>
      <c r="I5133" s="28" t="s">
        <v>26</v>
      </c>
    </row>
    <row r="5134" spans="1:9" x14ac:dyDescent="0.3">
      <c r="A5134" s="26">
        <v>45350</v>
      </c>
      <c r="B5134" t="s">
        <v>959</v>
      </c>
      <c r="C5134" t="s">
        <v>878</v>
      </c>
      <c r="D5134">
        <v>6</v>
      </c>
      <c r="E5134" t="s">
        <v>430</v>
      </c>
      <c r="F5134" t="s">
        <v>754</v>
      </c>
      <c r="G5134" t="s">
        <v>4267</v>
      </c>
      <c r="H5134" t="s">
        <v>4516</v>
      </c>
      <c r="I5134" s="28" t="s">
        <v>26</v>
      </c>
    </row>
    <row r="5135" spans="1:9" x14ac:dyDescent="0.3">
      <c r="A5135" s="26">
        <v>45350</v>
      </c>
      <c r="B5135" t="s">
        <v>961</v>
      </c>
      <c r="C5135" t="s">
        <v>753</v>
      </c>
      <c r="D5135">
        <v>5.0199999999999996</v>
      </c>
      <c r="E5135" t="s">
        <v>790</v>
      </c>
      <c r="F5135" t="s">
        <v>754</v>
      </c>
      <c r="H5135" t="s">
        <v>4516</v>
      </c>
      <c r="I5135" s="28" t="s">
        <v>26</v>
      </c>
    </row>
    <row r="5136" spans="1:9" x14ac:dyDescent="0.3">
      <c r="A5136" s="26">
        <v>45350</v>
      </c>
      <c r="B5136" t="s">
        <v>961</v>
      </c>
      <c r="C5136" t="s">
        <v>776</v>
      </c>
      <c r="D5136">
        <v>3.82</v>
      </c>
      <c r="E5136" t="s">
        <v>655</v>
      </c>
      <c r="F5136" t="s">
        <v>754</v>
      </c>
      <c r="H5136" t="s">
        <v>4516</v>
      </c>
      <c r="I5136" s="28" t="s">
        <v>26</v>
      </c>
    </row>
    <row r="5137" spans="1:9" x14ac:dyDescent="0.3">
      <c r="A5137" s="26">
        <v>45350</v>
      </c>
      <c r="B5137" t="s">
        <v>962</v>
      </c>
      <c r="C5137" t="s">
        <v>1414</v>
      </c>
      <c r="D5137">
        <v>0.75</v>
      </c>
      <c r="E5137" t="s">
        <v>717</v>
      </c>
      <c r="F5137" t="s">
        <v>754</v>
      </c>
      <c r="G5137" t="s">
        <v>4268</v>
      </c>
      <c r="H5137" t="s">
        <v>4516</v>
      </c>
      <c r="I5137" s="28" t="s">
        <v>26</v>
      </c>
    </row>
    <row r="5138" spans="1:9" x14ac:dyDescent="0.3">
      <c r="A5138" s="26">
        <v>45350</v>
      </c>
      <c r="B5138" t="s">
        <v>966</v>
      </c>
      <c r="C5138" t="s">
        <v>970</v>
      </c>
      <c r="D5138">
        <v>1</v>
      </c>
      <c r="E5138" t="s">
        <v>790</v>
      </c>
      <c r="F5138" t="s">
        <v>772</v>
      </c>
      <c r="G5138" t="s">
        <v>2698</v>
      </c>
      <c r="H5138" t="s">
        <v>4516</v>
      </c>
      <c r="I5138" s="28" t="s">
        <v>26</v>
      </c>
    </row>
    <row r="5139" spans="1:9" x14ac:dyDescent="0.3">
      <c r="A5139" s="26">
        <v>45350</v>
      </c>
      <c r="B5139" t="s">
        <v>966</v>
      </c>
      <c r="C5139" t="s">
        <v>967</v>
      </c>
      <c r="D5139">
        <v>2.5</v>
      </c>
      <c r="E5139" t="s">
        <v>7</v>
      </c>
      <c r="F5139" t="s">
        <v>772</v>
      </c>
      <c r="H5139" t="s">
        <v>4516</v>
      </c>
      <c r="I5139" s="28" t="s">
        <v>26</v>
      </c>
    </row>
    <row r="5140" spans="1:9" x14ac:dyDescent="0.3">
      <c r="A5140" s="26">
        <v>45350</v>
      </c>
      <c r="B5140" t="s">
        <v>966</v>
      </c>
      <c r="C5140" t="s">
        <v>967</v>
      </c>
      <c r="D5140">
        <v>4</v>
      </c>
      <c r="E5140" t="s">
        <v>790</v>
      </c>
      <c r="F5140" t="s">
        <v>754</v>
      </c>
      <c r="H5140" t="s">
        <v>4516</v>
      </c>
      <c r="I5140" s="28" t="s">
        <v>26</v>
      </c>
    </row>
    <row r="5141" spans="1:9" x14ac:dyDescent="0.3">
      <c r="A5141" s="26">
        <v>45350</v>
      </c>
      <c r="B5141" t="s">
        <v>966</v>
      </c>
      <c r="C5141" t="s">
        <v>771</v>
      </c>
      <c r="D5141">
        <v>0.5</v>
      </c>
      <c r="E5141" t="s">
        <v>7</v>
      </c>
      <c r="F5141" t="s">
        <v>772</v>
      </c>
      <c r="G5141" t="s">
        <v>781</v>
      </c>
      <c r="H5141" t="s">
        <v>4516</v>
      </c>
      <c r="I5141" s="28" t="s">
        <v>26</v>
      </c>
    </row>
    <row r="5142" spans="1:9" x14ac:dyDescent="0.3">
      <c r="A5142" s="26">
        <v>45350</v>
      </c>
      <c r="B5142" t="s">
        <v>969</v>
      </c>
      <c r="C5142" t="s">
        <v>1163</v>
      </c>
      <c r="D5142">
        <v>4</v>
      </c>
      <c r="E5142" t="s">
        <v>7</v>
      </c>
      <c r="F5142" t="s">
        <v>772</v>
      </c>
      <c r="H5142" t="s">
        <v>4516</v>
      </c>
      <c r="I5142" s="28" t="s">
        <v>26</v>
      </c>
    </row>
    <row r="5143" spans="1:9" x14ac:dyDescent="0.3">
      <c r="A5143" s="26">
        <v>45350</v>
      </c>
      <c r="B5143" t="s">
        <v>969</v>
      </c>
      <c r="C5143" t="s">
        <v>771</v>
      </c>
      <c r="D5143">
        <v>1.1499999999999999</v>
      </c>
      <c r="E5143" t="s">
        <v>7</v>
      </c>
      <c r="F5143" t="s">
        <v>772</v>
      </c>
      <c r="G5143" t="s">
        <v>4269</v>
      </c>
      <c r="H5143" t="s">
        <v>4516</v>
      </c>
      <c r="I5143" s="28" t="s">
        <v>26</v>
      </c>
    </row>
    <row r="5144" spans="1:9" x14ac:dyDescent="0.3">
      <c r="A5144" s="26">
        <v>45350</v>
      </c>
      <c r="B5144" t="s">
        <v>969</v>
      </c>
      <c r="C5144" t="s">
        <v>771</v>
      </c>
      <c r="D5144">
        <v>3.23</v>
      </c>
      <c r="E5144" t="s">
        <v>7</v>
      </c>
      <c r="F5144" t="s">
        <v>772</v>
      </c>
      <c r="G5144" t="s">
        <v>4270</v>
      </c>
      <c r="H5144" t="s">
        <v>4516</v>
      </c>
      <c r="I5144" s="28" t="s">
        <v>26</v>
      </c>
    </row>
    <row r="5145" spans="1:9" x14ac:dyDescent="0.3">
      <c r="A5145" s="26">
        <v>45350</v>
      </c>
      <c r="B5145" t="s">
        <v>977</v>
      </c>
      <c r="C5145" t="s">
        <v>753</v>
      </c>
      <c r="D5145">
        <v>2.08</v>
      </c>
      <c r="E5145" t="s">
        <v>978</v>
      </c>
      <c r="F5145" t="s">
        <v>754</v>
      </c>
      <c r="G5145" t="s">
        <v>4271</v>
      </c>
      <c r="H5145" t="s">
        <v>4516</v>
      </c>
      <c r="I5145" s="28" t="s">
        <v>26</v>
      </c>
    </row>
    <row r="5146" spans="1:9" x14ac:dyDescent="0.3">
      <c r="A5146" s="26">
        <v>45350</v>
      </c>
      <c r="B5146" t="s">
        <v>977</v>
      </c>
      <c r="C5146" t="s">
        <v>753</v>
      </c>
      <c r="D5146">
        <v>5.53</v>
      </c>
      <c r="E5146" t="s">
        <v>978</v>
      </c>
      <c r="F5146" t="s">
        <v>754</v>
      </c>
      <c r="G5146" t="s">
        <v>4272</v>
      </c>
      <c r="H5146" t="s">
        <v>4516</v>
      </c>
      <c r="I5146" s="28" t="s">
        <v>26</v>
      </c>
    </row>
    <row r="5147" spans="1:9" x14ac:dyDescent="0.3">
      <c r="A5147" s="26">
        <v>45350</v>
      </c>
      <c r="B5147" t="s">
        <v>977</v>
      </c>
      <c r="C5147" t="s">
        <v>771</v>
      </c>
      <c r="D5147">
        <v>0.5</v>
      </c>
      <c r="E5147" t="s">
        <v>7</v>
      </c>
      <c r="F5147" t="s">
        <v>772</v>
      </c>
      <c r="G5147" t="s">
        <v>820</v>
      </c>
      <c r="H5147" t="s">
        <v>4516</v>
      </c>
      <c r="I5147" s="28" t="s">
        <v>26</v>
      </c>
    </row>
    <row r="5148" spans="1:9" x14ac:dyDescent="0.3">
      <c r="A5148" s="26">
        <v>45350</v>
      </c>
      <c r="B5148" t="s">
        <v>981</v>
      </c>
      <c r="C5148" t="s">
        <v>982</v>
      </c>
      <c r="D5148">
        <v>9</v>
      </c>
      <c r="E5148" t="s">
        <v>7</v>
      </c>
      <c r="F5148" t="s">
        <v>772</v>
      </c>
      <c r="G5148" t="s">
        <v>4273</v>
      </c>
      <c r="H5148" t="s">
        <v>4516</v>
      </c>
      <c r="I5148" s="28" t="s">
        <v>26</v>
      </c>
    </row>
    <row r="5149" spans="1:9" x14ac:dyDescent="0.3">
      <c r="A5149" s="26">
        <v>45350</v>
      </c>
      <c r="B5149" t="s">
        <v>984</v>
      </c>
      <c r="C5149" t="s">
        <v>753</v>
      </c>
      <c r="D5149">
        <v>1.68</v>
      </c>
      <c r="E5149" t="s">
        <v>13</v>
      </c>
      <c r="F5149" t="s">
        <v>754</v>
      </c>
      <c r="G5149" t="s">
        <v>4274</v>
      </c>
      <c r="H5149" t="s">
        <v>4516</v>
      </c>
      <c r="I5149" s="28" t="s">
        <v>26</v>
      </c>
    </row>
    <row r="5150" spans="1:9" x14ac:dyDescent="0.3">
      <c r="A5150" s="26">
        <v>45350</v>
      </c>
      <c r="B5150" t="s">
        <v>984</v>
      </c>
      <c r="C5150" t="s">
        <v>753</v>
      </c>
      <c r="D5150">
        <v>2.92</v>
      </c>
      <c r="E5150" t="s">
        <v>13</v>
      </c>
      <c r="F5150" t="s">
        <v>754</v>
      </c>
      <c r="H5150" t="s">
        <v>4516</v>
      </c>
      <c r="I5150" s="28" t="s">
        <v>26</v>
      </c>
    </row>
    <row r="5151" spans="1:9" x14ac:dyDescent="0.3">
      <c r="A5151" s="26">
        <v>45350</v>
      </c>
      <c r="B5151" t="s">
        <v>984</v>
      </c>
      <c r="C5151" t="s">
        <v>753</v>
      </c>
      <c r="D5151">
        <v>2.98</v>
      </c>
      <c r="E5151" t="s">
        <v>985</v>
      </c>
      <c r="F5151" t="s">
        <v>754</v>
      </c>
      <c r="G5151" t="s">
        <v>2514</v>
      </c>
      <c r="H5151" t="s">
        <v>4516</v>
      </c>
      <c r="I5151" s="28" t="s">
        <v>26</v>
      </c>
    </row>
    <row r="5152" spans="1:9" x14ac:dyDescent="0.3">
      <c r="A5152" s="26">
        <v>45350</v>
      </c>
      <c r="B5152" t="s">
        <v>984</v>
      </c>
      <c r="C5152" t="s">
        <v>771</v>
      </c>
      <c r="D5152">
        <v>0.45</v>
      </c>
      <c r="E5152" t="s">
        <v>7</v>
      </c>
      <c r="F5152" t="s">
        <v>772</v>
      </c>
      <c r="G5152" t="s">
        <v>2426</v>
      </c>
      <c r="H5152" t="s">
        <v>4516</v>
      </c>
      <c r="I5152" s="28" t="s">
        <v>26</v>
      </c>
    </row>
    <row r="5153" spans="1:9" x14ac:dyDescent="0.3">
      <c r="A5153" s="26">
        <v>45350</v>
      </c>
      <c r="B5153" t="s">
        <v>991</v>
      </c>
      <c r="C5153" t="s">
        <v>992</v>
      </c>
      <c r="D5153">
        <v>0.08</v>
      </c>
      <c r="E5153" t="s">
        <v>7</v>
      </c>
      <c r="F5153" t="s">
        <v>772</v>
      </c>
      <c r="G5153" t="s">
        <v>4275</v>
      </c>
      <c r="H5153" t="s">
        <v>4516</v>
      </c>
      <c r="I5153" s="28" t="s">
        <v>26</v>
      </c>
    </row>
    <row r="5154" spans="1:9" x14ac:dyDescent="0.3">
      <c r="A5154" s="26">
        <v>45350</v>
      </c>
      <c r="B5154" t="s">
        <v>991</v>
      </c>
      <c r="C5154" t="s">
        <v>992</v>
      </c>
      <c r="D5154">
        <v>0.12</v>
      </c>
      <c r="E5154" t="s">
        <v>999</v>
      </c>
      <c r="F5154" t="s">
        <v>772</v>
      </c>
      <c r="G5154" t="s">
        <v>4276</v>
      </c>
      <c r="H5154" t="s">
        <v>4516</v>
      </c>
      <c r="I5154" s="28" t="s">
        <v>26</v>
      </c>
    </row>
    <row r="5155" spans="1:9" x14ac:dyDescent="0.3">
      <c r="A5155" s="26">
        <v>45350</v>
      </c>
      <c r="B5155" t="s">
        <v>991</v>
      </c>
      <c r="C5155" t="s">
        <v>992</v>
      </c>
      <c r="D5155">
        <v>0.15</v>
      </c>
      <c r="E5155" t="s">
        <v>7</v>
      </c>
      <c r="F5155" t="s">
        <v>772</v>
      </c>
      <c r="G5155" t="s">
        <v>4277</v>
      </c>
      <c r="H5155" t="s">
        <v>4516</v>
      </c>
      <c r="I5155" s="28" t="s">
        <v>26</v>
      </c>
    </row>
    <row r="5156" spans="1:9" x14ac:dyDescent="0.3">
      <c r="A5156" s="26">
        <v>45350</v>
      </c>
      <c r="B5156" t="s">
        <v>991</v>
      </c>
      <c r="C5156" t="s">
        <v>992</v>
      </c>
      <c r="D5156">
        <v>0.17</v>
      </c>
      <c r="E5156" t="s">
        <v>7</v>
      </c>
      <c r="F5156" t="s">
        <v>772</v>
      </c>
      <c r="G5156" t="s">
        <v>4278</v>
      </c>
      <c r="H5156" t="s">
        <v>4516</v>
      </c>
      <c r="I5156" s="28" t="s">
        <v>26</v>
      </c>
    </row>
    <row r="5157" spans="1:9" x14ac:dyDescent="0.3">
      <c r="A5157" s="26">
        <v>45350</v>
      </c>
      <c r="B5157" t="s">
        <v>991</v>
      </c>
      <c r="C5157" t="s">
        <v>992</v>
      </c>
      <c r="D5157">
        <v>0.55000000000000004</v>
      </c>
      <c r="E5157" t="s">
        <v>7</v>
      </c>
      <c r="F5157" t="s">
        <v>772</v>
      </c>
      <c r="G5157" t="s">
        <v>4279</v>
      </c>
      <c r="H5157" t="s">
        <v>4516</v>
      </c>
      <c r="I5157" s="28" t="s">
        <v>26</v>
      </c>
    </row>
    <row r="5158" spans="1:9" x14ac:dyDescent="0.3">
      <c r="A5158" s="26">
        <v>45350</v>
      </c>
      <c r="B5158" t="s">
        <v>991</v>
      </c>
      <c r="C5158" t="s">
        <v>992</v>
      </c>
      <c r="D5158">
        <v>0.6</v>
      </c>
      <c r="E5158" t="s">
        <v>206</v>
      </c>
      <c r="F5158" t="s">
        <v>772</v>
      </c>
      <c r="G5158" t="s">
        <v>4280</v>
      </c>
      <c r="H5158" t="s">
        <v>4516</v>
      </c>
      <c r="I5158" s="28" t="s">
        <v>26</v>
      </c>
    </row>
    <row r="5159" spans="1:9" x14ac:dyDescent="0.3">
      <c r="A5159" s="26">
        <v>45350</v>
      </c>
      <c r="B5159" t="s">
        <v>991</v>
      </c>
      <c r="C5159" t="s">
        <v>992</v>
      </c>
      <c r="D5159">
        <v>0.98</v>
      </c>
      <c r="E5159" t="s">
        <v>7</v>
      </c>
      <c r="F5159" t="s">
        <v>772</v>
      </c>
      <c r="G5159" t="s">
        <v>4281</v>
      </c>
      <c r="H5159" t="s">
        <v>4516</v>
      </c>
      <c r="I5159" s="28" t="s">
        <v>26</v>
      </c>
    </row>
    <row r="5160" spans="1:9" x14ac:dyDescent="0.3">
      <c r="A5160" s="26">
        <v>45350</v>
      </c>
      <c r="B5160" t="s">
        <v>991</v>
      </c>
      <c r="C5160" t="s">
        <v>992</v>
      </c>
      <c r="D5160">
        <v>1.77</v>
      </c>
      <c r="E5160" t="s">
        <v>7</v>
      </c>
      <c r="F5160" t="s">
        <v>772</v>
      </c>
      <c r="G5160" t="s">
        <v>4282</v>
      </c>
      <c r="H5160" t="s">
        <v>4516</v>
      </c>
      <c r="I5160" s="28" t="s">
        <v>26</v>
      </c>
    </row>
    <row r="5161" spans="1:9" x14ac:dyDescent="0.3">
      <c r="A5161" s="26">
        <v>45350</v>
      </c>
      <c r="B5161" t="s">
        <v>991</v>
      </c>
      <c r="C5161" t="s">
        <v>1870</v>
      </c>
      <c r="D5161">
        <v>1.1200000000000001</v>
      </c>
      <c r="E5161" t="s">
        <v>999</v>
      </c>
      <c r="F5161" t="s">
        <v>772</v>
      </c>
      <c r="G5161" t="s">
        <v>4283</v>
      </c>
      <c r="H5161" t="s">
        <v>4516</v>
      </c>
      <c r="I5161" s="28" t="s">
        <v>26</v>
      </c>
    </row>
    <row r="5162" spans="1:9" x14ac:dyDescent="0.3">
      <c r="A5162" s="26">
        <v>45350</v>
      </c>
      <c r="B5162" t="s">
        <v>991</v>
      </c>
      <c r="C5162" t="s">
        <v>1870</v>
      </c>
      <c r="D5162">
        <v>2.12</v>
      </c>
      <c r="E5162" t="s">
        <v>206</v>
      </c>
      <c r="F5162" t="s">
        <v>772</v>
      </c>
      <c r="G5162" t="s">
        <v>4284</v>
      </c>
      <c r="H5162" t="s">
        <v>4516</v>
      </c>
      <c r="I5162" s="28" t="s">
        <v>26</v>
      </c>
    </row>
    <row r="5163" spans="1:9" x14ac:dyDescent="0.3">
      <c r="A5163" s="26">
        <v>45350</v>
      </c>
      <c r="B5163" t="s">
        <v>991</v>
      </c>
      <c r="C5163" t="s">
        <v>771</v>
      </c>
      <c r="D5163">
        <v>0.13</v>
      </c>
      <c r="E5163" t="s">
        <v>999</v>
      </c>
      <c r="F5163" t="s">
        <v>772</v>
      </c>
      <c r="G5163" t="s">
        <v>4285</v>
      </c>
      <c r="H5163" t="s">
        <v>4516</v>
      </c>
      <c r="I5163" s="28" t="s">
        <v>26</v>
      </c>
    </row>
    <row r="5164" spans="1:9" x14ac:dyDescent="0.3">
      <c r="A5164" s="26">
        <v>45350</v>
      </c>
      <c r="B5164" t="s">
        <v>991</v>
      </c>
      <c r="C5164" t="s">
        <v>776</v>
      </c>
      <c r="D5164">
        <v>0.37</v>
      </c>
      <c r="E5164" t="s">
        <v>999</v>
      </c>
      <c r="F5164" t="s">
        <v>772</v>
      </c>
      <c r="G5164" t="s">
        <v>4286</v>
      </c>
      <c r="H5164" t="s">
        <v>4516</v>
      </c>
      <c r="I5164" s="28" t="s">
        <v>26</v>
      </c>
    </row>
    <row r="5165" spans="1:9" x14ac:dyDescent="0.3">
      <c r="A5165" s="26">
        <v>45350</v>
      </c>
      <c r="B5165" t="s">
        <v>991</v>
      </c>
      <c r="C5165" t="s">
        <v>776</v>
      </c>
      <c r="D5165">
        <v>0.8</v>
      </c>
      <c r="E5165" t="s">
        <v>999</v>
      </c>
      <c r="F5165" t="s">
        <v>772</v>
      </c>
      <c r="G5165" t="s">
        <v>4287</v>
      </c>
      <c r="H5165" t="s">
        <v>4516</v>
      </c>
      <c r="I5165" s="28" t="s">
        <v>26</v>
      </c>
    </row>
    <row r="5166" spans="1:9" x14ac:dyDescent="0.3">
      <c r="A5166" s="26">
        <v>45350</v>
      </c>
      <c r="B5166" t="s">
        <v>1002</v>
      </c>
      <c r="C5166" t="s">
        <v>1003</v>
      </c>
      <c r="D5166">
        <v>10</v>
      </c>
      <c r="E5166" t="s">
        <v>7</v>
      </c>
      <c r="F5166" t="s">
        <v>772</v>
      </c>
      <c r="G5166" t="s">
        <v>4288</v>
      </c>
      <c r="H5166" t="s">
        <v>4516</v>
      </c>
      <c r="I5166" s="28" t="s">
        <v>26</v>
      </c>
    </row>
    <row r="5167" spans="1:9" x14ac:dyDescent="0.3">
      <c r="A5167" s="26">
        <v>45350</v>
      </c>
      <c r="B5167" t="s">
        <v>1005</v>
      </c>
      <c r="C5167" t="s">
        <v>753</v>
      </c>
      <c r="D5167">
        <v>0.5</v>
      </c>
      <c r="E5167" t="s">
        <v>1438</v>
      </c>
      <c r="F5167" t="s">
        <v>754</v>
      </c>
      <c r="G5167" t="s">
        <v>4289</v>
      </c>
      <c r="H5167" t="s">
        <v>4516</v>
      </c>
      <c r="I5167" s="28" t="s">
        <v>26</v>
      </c>
    </row>
    <row r="5168" spans="1:9" x14ac:dyDescent="0.3">
      <c r="A5168" s="26">
        <v>45350</v>
      </c>
      <c r="B5168" t="s">
        <v>1005</v>
      </c>
      <c r="C5168" t="s">
        <v>753</v>
      </c>
      <c r="D5168">
        <v>0.5</v>
      </c>
      <c r="E5168" t="s">
        <v>1438</v>
      </c>
      <c r="F5168" t="s">
        <v>754</v>
      </c>
      <c r="G5168" t="s">
        <v>3564</v>
      </c>
      <c r="H5168" t="s">
        <v>4516</v>
      </c>
      <c r="I5168" s="28" t="s">
        <v>26</v>
      </c>
    </row>
    <row r="5169" spans="1:9" x14ac:dyDescent="0.3">
      <c r="A5169" s="26">
        <v>45350</v>
      </c>
      <c r="B5169" t="s">
        <v>1005</v>
      </c>
      <c r="C5169" t="s">
        <v>753</v>
      </c>
      <c r="D5169">
        <v>0.5</v>
      </c>
      <c r="E5169" t="s">
        <v>201</v>
      </c>
      <c r="F5169" t="s">
        <v>754</v>
      </c>
      <c r="H5169" t="s">
        <v>4516</v>
      </c>
      <c r="I5169" s="28" t="s">
        <v>26</v>
      </c>
    </row>
    <row r="5170" spans="1:9" x14ac:dyDescent="0.3">
      <c r="A5170" s="26">
        <v>45350</v>
      </c>
      <c r="B5170" t="s">
        <v>1005</v>
      </c>
      <c r="C5170" t="s">
        <v>753</v>
      </c>
      <c r="D5170">
        <v>0.5</v>
      </c>
      <c r="E5170" t="s">
        <v>471</v>
      </c>
      <c r="F5170" t="s">
        <v>754</v>
      </c>
      <c r="H5170" t="s">
        <v>4516</v>
      </c>
      <c r="I5170" s="28" t="s">
        <v>26</v>
      </c>
    </row>
    <row r="5171" spans="1:9" x14ac:dyDescent="0.3">
      <c r="A5171" s="26">
        <v>45350</v>
      </c>
      <c r="B5171" t="s">
        <v>1005</v>
      </c>
      <c r="C5171" t="s">
        <v>753</v>
      </c>
      <c r="D5171">
        <v>0.5</v>
      </c>
      <c r="E5171" t="s">
        <v>1876</v>
      </c>
      <c r="F5171" t="s">
        <v>772</v>
      </c>
      <c r="H5171" t="s">
        <v>4516</v>
      </c>
      <c r="I5171" s="28" t="s">
        <v>26</v>
      </c>
    </row>
    <row r="5172" spans="1:9" x14ac:dyDescent="0.3">
      <c r="A5172" s="26">
        <v>45350</v>
      </c>
      <c r="B5172" t="s">
        <v>1005</v>
      </c>
      <c r="C5172" t="s">
        <v>753</v>
      </c>
      <c r="D5172">
        <v>2.5</v>
      </c>
      <c r="E5172" t="s">
        <v>430</v>
      </c>
      <c r="F5172" t="s">
        <v>754</v>
      </c>
      <c r="H5172" t="s">
        <v>4516</v>
      </c>
      <c r="I5172" s="28" t="s">
        <v>26</v>
      </c>
    </row>
    <row r="5173" spans="1:9" x14ac:dyDescent="0.3">
      <c r="A5173" s="26">
        <v>45350</v>
      </c>
      <c r="B5173" t="s">
        <v>1005</v>
      </c>
      <c r="C5173" t="s">
        <v>874</v>
      </c>
      <c r="D5173">
        <v>0.25</v>
      </c>
      <c r="E5173" t="s">
        <v>7</v>
      </c>
      <c r="F5173" t="s">
        <v>772</v>
      </c>
      <c r="G5173" t="s">
        <v>4290</v>
      </c>
      <c r="H5173" t="s">
        <v>4516</v>
      </c>
      <c r="I5173" s="28" t="s">
        <v>26</v>
      </c>
    </row>
    <row r="5174" spans="1:9" x14ac:dyDescent="0.3">
      <c r="A5174" s="26">
        <v>45350</v>
      </c>
      <c r="B5174" t="s">
        <v>1005</v>
      </c>
      <c r="C5174" t="s">
        <v>776</v>
      </c>
      <c r="D5174">
        <v>0.25</v>
      </c>
      <c r="E5174" t="s">
        <v>671</v>
      </c>
      <c r="F5174" t="s">
        <v>754</v>
      </c>
      <c r="H5174" t="s">
        <v>4516</v>
      </c>
      <c r="I5174" s="28" t="s">
        <v>26</v>
      </c>
    </row>
    <row r="5175" spans="1:9" x14ac:dyDescent="0.3">
      <c r="A5175" s="26">
        <v>45350</v>
      </c>
      <c r="B5175" t="s">
        <v>1006</v>
      </c>
      <c r="C5175" t="s">
        <v>909</v>
      </c>
      <c r="D5175">
        <v>0.55000000000000004</v>
      </c>
      <c r="E5175" t="s">
        <v>151</v>
      </c>
      <c r="F5175" t="s">
        <v>754</v>
      </c>
      <c r="G5175" t="s">
        <v>4291</v>
      </c>
      <c r="H5175" t="s">
        <v>4516</v>
      </c>
      <c r="I5175" s="28" t="s">
        <v>26</v>
      </c>
    </row>
    <row r="5176" spans="1:9" x14ac:dyDescent="0.3">
      <c r="A5176" s="26">
        <v>45350</v>
      </c>
      <c r="B5176" t="s">
        <v>1006</v>
      </c>
      <c r="C5176" t="s">
        <v>909</v>
      </c>
      <c r="D5176">
        <v>0.92</v>
      </c>
      <c r="E5176" t="s">
        <v>151</v>
      </c>
      <c r="F5176" t="s">
        <v>754</v>
      </c>
      <c r="G5176" t="s">
        <v>4292</v>
      </c>
      <c r="H5176" t="s">
        <v>4516</v>
      </c>
      <c r="I5176" s="28" t="s">
        <v>26</v>
      </c>
    </row>
    <row r="5177" spans="1:9" x14ac:dyDescent="0.3">
      <c r="A5177" s="26">
        <v>45350</v>
      </c>
      <c r="B5177" t="s">
        <v>1006</v>
      </c>
      <c r="C5177" t="s">
        <v>909</v>
      </c>
      <c r="D5177">
        <v>1.1000000000000001</v>
      </c>
      <c r="E5177" t="s">
        <v>757</v>
      </c>
      <c r="F5177" t="s">
        <v>772</v>
      </c>
      <c r="G5177" t="s">
        <v>4293</v>
      </c>
      <c r="H5177" t="s">
        <v>4516</v>
      </c>
      <c r="I5177" s="28" t="s">
        <v>26</v>
      </c>
    </row>
    <row r="5178" spans="1:9" x14ac:dyDescent="0.3">
      <c r="A5178" s="26">
        <v>45350</v>
      </c>
      <c r="B5178" t="s">
        <v>1006</v>
      </c>
      <c r="C5178" t="s">
        <v>771</v>
      </c>
      <c r="D5178">
        <v>0.88</v>
      </c>
      <c r="E5178" t="s">
        <v>7</v>
      </c>
      <c r="F5178" t="s">
        <v>772</v>
      </c>
      <c r="G5178" t="s">
        <v>4294</v>
      </c>
      <c r="H5178" t="s">
        <v>4516</v>
      </c>
      <c r="I5178" s="28" t="s">
        <v>26</v>
      </c>
    </row>
    <row r="5179" spans="1:9" x14ac:dyDescent="0.3">
      <c r="A5179" s="26">
        <v>45350</v>
      </c>
      <c r="B5179" t="s">
        <v>1006</v>
      </c>
      <c r="C5179" t="s">
        <v>771</v>
      </c>
      <c r="D5179">
        <v>1.1499999999999999</v>
      </c>
      <c r="E5179" t="s">
        <v>7</v>
      </c>
      <c r="F5179" t="s">
        <v>772</v>
      </c>
      <c r="G5179" t="s">
        <v>1010</v>
      </c>
      <c r="H5179" t="s">
        <v>4516</v>
      </c>
      <c r="I5179" s="28" t="s">
        <v>26</v>
      </c>
    </row>
    <row r="5180" spans="1:9" x14ac:dyDescent="0.3">
      <c r="A5180" s="26">
        <v>45350</v>
      </c>
      <c r="B5180" t="s">
        <v>1006</v>
      </c>
      <c r="C5180" t="s">
        <v>874</v>
      </c>
      <c r="D5180">
        <v>0.5</v>
      </c>
      <c r="E5180" t="s">
        <v>7</v>
      </c>
      <c r="F5180" t="s">
        <v>772</v>
      </c>
      <c r="G5180" t="s">
        <v>3064</v>
      </c>
      <c r="H5180" t="s">
        <v>4516</v>
      </c>
      <c r="I5180" s="28" t="s">
        <v>26</v>
      </c>
    </row>
    <row r="5181" spans="1:9" x14ac:dyDescent="0.3">
      <c r="A5181" s="26">
        <v>45350</v>
      </c>
      <c r="B5181" t="s">
        <v>1011</v>
      </c>
      <c r="C5181" t="s">
        <v>753</v>
      </c>
      <c r="D5181">
        <v>0.22</v>
      </c>
      <c r="E5181" t="s">
        <v>589</v>
      </c>
      <c r="F5181" t="s">
        <v>754</v>
      </c>
      <c r="H5181" t="s">
        <v>4516</v>
      </c>
      <c r="I5181" s="28" t="s">
        <v>26</v>
      </c>
    </row>
    <row r="5182" spans="1:9" x14ac:dyDescent="0.3">
      <c r="A5182" s="26">
        <v>45350</v>
      </c>
      <c r="B5182" t="s">
        <v>1011</v>
      </c>
      <c r="C5182" t="s">
        <v>753</v>
      </c>
      <c r="D5182">
        <v>0.38</v>
      </c>
      <c r="E5182" t="s">
        <v>1013</v>
      </c>
      <c r="F5182" t="s">
        <v>754</v>
      </c>
      <c r="G5182" t="s">
        <v>4295</v>
      </c>
      <c r="H5182" t="s">
        <v>4516</v>
      </c>
      <c r="I5182" s="28" t="s">
        <v>26</v>
      </c>
    </row>
    <row r="5183" spans="1:9" x14ac:dyDescent="0.3">
      <c r="A5183" s="26">
        <v>45350</v>
      </c>
      <c r="B5183" t="s">
        <v>1011</v>
      </c>
      <c r="C5183" t="s">
        <v>753</v>
      </c>
      <c r="D5183">
        <v>0.38</v>
      </c>
      <c r="E5183" t="s">
        <v>1013</v>
      </c>
      <c r="F5183" t="s">
        <v>754</v>
      </c>
      <c r="G5183" t="s">
        <v>4296</v>
      </c>
      <c r="H5183" t="s">
        <v>4516</v>
      </c>
      <c r="I5183" s="28" t="s">
        <v>26</v>
      </c>
    </row>
    <row r="5184" spans="1:9" x14ac:dyDescent="0.3">
      <c r="A5184" s="26">
        <v>45350</v>
      </c>
      <c r="B5184" t="s">
        <v>1011</v>
      </c>
      <c r="C5184" t="s">
        <v>753</v>
      </c>
      <c r="D5184">
        <v>0.63</v>
      </c>
      <c r="E5184" t="s">
        <v>1013</v>
      </c>
      <c r="F5184" t="s">
        <v>754</v>
      </c>
      <c r="G5184" t="s">
        <v>4297</v>
      </c>
      <c r="H5184" t="s">
        <v>4516</v>
      </c>
      <c r="I5184" s="28" t="s">
        <v>26</v>
      </c>
    </row>
    <row r="5185" spans="1:9" x14ac:dyDescent="0.3">
      <c r="A5185" s="26">
        <v>45350</v>
      </c>
      <c r="B5185" t="s">
        <v>1011</v>
      </c>
      <c r="C5185" t="s">
        <v>753</v>
      </c>
      <c r="D5185">
        <v>1.1499999999999999</v>
      </c>
      <c r="E5185" t="s">
        <v>1013</v>
      </c>
      <c r="F5185" t="s">
        <v>754</v>
      </c>
      <c r="G5185" t="s">
        <v>1014</v>
      </c>
      <c r="H5185" t="s">
        <v>4516</v>
      </c>
      <c r="I5185" s="28" t="s">
        <v>26</v>
      </c>
    </row>
    <row r="5186" spans="1:9" x14ac:dyDescent="0.3">
      <c r="A5186" s="26">
        <v>45350</v>
      </c>
      <c r="B5186" t="s">
        <v>1011</v>
      </c>
      <c r="C5186" t="s">
        <v>753</v>
      </c>
      <c r="D5186">
        <v>3.87</v>
      </c>
      <c r="E5186" t="s">
        <v>589</v>
      </c>
      <c r="F5186" t="s">
        <v>754</v>
      </c>
      <c r="G5186" t="s">
        <v>4298</v>
      </c>
      <c r="H5186" t="s">
        <v>4516</v>
      </c>
      <c r="I5186" s="28" t="s">
        <v>26</v>
      </c>
    </row>
    <row r="5187" spans="1:9" x14ac:dyDescent="0.3">
      <c r="A5187" s="26">
        <v>45350</v>
      </c>
      <c r="B5187" t="s">
        <v>1011</v>
      </c>
      <c r="C5187" t="s">
        <v>789</v>
      </c>
      <c r="D5187">
        <v>1.02</v>
      </c>
      <c r="E5187" t="s">
        <v>1013</v>
      </c>
      <c r="F5187" t="s">
        <v>754</v>
      </c>
      <c r="G5187" t="s">
        <v>4299</v>
      </c>
      <c r="H5187" t="s">
        <v>4516</v>
      </c>
      <c r="I5187" s="28" t="s">
        <v>26</v>
      </c>
    </row>
    <row r="5188" spans="1:9" x14ac:dyDescent="0.3">
      <c r="A5188" s="26">
        <v>45350</v>
      </c>
      <c r="B5188" t="s">
        <v>1011</v>
      </c>
      <c r="C5188" t="s">
        <v>776</v>
      </c>
      <c r="D5188">
        <v>0.42</v>
      </c>
      <c r="E5188" t="s">
        <v>259</v>
      </c>
      <c r="F5188" t="s">
        <v>754</v>
      </c>
      <c r="G5188" t="s">
        <v>4300</v>
      </c>
      <c r="H5188" t="s">
        <v>4516</v>
      </c>
      <c r="I5188" s="28" t="s">
        <v>26</v>
      </c>
    </row>
    <row r="5189" spans="1:9" x14ac:dyDescent="0.3">
      <c r="A5189" s="26">
        <v>45350</v>
      </c>
      <c r="B5189" t="s">
        <v>1020</v>
      </c>
      <c r="C5189" t="s">
        <v>753</v>
      </c>
      <c r="D5189">
        <v>0.82</v>
      </c>
      <c r="E5189" t="s">
        <v>964</v>
      </c>
      <c r="F5189" t="s">
        <v>754</v>
      </c>
      <c r="G5189" t="s">
        <v>4301</v>
      </c>
      <c r="H5189" t="s">
        <v>4516</v>
      </c>
      <c r="I5189" s="28" t="s">
        <v>26</v>
      </c>
    </row>
    <row r="5190" spans="1:9" x14ac:dyDescent="0.3">
      <c r="A5190" s="26">
        <v>45350</v>
      </c>
      <c r="B5190" t="s">
        <v>1020</v>
      </c>
      <c r="C5190" t="s">
        <v>789</v>
      </c>
      <c r="D5190">
        <v>0.97</v>
      </c>
      <c r="E5190" t="s">
        <v>11</v>
      </c>
      <c r="F5190" t="s">
        <v>754</v>
      </c>
      <c r="G5190" t="s">
        <v>4302</v>
      </c>
      <c r="H5190" t="s">
        <v>4516</v>
      </c>
      <c r="I5190" s="28" t="s">
        <v>26</v>
      </c>
    </row>
    <row r="5191" spans="1:9" x14ac:dyDescent="0.3">
      <c r="A5191" s="26">
        <v>45350</v>
      </c>
      <c r="B5191" t="s">
        <v>1020</v>
      </c>
      <c r="C5191" t="s">
        <v>771</v>
      </c>
      <c r="D5191">
        <v>0.25</v>
      </c>
      <c r="E5191" t="s">
        <v>7</v>
      </c>
      <c r="F5191" t="s">
        <v>772</v>
      </c>
      <c r="G5191" t="s">
        <v>4303</v>
      </c>
      <c r="H5191" t="s">
        <v>4516</v>
      </c>
      <c r="I5191" s="28" t="s">
        <v>26</v>
      </c>
    </row>
    <row r="5192" spans="1:9" x14ac:dyDescent="0.3">
      <c r="A5192" s="26">
        <v>45350</v>
      </c>
      <c r="B5192" t="s">
        <v>1020</v>
      </c>
      <c r="C5192" t="s">
        <v>834</v>
      </c>
      <c r="D5192">
        <v>0.38</v>
      </c>
      <c r="E5192" t="s">
        <v>7</v>
      </c>
      <c r="F5192" t="s">
        <v>772</v>
      </c>
      <c r="G5192" t="s">
        <v>4304</v>
      </c>
      <c r="H5192" t="s">
        <v>4516</v>
      </c>
      <c r="I5192" s="28" t="s">
        <v>26</v>
      </c>
    </row>
    <row r="5193" spans="1:9" x14ac:dyDescent="0.3">
      <c r="A5193" s="26">
        <v>45350</v>
      </c>
      <c r="B5193" t="s">
        <v>1020</v>
      </c>
      <c r="C5193" t="s">
        <v>835</v>
      </c>
      <c r="D5193">
        <v>3.68</v>
      </c>
      <c r="E5193" t="s">
        <v>11</v>
      </c>
      <c r="F5193" t="s">
        <v>754</v>
      </c>
      <c r="H5193" t="s">
        <v>4516</v>
      </c>
      <c r="I5193" s="28" t="s">
        <v>26</v>
      </c>
    </row>
    <row r="5194" spans="1:9" x14ac:dyDescent="0.3">
      <c r="A5194" s="26">
        <v>45350</v>
      </c>
      <c r="B5194" t="s">
        <v>1020</v>
      </c>
      <c r="C5194" t="s">
        <v>776</v>
      </c>
      <c r="D5194">
        <v>0.35</v>
      </c>
      <c r="E5194" t="s">
        <v>664</v>
      </c>
      <c r="F5194" t="s">
        <v>754</v>
      </c>
      <c r="G5194" t="s">
        <v>1697</v>
      </c>
      <c r="H5194" t="s">
        <v>4516</v>
      </c>
      <c r="I5194" s="28" t="s">
        <v>26</v>
      </c>
    </row>
    <row r="5195" spans="1:9" x14ac:dyDescent="0.3">
      <c r="A5195" s="26">
        <v>45350</v>
      </c>
      <c r="B5195" t="s">
        <v>1020</v>
      </c>
      <c r="C5195" t="s">
        <v>776</v>
      </c>
      <c r="D5195">
        <v>2.17</v>
      </c>
      <c r="E5195" t="s">
        <v>11</v>
      </c>
      <c r="F5195" t="s">
        <v>754</v>
      </c>
      <c r="G5195" t="s">
        <v>4305</v>
      </c>
      <c r="H5195" t="s">
        <v>4516</v>
      </c>
      <c r="I5195" s="28" t="s">
        <v>26</v>
      </c>
    </row>
    <row r="5196" spans="1:9" x14ac:dyDescent="0.3">
      <c r="A5196" s="26">
        <v>45350</v>
      </c>
      <c r="B5196" t="s">
        <v>1026</v>
      </c>
      <c r="C5196" t="s">
        <v>771</v>
      </c>
      <c r="D5196">
        <v>1.2</v>
      </c>
      <c r="E5196" t="s">
        <v>7</v>
      </c>
      <c r="F5196" t="s">
        <v>772</v>
      </c>
      <c r="G5196" t="s">
        <v>4306</v>
      </c>
      <c r="H5196" t="s">
        <v>4516</v>
      </c>
      <c r="I5196" s="28" t="s">
        <v>26</v>
      </c>
    </row>
    <row r="5197" spans="1:9" x14ac:dyDescent="0.3">
      <c r="A5197" s="26">
        <v>45350</v>
      </c>
      <c r="B5197" t="s">
        <v>1026</v>
      </c>
      <c r="C5197" t="s">
        <v>771</v>
      </c>
      <c r="D5197">
        <v>1.32</v>
      </c>
      <c r="E5197" t="s">
        <v>7</v>
      </c>
      <c r="F5197" t="s">
        <v>772</v>
      </c>
      <c r="G5197" t="s">
        <v>4307</v>
      </c>
      <c r="H5197" t="s">
        <v>4516</v>
      </c>
      <c r="I5197" s="28" t="s">
        <v>26</v>
      </c>
    </row>
    <row r="5198" spans="1:9" x14ac:dyDescent="0.3">
      <c r="A5198" s="26">
        <v>45350</v>
      </c>
      <c r="B5198" t="s">
        <v>1026</v>
      </c>
      <c r="C5198" t="s">
        <v>771</v>
      </c>
      <c r="D5198">
        <v>1.72</v>
      </c>
      <c r="E5198" t="s">
        <v>7</v>
      </c>
      <c r="F5198" t="s">
        <v>772</v>
      </c>
      <c r="G5198" t="s">
        <v>4308</v>
      </c>
      <c r="H5198" t="s">
        <v>4516</v>
      </c>
      <c r="I5198" s="28" t="s">
        <v>26</v>
      </c>
    </row>
    <row r="5199" spans="1:9" x14ac:dyDescent="0.3">
      <c r="A5199" s="26">
        <v>45350</v>
      </c>
      <c r="B5199" t="s">
        <v>1026</v>
      </c>
      <c r="C5199" t="s">
        <v>771</v>
      </c>
      <c r="D5199">
        <v>1.98</v>
      </c>
      <c r="E5199" t="s">
        <v>7</v>
      </c>
      <c r="F5199" t="s">
        <v>772</v>
      </c>
      <c r="G5199" t="s">
        <v>4309</v>
      </c>
      <c r="H5199" t="s">
        <v>4516</v>
      </c>
      <c r="I5199" s="28" t="s">
        <v>26</v>
      </c>
    </row>
    <row r="5200" spans="1:9" x14ac:dyDescent="0.3">
      <c r="A5200" s="26">
        <v>45350</v>
      </c>
      <c r="B5200" t="s">
        <v>1026</v>
      </c>
      <c r="C5200" t="s">
        <v>942</v>
      </c>
      <c r="D5200">
        <v>0.83</v>
      </c>
      <c r="E5200" t="s">
        <v>7</v>
      </c>
      <c r="F5200" t="s">
        <v>772</v>
      </c>
      <c r="G5200" t="s">
        <v>4310</v>
      </c>
      <c r="H5200" t="s">
        <v>4516</v>
      </c>
      <c r="I5200" s="28" t="s">
        <v>26</v>
      </c>
    </row>
    <row r="5201" spans="1:9" x14ac:dyDescent="0.3">
      <c r="A5201" s="26">
        <v>45350</v>
      </c>
      <c r="B5201" t="s">
        <v>1026</v>
      </c>
      <c r="C5201" t="s">
        <v>874</v>
      </c>
      <c r="D5201">
        <v>0.25</v>
      </c>
      <c r="E5201" t="s">
        <v>7</v>
      </c>
      <c r="F5201" t="s">
        <v>772</v>
      </c>
      <c r="G5201" t="s">
        <v>4311</v>
      </c>
      <c r="H5201" t="s">
        <v>4516</v>
      </c>
      <c r="I5201" s="28" t="s">
        <v>26</v>
      </c>
    </row>
    <row r="5202" spans="1:9" x14ac:dyDescent="0.3">
      <c r="A5202" s="26">
        <v>45350</v>
      </c>
      <c r="B5202" t="s">
        <v>1026</v>
      </c>
      <c r="C5202" t="s">
        <v>874</v>
      </c>
      <c r="D5202">
        <v>0.75</v>
      </c>
      <c r="E5202" t="s">
        <v>7</v>
      </c>
      <c r="F5202" t="s">
        <v>772</v>
      </c>
      <c r="G5202" t="s">
        <v>4312</v>
      </c>
      <c r="H5202" t="s">
        <v>4516</v>
      </c>
      <c r="I5202" s="28" t="s">
        <v>26</v>
      </c>
    </row>
    <row r="5203" spans="1:9" x14ac:dyDescent="0.3">
      <c r="A5203" s="26">
        <v>45350</v>
      </c>
      <c r="B5203" t="s">
        <v>1032</v>
      </c>
      <c r="C5203" t="s">
        <v>753</v>
      </c>
      <c r="D5203">
        <v>7.8</v>
      </c>
      <c r="E5203" t="s">
        <v>790</v>
      </c>
      <c r="F5203" t="s">
        <v>754</v>
      </c>
      <c r="H5203" t="s">
        <v>4516</v>
      </c>
      <c r="I5203" s="28" t="s">
        <v>26</v>
      </c>
    </row>
    <row r="5204" spans="1:9" x14ac:dyDescent="0.3">
      <c r="A5204" s="26">
        <v>45350</v>
      </c>
      <c r="B5204" t="s">
        <v>1032</v>
      </c>
      <c r="C5204" t="s">
        <v>789</v>
      </c>
      <c r="D5204">
        <v>0.25</v>
      </c>
      <c r="E5204" t="s">
        <v>790</v>
      </c>
      <c r="F5204" t="s">
        <v>754</v>
      </c>
      <c r="G5204" t="s">
        <v>4313</v>
      </c>
      <c r="H5204" t="s">
        <v>4516</v>
      </c>
      <c r="I5204" s="28" t="s">
        <v>26</v>
      </c>
    </row>
    <row r="5205" spans="1:9" x14ac:dyDescent="0.3">
      <c r="A5205" s="26">
        <v>45350</v>
      </c>
      <c r="B5205" t="s">
        <v>1034</v>
      </c>
      <c r="C5205" t="s">
        <v>753</v>
      </c>
      <c r="D5205">
        <v>0.27</v>
      </c>
      <c r="E5205" t="s">
        <v>288</v>
      </c>
      <c r="F5205" t="s">
        <v>754</v>
      </c>
      <c r="G5205" t="s">
        <v>4314</v>
      </c>
      <c r="H5205" t="s">
        <v>4516</v>
      </c>
      <c r="I5205" s="28" t="s">
        <v>26</v>
      </c>
    </row>
    <row r="5206" spans="1:9" x14ac:dyDescent="0.3">
      <c r="A5206" s="26">
        <v>45350</v>
      </c>
      <c r="B5206" t="s">
        <v>1034</v>
      </c>
      <c r="C5206" t="s">
        <v>753</v>
      </c>
      <c r="D5206">
        <v>0.47</v>
      </c>
      <c r="E5206" t="s">
        <v>564</v>
      </c>
      <c r="F5206" t="s">
        <v>754</v>
      </c>
      <c r="G5206" t="s">
        <v>4315</v>
      </c>
      <c r="H5206" t="s">
        <v>4516</v>
      </c>
      <c r="I5206" s="28" t="s">
        <v>26</v>
      </c>
    </row>
    <row r="5207" spans="1:9" x14ac:dyDescent="0.3">
      <c r="A5207" s="26">
        <v>45350</v>
      </c>
      <c r="B5207" t="s">
        <v>1034</v>
      </c>
      <c r="C5207" t="s">
        <v>753</v>
      </c>
      <c r="D5207">
        <v>1.3</v>
      </c>
      <c r="E5207" t="s">
        <v>690</v>
      </c>
      <c r="F5207" t="s">
        <v>754</v>
      </c>
      <c r="G5207" t="s">
        <v>4316</v>
      </c>
      <c r="H5207" t="s">
        <v>4516</v>
      </c>
      <c r="I5207" s="28" t="s">
        <v>26</v>
      </c>
    </row>
    <row r="5208" spans="1:9" x14ac:dyDescent="0.3">
      <c r="A5208" s="26">
        <v>45350</v>
      </c>
      <c r="B5208" t="s">
        <v>1034</v>
      </c>
      <c r="C5208" t="s">
        <v>753</v>
      </c>
      <c r="D5208">
        <v>1.55</v>
      </c>
      <c r="E5208" t="s">
        <v>564</v>
      </c>
      <c r="F5208" t="s">
        <v>754</v>
      </c>
      <c r="G5208" t="s">
        <v>4317</v>
      </c>
      <c r="H5208" t="s">
        <v>4516</v>
      </c>
      <c r="I5208" s="28" t="s">
        <v>26</v>
      </c>
    </row>
    <row r="5209" spans="1:9" x14ac:dyDescent="0.3">
      <c r="A5209" s="26">
        <v>45350</v>
      </c>
      <c r="B5209" t="s">
        <v>1034</v>
      </c>
      <c r="C5209" t="s">
        <v>753</v>
      </c>
      <c r="D5209">
        <v>1.62</v>
      </c>
      <c r="E5209" t="s">
        <v>170</v>
      </c>
      <c r="F5209" t="s">
        <v>754</v>
      </c>
      <c r="G5209" t="s">
        <v>4318</v>
      </c>
      <c r="H5209" t="s">
        <v>4516</v>
      </c>
      <c r="I5209" s="28" t="s">
        <v>26</v>
      </c>
    </row>
    <row r="5210" spans="1:9" x14ac:dyDescent="0.3">
      <c r="A5210" s="26">
        <v>45350</v>
      </c>
      <c r="B5210" t="s">
        <v>1034</v>
      </c>
      <c r="C5210" t="s">
        <v>771</v>
      </c>
      <c r="D5210">
        <v>0.37</v>
      </c>
      <c r="E5210" t="s">
        <v>7</v>
      </c>
      <c r="F5210" t="s">
        <v>772</v>
      </c>
      <c r="G5210" t="s">
        <v>4319</v>
      </c>
      <c r="H5210" t="s">
        <v>4516</v>
      </c>
      <c r="I5210" s="28" t="s">
        <v>26</v>
      </c>
    </row>
    <row r="5211" spans="1:9" x14ac:dyDescent="0.3">
      <c r="A5211" s="26">
        <v>45350</v>
      </c>
      <c r="B5211" t="s">
        <v>1034</v>
      </c>
      <c r="C5211" t="s">
        <v>771</v>
      </c>
      <c r="D5211">
        <v>0.43</v>
      </c>
      <c r="E5211" t="s">
        <v>7</v>
      </c>
      <c r="F5211" t="s">
        <v>772</v>
      </c>
      <c r="G5211" t="s">
        <v>4320</v>
      </c>
      <c r="H5211" t="s">
        <v>4516</v>
      </c>
      <c r="I5211" s="28" t="s">
        <v>26</v>
      </c>
    </row>
    <row r="5212" spans="1:9" x14ac:dyDescent="0.3">
      <c r="A5212" s="26">
        <v>45350</v>
      </c>
      <c r="B5212" t="s">
        <v>1034</v>
      </c>
      <c r="C5212" t="s">
        <v>771</v>
      </c>
      <c r="D5212">
        <v>0.5</v>
      </c>
      <c r="E5212" t="s">
        <v>7</v>
      </c>
      <c r="F5212" t="s">
        <v>772</v>
      </c>
      <c r="G5212" t="s">
        <v>820</v>
      </c>
      <c r="H5212" t="s">
        <v>4516</v>
      </c>
      <c r="I5212" s="28" t="s">
        <v>26</v>
      </c>
    </row>
    <row r="5213" spans="1:9" x14ac:dyDescent="0.3">
      <c r="A5213" s="26">
        <v>45350</v>
      </c>
      <c r="B5213" t="s">
        <v>1034</v>
      </c>
      <c r="C5213" t="s">
        <v>916</v>
      </c>
      <c r="D5213">
        <v>0.15</v>
      </c>
      <c r="E5213" t="s">
        <v>1543</v>
      </c>
      <c r="F5213" t="s">
        <v>754</v>
      </c>
      <c r="G5213" t="s">
        <v>4321</v>
      </c>
      <c r="H5213" t="s">
        <v>4516</v>
      </c>
      <c r="I5213" s="28" t="s">
        <v>26</v>
      </c>
    </row>
    <row r="5214" spans="1:9" x14ac:dyDescent="0.3">
      <c r="A5214" s="26">
        <v>45350</v>
      </c>
      <c r="B5214" t="s">
        <v>1034</v>
      </c>
      <c r="C5214" t="s">
        <v>874</v>
      </c>
      <c r="D5214">
        <v>0.3</v>
      </c>
      <c r="E5214" t="s">
        <v>7</v>
      </c>
      <c r="F5214" t="s">
        <v>772</v>
      </c>
      <c r="G5214" t="s">
        <v>1913</v>
      </c>
      <c r="H5214" t="s">
        <v>4516</v>
      </c>
      <c r="I5214" s="28" t="s">
        <v>26</v>
      </c>
    </row>
    <row r="5215" spans="1:9" x14ac:dyDescent="0.3">
      <c r="A5215" s="26">
        <v>45350</v>
      </c>
      <c r="B5215" t="s">
        <v>1034</v>
      </c>
      <c r="C5215" t="s">
        <v>874</v>
      </c>
      <c r="D5215">
        <v>0.42</v>
      </c>
      <c r="E5215" t="s">
        <v>7</v>
      </c>
      <c r="F5215" t="s">
        <v>772</v>
      </c>
      <c r="G5215" t="s">
        <v>4322</v>
      </c>
      <c r="H5215" t="s">
        <v>4516</v>
      </c>
      <c r="I5215" s="28" t="s">
        <v>26</v>
      </c>
    </row>
    <row r="5216" spans="1:9" x14ac:dyDescent="0.3">
      <c r="A5216" s="26">
        <v>45350</v>
      </c>
      <c r="B5216" t="s">
        <v>1034</v>
      </c>
      <c r="C5216" t="s">
        <v>776</v>
      </c>
      <c r="D5216">
        <v>0.22</v>
      </c>
      <c r="E5216" t="s">
        <v>790</v>
      </c>
      <c r="F5216" t="s">
        <v>754</v>
      </c>
      <c r="G5216" t="s">
        <v>4323</v>
      </c>
      <c r="H5216" t="s">
        <v>4516</v>
      </c>
      <c r="I5216" s="28" t="s">
        <v>26</v>
      </c>
    </row>
    <row r="5217" spans="1:9" x14ac:dyDescent="0.3">
      <c r="A5217" s="26">
        <v>45350</v>
      </c>
      <c r="B5217" t="s">
        <v>1034</v>
      </c>
      <c r="C5217" t="s">
        <v>776</v>
      </c>
      <c r="D5217">
        <v>0.52</v>
      </c>
      <c r="E5217" t="s">
        <v>790</v>
      </c>
      <c r="F5217" t="s">
        <v>754</v>
      </c>
      <c r="G5217" t="s">
        <v>4324</v>
      </c>
      <c r="H5217" t="s">
        <v>4516</v>
      </c>
      <c r="I5217" s="28" t="s">
        <v>26</v>
      </c>
    </row>
    <row r="5218" spans="1:9" x14ac:dyDescent="0.3">
      <c r="A5218" s="26">
        <v>45350</v>
      </c>
      <c r="B5218" t="s">
        <v>1043</v>
      </c>
      <c r="C5218" t="s">
        <v>826</v>
      </c>
      <c r="D5218">
        <v>0.8</v>
      </c>
      <c r="E5218" t="s">
        <v>964</v>
      </c>
      <c r="F5218" t="s">
        <v>754</v>
      </c>
      <c r="G5218" t="s">
        <v>4325</v>
      </c>
      <c r="H5218" t="s">
        <v>4516</v>
      </c>
      <c r="I5218" s="28" t="s">
        <v>26</v>
      </c>
    </row>
    <row r="5219" spans="1:9" x14ac:dyDescent="0.3">
      <c r="A5219" s="26">
        <v>45350</v>
      </c>
      <c r="B5219" t="s">
        <v>1049</v>
      </c>
      <c r="C5219" t="s">
        <v>753</v>
      </c>
      <c r="D5219">
        <v>0.1</v>
      </c>
      <c r="E5219" t="s">
        <v>562</v>
      </c>
      <c r="F5219" t="s">
        <v>754</v>
      </c>
      <c r="G5219" t="s">
        <v>1906</v>
      </c>
      <c r="H5219" t="s">
        <v>4516</v>
      </c>
      <c r="I5219" s="28" t="s">
        <v>26</v>
      </c>
    </row>
    <row r="5220" spans="1:9" x14ac:dyDescent="0.3">
      <c r="A5220" s="26">
        <v>45350</v>
      </c>
      <c r="B5220" t="s">
        <v>1049</v>
      </c>
      <c r="C5220" t="s">
        <v>753</v>
      </c>
      <c r="D5220">
        <v>0.22</v>
      </c>
      <c r="E5220" t="s">
        <v>316</v>
      </c>
      <c r="F5220" t="s">
        <v>754</v>
      </c>
      <c r="G5220" t="s">
        <v>1052</v>
      </c>
      <c r="H5220" t="s">
        <v>4516</v>
      </c>
      <c r="I5220" s="28" t="s">
        <v>26</v>
      </c>
    </row>
    <row r="5221" spans="1:9" x14ac:dyDescent="0.3">
      <c r="A5221" s="26">
        <v>45350</v>
      </c>
      <c r="B5221" t="s">
        <v>1049</v>
      </c>
      <c r="C5221" t="s">
        <v>753</v>
      </c>
      <c r="D5221">
        <v>0.25</v>
      </c>
      <c r="E5221" t="s">
        <v>964</v>
      </c>
      <c r="F5221" t="s">
        <v>754</v>
      </c>
      <c r="G5221" t="s">
        <v>4326</v>
      </c>
      <c r="H5221" t="s">
        <v>4516</v>
      </c>
      <c r="I5221" s="28" t="s">
        <v>26</v>
      </c>
    </row>
    <row r="5222" spans="1:9" x14ac:dyDescent="0.3">
      <c r="A5222" s="26">
        <v>45350</v>
      </c>
      <c r="B5222" t="s">
        <v>1049</v>
      </c>
      <c r="C5222" t="s">
        <v>753</v>
      </c>
      <c r="D5222">
        <v>0.32</v>
      </c>
      <c r="E5222" t="s">
        <v>10</v>
      </c>
      <c r="F5222" t="s">
        <v>754</v>
      </c>
      <c r="G5222" t="s">
        <v>4327</v>
      </c>
      <c r="H5222" t="s">
        <v>4516</v>
      </c>
      <c r="I5222" s="28" t="s">
        <v>26</v>
      </c>
    </row>
    <row r="5223" spans="1:9" x14ac:dyDescent="0.3">
      <c r="A5223" s="26">
        <v>45350</v>
      </c>
      <c r="B5223" t="s">
        <v>1049</v>
      </c>
      <c r="C5223" t="s">
        <v>753</v>
      </c>
      <c r="D5223">
        <v>0.62</v>
      </c>
      <c r="E5223" t="s">
        <v>964</v>
      </c>
      <c r="F5223" t="s">
        <v>754</v>
      </c>
      <c r="G5223" t="s">
        <v>4328</v>
      </c>
      <c r="H5223" t="s">
        <v>4516</v>
      </c>
      <c r="I5223" s="28" t="s">
        <v>26</v>
      </c>
    </row>
    <row r="5224" spans="1:9" x14ac:dyDescent="0.3">
      <c r="A5224" s="26">
        <v>45350</v>
      </c>
      <c r="B5224" t="s">
        <v>1049</v>
      </c>
      <c r="C5224" t="s">
        <v>753</v>
      </c>
      <c r="D5224">
        <v>0.7</v>
      </c>
      <c r="E5224" t="s">
        <v>316</v>
      </c>
      <c r="F5224" t="s">
        <v>754</v>
      </c>
      <c r="G5224" t="s">
        <v>4329</v>
      </c>
      <c r="H5224" t="s">
        <v>4516</v>
      </c>
      <c r="I5224" s="28" t="s">
        <v>26</v>
      </c>
    </row>
    <row r="5225" spans="1:9" x14ac:dyDescent="0.3">
      <c r="A5225" s="26">
        <v>45350</v>
      </c>
      <c r="B5225" t="s">
        <v>1049</v>
      </c>
      <c r="C5225" t="s">
        <v>753</v>
      </c>
      <c r="D5225">
        <v>0.75</v>
      </c>
      <c r="E5225" t="s">
        <v>964</v>
      </c>
      <c r="F5225" t="s">
        <v>754</v>
      </c>
      <c r="G5225" t="s">
        <v>1014</v>
      </c>
      <c r="H5225" t="s">
        <v>4516</v>
      </c>
      <c r="I5225" s="28" t="s">
        <v>26</v>
      </c>
    </row>
    <row r="5226" spans="1:9" x14ac:dyDescent="0.3">
      <c r="A5226" s="26">
        <v>45350</v>
      </c>
      <c r="B5226" t="s">
        <v>1049</v>
      </c>
      <c r="C5226" t="s">
        <v>753</v>
      </c>
      <c r="D5226">
        <v>0.82</v>
      </c>
      <c r="E5226" t="s">
        <v>964</v>
      </c>
      <c r="F5226" t="s">
        <v>754</v>
      </c>
      <c r="G5226" t="s">
        <v>4330</v>
      </c>
      <c r="H5226" t="s">
        <v>4516</v>
      </c>
      <c r="I5226" s="28" t="s">
        <v>26</v>
      </c>
    </row>
    <row r="5227" spans="1:9" x14ac:dyDescent="0.3">
      <c r="A5227" s="26">
        <v>45350</v>
      </c>
      <c r="B5227" t="s">
        <v>1049</v>
      </c>
      <c r="C5227" t="s">
        <v>753</v>
      </c>
      <c r="D5227">
        <v>0.92</v>
      </c>
      <c r="E5227" t="s">
        <v>964</v>
      </c>
      <c r="F5227" t="s">
        <v>754</v>
      </c>
      <c r="G5227" t="s">
        <v>4331</v>
      </c>
      <c r="H5227" t="s">
        <v>4516</v>
      </c>
      <c r="I5227" s="28" t="s">
        <v>26</v>
      </c>
    </row>
    <row r="5228" spans="1:9" x14ac:dyDescent="0.3">
      <c r="A5228" s="26">
        <v>45350</v>
      </c>
      <c r="B5228" t="s">
        <v>1049</v>
      </c>
      <c r="C5228" t="s">
        <v>753</v>
      </c>
      <c r="D5228">
        <v>1.18</v>
      </c>
      <c r="E5228" t="s">
        <v>964</v>
      </c>
      <c r="F5228" t="s">
        <v>754</v>
      </c>
      <c r="G5228" t="s">
        <v>1707</v>
      </c>
      <c r="H5228" t="s">
        <v>4516</v>
      </c>
      <c r="I5228" s="28" t="s">
        <v>26</v>
      </c>
    </row>
    <row r="5229" spans="1:9" x14ac:dyDescent="0.3">
      <c r="A5229" s="26">
        <v>45350</v>
      </c>
      <c r="B5229" t="s">
        <v>1049</v>
      </c>
      <c r="C5229" t="s">
        <v>771</v>
      </c>
      <c r="D5229">
        <v>0.5</v>
      </c>
      <c r="E5229" t="s">
        <v>7</v>
      </c>
      <c r="F5229" t="s">
        <v>772</v>
      </c>
      <c r="G5229" t="s">
        <v>1058</v>
      </c>
      <c r="H5229" t="s">
        <v>4516</v>
      </c>
      <c r="I5229" s="28" t="s">
        <v>26</v>
      </c>
    </row>
    <row r="5230" spans="1:9" x14ac:dyDescent="0.3">
      <c r="A5230" s="26">
        <v>45350</v>
      </c>
      <c r="B5230" t="s">
        <v>1049</v>
      </c>
      <c r="C5230" t="s">
        <v>916</v>
      </c>
      <c r="D5230">
        <v>0.37</v>
      </c>
      <c r="E5230" t="s">
        <v>10</v>
      </c>
      <c r="F5230" t="s">
        <v>754</v>
      </c>
      <c r="G5230" t="s">
        <v>4332</v>
      </c>
      <c r="H5230" t="s">
        <v>4516</v>
      </c>
      <c r="I5230" s="28" t="s">
        <v>26</v>
      </c>
    </row>
    <row r="5231" spans="1:9" x14ac:dyDescent="0.3">
      <c r="A5231" s="26">
        <v>45350</v>
      </c>
      <c r="B5231" t="s">
        <v>1049</v>
      </c>
      <c r="C5231" t="s">
        <v>776</v>
      </c>
      <c r="D5231">
        <v>0.1</v>
      </c>
      <c r="E5231" t="s">
        <v>1069</v>
      </c>
      <c r="F5231" t="s">
        <v>754</v>
      </c>
      <c r="G5231" t="s">
        <v>4333</v>
      </c>
      <c r="H5231" t="s">
        <v>4516</v>
      </c>
      <c r="I5231" s="28" t="s">
        <v>26</v>
      </c>
    </row>
    <row r="5232" spans="1:9" x14ac:dyDescent="0.3">
      <c r="A5232" s="26">
        <v>45350</v>
      </c>
      <c r="B5232" t="s">
        <v>1049</v>
      </c>
      <c r="C5232" t="s">
        <v>776</v>
      </c>
      <c r="D5232">
        <v>0.12</v>
      </c>
      <c r="E5232" t="s">
        <v>813</v>
      </c>
      <c r="F5232" t="s">
        <v>754</v>
      </c>
      <c r="G5232" t="s">
        <v>4334</v>
      </c>
      <c r="H5232" t="s">
        <v>4516</v>
      </c>
      <c r="I5232" s="28" t="s">
        <v>26</v>
      </c>
    </row>
    <row r="5233" spans="1:9" x14ac:dyDescent="0.3">
      <c r="A5233" s="26">
        <v>45350</v>
      </c>
      <c r="B5233" t="s">
        <v>1049</v>
      </c>
      <c r="C5233" t="s">
        <v>776</v>
      </c>
      <c r="D5233">
        <v>0.2</v>
      </c>
      <c r="E5233" t="s">
        <v>815</v>
      </c>
      <c r="F5233" t="s">
        <v>754</v>
      </c>
      <c r="G5233" t="s">
        <v>4335</v>
      </c>
      <c r="H5233" t="s">
        <v>4516</v>
      </c>
      <c r="I5233" s="28" t="s">
        <v>26</v>
      </c>
    </row>
    <row r="5234" spans="1:9" x14ac:dyDescent="0.3">
      <c r="A5234" s="26">
        <v>45350</v>
      </c>
      <c r="B5234" t="s">
        <v>1049</v>
      </c>
      <c r="C5234" t="s">
        <v>776</v>
      </c>
      <c r="D5234">
        <v>0.25</v>
      </c>
      <c r="E5234" t="s">
        <v>811</v>
      </c>
      <c r="F5234" t="s">
        <v>754</v>
      </c>
      <c r="G5234" t="s">
        <v>4336</v>
      </c>
      <c r="H5234" t="s">
        <v>4516</v>
      </c>
      <c r="I5234" s="28" t="s">
        <v>26</v>
      </c>
    </row>
    <row r="5235" spans="1:9" x14ac:dyDescent="0.3">
      <c r="A5235" s="26">
        <v>45350</v>
      </c>
      <c r="B5235" t="s">
        <v>1049</v>
      </c>
      <c r="C5235" t="s">
        <v>776</v>
      </c>
      <c r="D5235">
        <v>0.67</v>
      </c>
      <c r="E5235" t="s">
        <v>1273</v>
      </c>
      <c r="F5235" t="s">
        <v>754</v>
      </c>
      <c r="G5235" t="s">
        <v>1916</v>
      </c>
      <c r="H5235" t="s">
        <v>4516</v>
      </c>
      <c r="I5235" s="28" t="s">
        <v>26</v>
      </c>
    </row>
    <row r="5236" spans="1:9" x14ac:dyDescent="0.3">
      <c r="A5236" s="26">
        <v>45350</v>
      </c>
      <c r="B5236" t="s">
        <v>1060</v>
      </c>
      <c r="C5236" t="s">
        <v>909</v>
      </c>
      <c r="D5236">
        <v>0.5</v>
      </c>
      <c r="E5236" t="s">
        <v>2604</v>
      </c>
      <c r="F5236" t="s">
        <v>772</v>
      </c>
      <c r="G5236" t="s">
        <v>4337</v>
      </c>
      <c r="H5236" t="s">
        <v>4516</v>
      </c>
      <c r="I5236" s="28" t="s">
        <v>26</v>
      </c>
    </row>
    <row r="5237" spans="1:9" x14ac:dyDescent="0.3">
      <c r="A5237" s="26">
        <v>45350</v>
      </c>
      <c r="B5237" t="s">
        <v>1060</v>
      </c>
      <c r="C5237" t="s">
        <v>909</v>
      </c>
      <c r="D5237">
        <v>0.5</v>
      </c>
      <c r="E5237" t="s">
        <v>2604</v>
      </c>
      <c r="F5237" t="s">
        <v>754</v>
      </c>
      <c r="G5237" t="s">
        <v>4338</v>
      </c>
      <c r="H5237" t="s">
        <v>4516</v>
      </c>
      <c r="I5237" s="28" t="s">
        <v>26</v>
      </c>
    </row>
    <row r="5238" spans="1:9" x14ac:dyDescent="0.3">
      <c r="A5238" s="26">
        <v>45350</v>
      </c>
      <c r="B5238" t="s">
        <v>1060</v>
      </c>
      <c r="C5238" t="s">
        <v>909</v>
      </c>
      <c r="D5238">
        <v>0.5</v>
      </c>
      <c r="E5238" t="s">
        <v>375</v>
      </c>
      <c r="F5238" t="s">
        <v>754</v>
      </c>
      <c r="G5238" t="s">
        <v>4339</v>
      </c>
      <c r="H5238" t="s">
        <v>4516</v>
      </c>
      <c r="I5238" s="28" t="s">
        <v>26</v>
      </c>
    </row>
    <row r="5239" spans="1:9" x14ac:dyDescent="0.3">
      <c r="A5239" s="26">
        <v>45350</v>
      </c>
      <c r="B5239" t="s">
        <v>1060</v>
      </c>
      <c r="C5239" t="s">
        <v>909</v>
      </c>
      <c r="D5239">
        <v>0.5</v>
      </c>
      <c r="E5239" t="s">
        <v>563</v>
      </c>
      <c r="F5239" t="s">
        <v>754</v>
      </c>
      <c r="G5239" t="s">
        <v>4340</v>
      </c>
      <c r="H5239" t="s">
        <v>4516</v>
      </c>
      <c r="I5239" s="28" t="s">
        <v>26</v>
      </c>
    </row>
    <row r="5240" spans="1:9" x14ac:dyDescent="0.3">
      <c r="A5240" s="26">
        <v>45350</v>
      </c>
      <c r="B5240" t="s">
        <v>1060</v>
      </c>
      <c r="C5240" t="s">
        <v>909</v>
      </c>
      <c r="D5240">
        <v>0.5</v>
      </c>
      <c r="E5240" t="s">
        <v>623</v>
      </c>
      <c r="F5240" t="s">
        <v>754</v>
      </c>
      <c r="G5240" t="s">
        <v>4341</v>
      </c>
      <c r="H5240" t="s">
        <v>4516</v>
      </c>
      <c r="I5240" s="28" t="s">
        <v>26</v>
      </c>
    </row>
    <row r="5241" spans="1:9" x14ac:dyDescent="0.3">
      <c r="A5241" s="26">
        <v>45350</v>
      </c>
      <c r="B5241" t="s">
        <v>1060</v>
      </c>
      <c r="C5241" t="s">
        <v>909</v>
      </c>
      <c r="D5241">
        <v>1</v>
      </c>
      <c r="E5241" t="s">
        <v>316</v>
      </c>
      <c r="F5241" t="s">
        <v>754</v>
      </c>
      <c r="G5241" t="s">
        <v>4342</v>
      </c>
      <c r="H5241" t="s">
        <v>4516</v>
      </c>
      <c r="I5241" s="28" t="s">
        <v>26</v>
      </c>
    </row>
    <row r="5242" spans="1:9" x14ac:dyDescent="0.3">
      <c r="A5242" s="26">
        <v>45350</v>
      </c>
      <c r="B5242" t="s">
        <v>1060</v>
      </c>
      <c r="C5242" t="s">
        <v>771</v>
      </c>
      <c r="D5242">
        <v>1</v>
      </c>
      <c r="E5242" t="s">
        <v>7</v>
      </c>
      <c r="F5242" t="s">
        <v>772</v>
      </c>
      <c r="G5242" t="s">
        <v>4343</v>
      </c>
      <c r="H5242" t="s">
        <v>4516</v>
      </c>
      <c r="I5242" s="28" t="s">
        <v>26</v>
      </c>
    </row>
    <row r="5243" spans="1:9" x14ac:dyDescent="0.3">
      <c r="A5243" s="26">
        <v>45350</v>
      </c>
      <c r="B5243" t="s">
        <v>1060</v>
      </c>
      <c r="C5243" t="s">
        <v>771</v>
      </c>
      <c r="D5243">
        <v>1.5</v>
      </c>
      <c r="E5243" t="s">
        <v>7</v>
      </c>
      <c r="F5243" t="s">
        <v>772</v>
      </c>
      <c r="G5243" t="s">
        <v>4344</v>
      </c>
      <c r="H5243" t="s">
        <v>4516</v>
      </c>
      <c r="I5243" s="28" t="s">
        <v>26</v>
      </c>
    </row>
    <row r="5244" spans="1:9" x14ac:dyDescent="0.3">
      <c r="A5244" s="26">
        <v>45350</v>
      </c>
      <c r="B5244" t="s">
        <v>1060</v>
      </c>
      <c r="C5244" t="s">
        <v>916</v>
      </c>
      <c r="D5244">
        <v>0.33</v>
      </c>
      <c r="E5244" t="s">
        <v>1013</v>
      </c>
      <c r="F5244" t="s">
        <v>754</v>
      </c>
      <c r="G5244" t="s">
        <v>1071</v>
      </c>
      <c r="H5244" t="s">
        <v>4516</v>
      </c>
      <c r="I5244" s="28" t="s">
        <v>26</v>
      </c>
    </row>
    <row r="5245" spans="1:9" x14ac:dyDescent="0.3">
      <c r="A5245" s="26">
        <v>45350</v>
      </c>
      <c r="B5245" t="s">
        <v>1060</v>
      </c>
      <c r="C5245" t="s">
        <v>916</v>
      </c>
      <c r="D5245">
        <v>0.33</v>
      </c>
      <c r="E5245" t="s">
        <v>815</v>
      </c>
      <c r="F5245" t="s">
        <v>754</v>
      </c>
      <c r="G5245" t="s">
        <v>1071</v>
      </c>
      <c r="H5245" t="s">
        <v>4516</v>
      </c>
      <c r="I5245" s="28" t="s">
        <v>26</v>
      </c>
    </row>
    <row r="5246" spans="1:9" x14ac:dyDescent="0.3">
      <c r="A5246" s="26">
        <v>45350</v>
      </c>
      <c r="B5246" t="s">
        <v>1060</v>
      </c>
      <c r="C5246" t="s">
        <v>916</v>
      </c>
      <c r="D5246">
        <v>0.5</v>
      </c>
      <c r="E5246" t="s">
        <v>811</v>
      </c>
      <c r="F5246" t="s">
        <v>754</v>
      </c>
      <c r="G5246" t="s">
        <v>4345</v>
      </c>
      <c r="H5246" t="s">
        <v>4516</v>
      </c>
      <c r="I5246" s="28" t="s">
        <v>26</v>
      </c>
    </row>
    <row r="5247" spans="1:9" x14ac:dyDescent="0.3">
      <c r="A5247" s="26">
        <v>45350</v>
      </c>
      <c r="B5247" t="s">
        <v>1060</v>
      </c>
      <c r="C5247" t="s">
        <v>916</v>
      </c>
      <c r="D5247">
        <v>0.5</v>
      </c>
      <c r="E5247" t="s">
        <v>516</v>
      </c>
      <c r="F5247" t="s">
        <v>754</v>
      </c>
      <c r="G5247" t="s">
        <v>4346</v>
      </c>
      <c r="H5247" t="s">
        <v>4516</v>
      </c>
      <c r="I5247" s="28" t="s">
        <v>26</v>
      </c>
    </row>
    <row r="5248" spans="1:9" x14ac:dyDescent="0.3">
      <c r="A5248" s="26">
        <v>45350</v>
      </c>
      <c r="B5248" t="s">
        <v>2945</v>
      </c>
      <c r="C5248" t="s">
        <v>771</v>
      </c>
      <c r="D5248">
        <v>8.1</v>
      </c>
      <c r="E5248" t="s">
        <v>7</v>
      </c>
      <c r="F5248" t="s">
        <v>772</v>
      </c>
      <c r="G5248" t="s">
        <v>4184</v>
      </c>
      <c r="H5248" t="s">
        <v>4516</v>
      </c>
      <c r="I5248" s="28" t="s">
        <v>26</v>
      </c>
    </row>
    <row r="5249" spans="1:9" x14ac:dyDescent="0.3">
      <c r="A5249" s="26">
        <v>45350</v>
      </c>
      <c r="B5249" t="s">
        <v>1074</v>
      </c>
      <c r="C5249" t="s">
        <v>753</v>
      </c>
      <c r="D5249">
        <v>0.1</v>
      </c>
      <c r="E5249" t="s">
        <v>964</v>
      </c>
      <c r="F5249" t="s">
        <v>754</v>
      </c>
      <c r="G5249" t="s">
        <v>4347</v>
      </c>
      <c r="H5249" t="s">
        <v>4516</v>
      </c>
      <c r="I5249" s="28" t="s">
        <v>26</v>
      </c>
    </row>
    <row r="5250" spans="1:9" x14ac:dyDescent="0.3">
      <c r="A5250" s="26">
        <v>45350</v>
      </c>
      <c r="B5250" t="s">
        <v>1074</v>
      </c>
      <c r="C5250" t="s">
        <v>753</v>
      </c>
      <c r="D5250">
        <v>0.3</v>
      </c>
      <c r="E5250" t="s">
        <v>964</v>
      </c>
      <c r="F5250" t="s">
        <v>754</v>
      </c>
      <c r="G5250" t="s">
        <v>4348</v>
      </c>
      <c r="H5250" t="s">
        <v>4516</v>
      </c>
      <c r="I5250" s="28" t="s">
        <v>26</v>
      </c>
    </row>
    <row r="5251" spans="1:9" x14ac:dyDescent="0.3">
      <c r="A5251" s="26">
        <v>45350</v>
      </c>
      <c r="B5251" t="s">
        <v>1074</v>
      </c>
      <c r="C5251" t="s">
        <v>753</v>
      </c>
      <c r="D5251">
        <v>1</v>
      </c>
      <c r="E5251" t="s">
        <v>964</v>
      </c>
      <c r="F5251" t="s">
        <v>754</v>
      </c>
      <c r="G5251" t="s">
        <v>4349</v>
      </c>
      <c r="H5251" t="s">
        <v>4516</v>
      </c>
      <c r="I5251" s="28" t="s">
        <v>26</v>
      </c>
    </row>
    <row r="5252" spans="1:9" x14ac:dyDescent="0.3">
      <c r="A5252" s="26">
        <v>45350</v>
      </c>
      <c r="B5252" t="s">
        <v>1074</v>
      </c>
      <c r="C5252" t="s">
        <v>804</v>
      </c>
      <c r="D5252">
        <v>1.5</v>
      </c>
      <c r="E5252" t="s">
        <v>2261</v>
      </c>
      <c r="F5252" t="s">
        <v>772</v>
      </c>
      <c r="G5252" t="s">
        <v>4350</v>
      </c>
      <c r="H5252" t="s">
        <v>4516</v>
      </c>
      <c r="I5252" s="28" t="s">
        <v>26</v>
      </c>
    </row>
    <row r="5253" spans="1:9" x14ac:dyDescent="0.3">
      <c r="A5253" s="26">
        <v>45350</v>
      </c>
      <c r="B5253" t="s">
        <v>1074</v>
      </c>
      <c r="C5253" t="s">
        <v>909</v>
      </c>
      <c r="D5253">
        <v>0.5</v>
      </c>
      <c r="E5253" t="s">
        <v>964</v>
      </c>
      <c r="F5253" t="s">
        <v>754</v>
      </c>
      <c r="G5253" t="s">
        <v>4351</v>
      </c>
      <c r="H5253" t="s">
        <v>4516</v>
      </c>
      <c r="I5253" s="28" t="s">
        <v>26</v>
      </c>
    </row>
    <row r="5254" spans="1:9" x14ac:dyDescent="0.3">
      <c r="A5254" s="26">
        <v>45350</v>
      </c>
      <c r="B5254" t="s">
        <v>1074</v>
      </c>
      <c r="C5254" t="s">
        <v>909</v>
      </c>
      <c r="D5254">
        <v>0.7</v>
      </c>
      <c r="E5254" t="s">
        <v>964</v>
      </c>
      <c r="F5254" t="s">
        <v>754</v>
      </c>
      <c r="G5254" t="s">
        <v>3274</v>
      </c>
      <c r="H5254" t="s">
        <v>4516</v>
      </c>
      <c r="I5254" s="28" t="s">
        <v>26</v>
      </c>
    </row>
    <row r="5255" spans="1:9" x14ac:dyDescent="0.3">
      <c r="A5255" s="26">
        <v>45350</v>
      </c>
      <c r="B5255" t="s">
        <v>1074</v>
      </c>
      <c r="C5255" t="s">
        <v>909</v>
      </c>
      <c r="D5255">
        <v>0.8</v>
      </c>
      <c r="E5255" t="s">
        <v>1096</v>
      </c>
      <c r="F5255" t="s">
        <v>754</v>
      </c>
      <c r="G5255" t="s">
        <v>4352</v>
      </c>
      <c r="H5255" t="s">
        <v>4516</v>
      </c>
      <c r="I5255" s="28" t="s">
        <v>26</v>
      </c>
    </row>
    <row r="5256" spans="1:9" x14ac:dyDescent="0.3">
      <c r="A5256" s="26">
        <v>45350</v>
      </c>
      <c r="B5256" t="s">
        <v>1074</v>
      </c>
      <c r="C5256" t="s">
        <v>1973</v>
      </c>
      <c r="D5256">
        <v>0.2</v>
      </c>
      <c r="E5256" t="s">
        <v>336</v>
      </c>
      <c r="F5256" t="s">
        <v>754</v>
      </c>
      <c r="G5256" t="s">
        <v>4353</v>
      </c>
      <c r="H5256" t="s">
        <v>4516</v>
      </c>
      <c r="I5256" s="28" t="s">
        <v>26</v>
      </c>
    </row>
    <row r="5257" spans="1:9" x14ac:dyDescent="0.3">
      <c r="A5257" s="26">
        <v>45350</v>
      </c>
      <c r="B5257" t="s">
        <v>1074</v>
      </c>
      <c r="C5257" t="s">
        <v>771</v>
      </c>
      <c r="D5257">
        <v>0.8</v>
      </c>
      <c r="E5257" t="s">
        <v>7</v>
      </c>
      <c r="F5257" t="s">
        <v>772</v>
      </c>
      <c r="G5257" t="s">
        <v>4354</v>
      </c>
      <c r="H5257" t="s">
        <v>4516</v>
      </c>
      <c r="I5257" s="28" t="s">
        <v>26</v>
      </c>
    </row>
    <row r="5258" spans="1:9" x14ac:dyDescent="0.3">
      <c r="A5258" s="26">
        <v>45350</v>
      </c>
      <c r="B5258" t="s">
        <v>1074</v>
      </c>
      <c r="C5258" t="s">
        <v>835</v>
      </c>
      <c r="D5258">
        <v>2.2999999999999998</v>
      </c>
      <c r="E5258" t="s">
        <v>964</v>
      </c>
      <c r="F5258" t="s">
        <v>754</v>
      </c>
      <c r="G5258" t="s">
        <v>4355</v>
      </c>
      <c r="H5258" t="s">
        <v>4516</v>
      </c>
      <c r="I5258" s="28" t="s">
        <v>26</v>
      </c>
    </row>
    <row r="5259" spans="1:9" x14ac:dyDescent="0.3">
      <c r="A5259" s="26">
        <v>45350</v>
      </c>
      <c r="B5259" t="s">
        <v>1081</v>
      </c>
      <c r="C5259" t="s">
        <v>771</v>
      </c>
      <c r="D5259">
        <v>8</v>
      </c>
      <c r="E5259" t="s">
        <v>7</v>
      </c>
      <c r="F5259" t="s">
        <v>772</v>
      </c>
      <c r="G5259" t="e">
        <f>- finalize venue for Team dinner - communicate to Team the dinner details - finalize JO for AP Specialist - endorse candidate for payroll Specialist - coordinate interview sched of payroll Specialist - respond to email/queries</f>
        <v>#NAME?</v>
      </c>
      <c r="H5259" t="s">
        <v>4516</v>
      </c>
      <c r="I5259" s="28" t="s">
        <v>26</v>
      </c>
    </row>
    <row r="5260" spans="1:9" x14ac:dyDescent="0.3">
      <c r="A5260" s="26">
        <v>45351</v>
      </c>
      <c r="B5260" t="s">
        <v>752</v>
      </c>
      <c r="C5260" t="s">
        <v>753</v>
      </c>
      <c r="D5260">
        <v>0.05</v>
      </c>
      <c r="E5260" t="s">
        <v>430</v>
      </c>
      <c r="F5260" t="s">
        <v>754</v>
      </c>
      <c r="G5260" t="s">
        <v>758</v>
      </c>
      <c r="H5260" t="s">
        <v>4516</v>
      </c>
      <c r="I5260" s="28" t="s">
        <v>27</v>
      </c>
    </row>
    <row r="5261" spans="1:9" x14ac:dyDescent="0.3">
      <c r="A5261" s="26">
        <v>45351</v>
      </c>
      <c r="B5261" t="s">
        <v>752</v>
      </c>
      <c r="C5261" t="s">
        <v>753</v>
      </c>
      <c r="D5261">
        <v>0.1</v>
      </c>
      <c r="E5261" t="s">
        <v>430</v>
      </c>
      <c r="F5261" t="s">
        <v>754</v>
      </c>
      <c r="G5261" t="s">
        <v>2407</v>
      </c>
      <c r="H5261" t="s">
        <v>4516</v>
      </c>
      <c r="I5261" s="28" t="s">
        <v>27</v>
      </c>
    </row>
    <row r="5262" spans="1:9" x14ac:dyDescent="0.3">
      <c r="A5262" s="26">
        <v>45351</v>
      </c>
      <c r="B5262" t="s">
        <v>752</v>
      </c>
      <c r="C5262" t="s">
        <v>753</v>
      </c>
      <c r="D5262">
        <v>0.1</v>
      </c>
      <c r="E5262" t="s">
        <v>630</v>
      </c>
      <c r="F5262" t="s">
        <v>754</v>
      </c>
      <c r="G5262" t="s">
        <v>758</v>
      </c>
      <c r="H5262" t="s">
        <v>4516</v>
      </c>
      <c r="I5262" s="28" t="s">
        <v>27</v>
      </c>
    </row>
    <row r="5263" spans="1:9" x14ac:dyDescent="0.3">
      <c r="A5263" s="26">
        <v>45351</v>
      </c>
      <c r="B5263" t="s">
        <v>752</v>
      </c>
      <c r="C5263" t="s">
        <v>753</v>
      </c>
      <c r="D5263">
        <v>0.1</v>
      </c>
      <c r="E5263" t="s">
        <v>664</v>
      </c>
      <c r="F5263" t="s">
        <v>754</v>
      </c>
      <c r="G5263" t="s">
        <v>761</v>
      </c>
      <c r="H5263" t="s">
        <v>4516</v>
      </c>
      <c r="I5263" s="28" t="s">
        <v>27</v>
      </c>
    </row>
    <row r="5264" spans="1:9" x14ac:dyDescent="0.3">
      <c r="A5264" s="26">
        <v>45351</v>
      </c>
      <c r="B5264" t="s">
        <v>752</v>
      </c>
      <c r="C5264" t="s">
        <v>753</v>
      </c>
      <c r="D5264">
        <v>0.18</v>
      </c>
      <c r="E5264" t="s">
        <v>770</v>
      </c>
      <c r="F5264" t="s">
        <v>754</v>
      </c>
      <c r="G5264" t="s">
        <v>765</v>
      </c>
      <c r="H5264" t="s">
        <v>4516</v>
      </c>
      <c r="I5264" s="28" t="s">
        <v>27</v>
      </c>
    </row>
    <row r="5265" spans="1:9" x14ac:dyDescent="0.3">
      <c r="A5265" s="26">
        <v>45351</v>
      </c>
      <c r="B5265" t="s">
        <v>752</v>
      </c>
      <c r="C5265" t="s">
        <v>753</v>
      </c>
      <c r="D5265">
        <v>0.2</v>
      </c>
      <c r="E5265" t="s">
        <v>757</v>
      </c>
      <c r="F5265" t="s">
        <v>754</v>
      </c>
      <c r="G5265" t="s">
        <v>768</v>
      </c>
      <c r="H5265" t="s">
        <v>4516</v>
      </c>
      <c r="I5265" s="28" t="s">
        <v>27</v>
      </c>
    </row>
    <row r="5266" spans="1:9" x14ac:dyDescent="0.3">
      <c r="A5266" s="26">
        <v>45351</v>
      </c>
      <c r="B5266" t="s">
        <v>752</v>
      </c>
      <c r="C5266" t="s">
        <v>753</v>
      </c>
      <c r="D5266">
        <v>0.23</v>
      </c>
      <c r="E5266" t="s">
        <v>630</v>
      </c>
      <c r="F5266" t="s">
        <v>754</v>
      </c>
      <c r="G5266" t="s">
        <v>769</v>
      </c>
      <c r="H5266" t="s">
        <v>4516</v>
      </c>
      <c r="I5266" s="28" t="s">
        <v>27</v>
      </c>
    </row>
    <row r="5267" spans="1:9" x14ac:dyDescent="0.3">
      <c r="A5267" s="26">
        <v>45351</v>
      </c>
      <c r="B5267" t="s">
        <v>752</v>
      </c>
      <c r="C5267" t="s">
        <v>753</v>
      </c>
      <c r="D5267">
        <v>0.28000000000000003</v>
      </c>
      <c r="E5267" t="s">
        <v>602</v>
      </c>
      <c r="F5267" t="s">
        <v>754</v>
      </c>
      <c r="G5267" t="s">
        <v>766</v>
      </c>
      <c r="H5267" t="s">
        <v>4516</v>
      </c>
      <c r="I5267" s="28" t="s">
        <v>27</v>
      </c>
    </row>
    <row r="5268" spans="1:9" x14ac:dyDescent="0.3">
      <c r="A5268" s="26">
        <v>45351</v>
      </c>
      <c r="B5268" t="s">
        <v>752</v>
      </c>
      <c r="C5268" t="s">
        <v>753</v>
      </c>
      <c r="D5268">
        <v>0.32</v>
      </c>
      <c r="E5268" t="s">
        <v>561</v>
      </c>
      <c r="F5268" t="s">
        <v>754</v>
      </c>
      <c r="G5268" t="s">
        <v>4356</v>
      </c>
      <c r="H5268" t="s">
        <v>4516</v>
      </c>
      <c r="I5268" s="28" t="s">
        <v>27</v>
      </c>
    </row>
    <row r="5269" spans="1:9" x14ac:dyDescent="0.3">
      <c r="A5269" s="26">
        <v>45351</v>
      </c>
      <c r="B5269" t="s">
        <v>752</v>
      </c>
      <c r="C5269" t="s">
        <v>753</v>
      </c>
      <c r="D5269">
        <v>0.35</v>
      </c>
      <c r="E5269" t="s">
        <v>767</v>
      </c>
      <c r="F5269" t="s">
        <v>754</v>
      </c>
      <c r="G5269" t="s">
        <v>765</v>
      </c>
      <c r="H5269" t="s">
        <v>4516</v>
      </c>
      <c r="I5269" s="28" t="s">
        <v>27</v>
      </c>
    </row>
    <row r="5270" spans="1:9" x14ac:dyDescent="0.3">
      <c r="A5270" s="26">
        <v>45351</v>
      </c>
      <c r="B5270" t="s">
        <v>752</v>
      </c>
      <c r="C5270" t="s">
        <v>753</v>
      </c>
      <c r="D5270">
        <v>0.48</v>
      </c>
      <c r="E5270" t="s">
        <v>664</v>
      </c>
      <c r="F5270" t="s">
        <v>754</v>
      </c>
      <c r="G5270" t="s">
        <v>4357</v>
      </c>
      <c r="H5270" t="s">
        <v>4516</v>
      </c>
      <c r="I5270" s="28" t="s">
        <v>27</v>
      </c>
    </row>
    <row r="5271" spans="1:9" x14ac:dyDescent="0.3">
      <c r="A5271" s="26">
        <v>45351</v>
      </c>
      <c r="B5271" t="s">
        <v>752</v>
      </c>
      <c r="C5271" t="s">
        <v>753</v>
      </c>
      <c r="D5271">
        <v>0.75</v>
      </c>
      <c r="E5271" t="s">
        <v>561</v>
      </c>
      <c r="F5271" t="s">
        <v>754</v>
      </c>
      <c r="G5271" t="s">
        <v>769</v>
      </c>
      <c r="H5271" t="s">
        <v>4516</v>
      </c>
      <c r="I5271" s="28" t="s">
        <v>27</v>
      </c>
    </row>
    <row r="5272" spans="1:9" x14ac:dyDescent="0.3">
      <c r="A5272" s="26">
        <v>45351</v>
      </c>
      <c r="B5272" t="s">
        <v>752</v>
      </c>
      <c r="C5272" t="s">
        <v>753</v>
      </c>
      <c r="D5272">
        <v>0.85</v>
      </c>
      <c r="E5272" t="s">
        <v>664</v>
      </c>
      <c r="F5272" t="s">
        <v>754</v>
      </c>
      <c r="G5272" t="s">
        <v>4358</v>
      </c>
      <c r="H5272" t="s">
        <v>4516</v>
      </c>
      <c r="I5272" s="28" t="s">
        <v>27</v>
      </c>
    </row>
    <row r="5273" spans="1:9" x14ac:dyDescent="0.3">
      <c r="A5273" s="26">
        <v>45351</v>
      </c>
      <c r="B5273" t="s">
        <v>752</v>
      </c>
      <c r="C5273" t="s">
        <v>753</v>
      </c>
      <c r="D5273">
        <v>0.98</v>
      </c>
      <c r="E5273" t="s">
        <v>602</v>
      </c>
      <c r="F5273" t="s">
        <v>754</v>
      </c>
      <c r="G5273" t="s">
        <v>769</v>
      </c>
      <c r="H5273" t="s">
        <v>4516</v>
      </c>
      <c r="I5273" s="28" t="s">
        <v>27</v>
      </c>
    </row>
    <row r="5274" spans="1:9" x14ac:dyDescent="0.3">
      <c r="A5274" s="26">
        <v>45351</v>
      </c>
      <c r="B5274" t="s">
        <v>752</v>
      </c>
      <c r="C5274" t="s">
        <v>753</v>
      </c>
      <c r="D5274">
        <v>1.7</v>
      </c>
      <c r="E5274" t="s">
        <v>664</v>
      </c>
      <c r="F5274" t="s">
        <v>754</v>
      </c>
      <c r="G5274" t="s">
        <v>2776</v>
      </c>
      <c r="H5274" t="s">
        <v>4516</v>
      </c>
      <c r="I5274" s="28" t="s">
        <v>27</v>
      </c>
    </row>
    <row r="5275" spans="1:9" x14ac:dyDescent="0.3">
      <c r="A5275" s="26">
        <v>45351</v>
      </c>
      <c r="B5275" t="s">
        <v>752</v>
      </c>
      <c r="C5275" t="s">
        <v>789</v>
      </c>
      <c r="D5275">
        <v>0.52</v>
      </c>
      <c r="E5275" t="s">
        <v>602</v>
      </c>
      <c r="F5275" t="s">
        <v>754</v>
      </c>
      <c r="G5275" t="s">
        <v>4359</v>
      </c>
      <c r="H5275" t="s">
        <v>4516</v>
      </c>
      <c r="I5275" s="28" t="s">
        <v>27</v>
      </c>
    </row>
    <row r="5276" spans="1:9" x14ac:dyDescent="0.3">
      <c r="A5276" s="26">
        <v>45351</v>
      </c>
      <c r="B5276" t="s">
        <v>752</v>
      </c>
      <c r="C5276" t="s">
        <v>771</v>
      </c>
      <c r="D5276">
        <v>0.25</v>
      </c>
      <c r="E5276" t="s">
        <v>7</v>
      </c>
      <c r="F5276" t="s">
        <v>772</v>
      </c>
      <c r="G5276" t="s">
        <v>774</v>
      </c>
      <c r="H5276" t="s">
        <v>4516</v>
      </c>
      <c r="I5276" s="28" t="s">
        <v>27</v>
      </c>
    </row>
    <row r="5277" spans="1:9" x14ac:dyDescent="0.3">
      <c r="A5277" s="26">
        <v>45351</v>
      </c>
      <c r="B5277" t="s">
        <v>752</v>
      </c>
      <c r="C5277" t="s">
        <v>771</v>
      </c>
      <c r="D5277">
        <v>0.25</v>
      </c>
      <c r="E5277" t="s">
        <v>7</v>
      </c>
      <c r="F5277" t="s">
        <v>772</v>
      </c>
      <c r="G5277" t="s">
        <v>775</v>
      </c>
      <c r="H5277" t="s">
        <v>4516</v>
      </c>
      <c r="I5277" s="28" t="s">
        <v>27</v>
      </c>
    </row>
    <row r="5278" spans="1:9" x14ac:dyDescent="0.3">
      <c r="A5278" s="26">
        <v>45351</v>
      </c>
      <c r="B5278" t="s">
        <v>752</v>
      </c>
      <c r="C5278" t="s">
        <v>776</v>
      </c>
      <c r="D5278">
        <v>0.3</v>
      </c>
      <c r="E5278" t="s">
        <v>458</v>
      </c>
      <c r="F5278" t="s">
        <v>754</v>
      </c>
      <c r="H5278" t="s">
        <v>4516</v>
      </c>
      <c r="I5278" s="28" t="s">
        <v>27</v>
      </c>
    </row>
    <row r="5279" spans="1:9" x14ac:dyDescent="0.3">
      <c r="A5279" s="26">
        <v>45351</v>
      </c>
      <c r="B5279" t="s">
        <v>1093</v>
      </c>
      <c r="C5279" t="s">
        <v>1522</v>
      </c>
      <c r="D5279">
        <v>1.33</v>
      </c>
      <c r="E5279" t="s">
        <v>455</v>
      </c>
      <c r="F5279" t="s">
        <v>754</v>
      </c>
      <c r="G5279" t="s">
        <v>4360</v>
      </c>
      <c r="H5279" t="s">
        <v>4516</v>
      </c>
      <c r="I5279" s="28" t="s">
        <v>27</v>
      </c>
    </row>
    <row r="5280" spans="1:9" x14ac:dyDescent="0.3">
      <c r="A5280" s="26">
        <v>45351</v>
      </c>
      <c r="B5280" t="s">
        <v>1093</v>
      </c>
      <c r="C5280" t="s">
        <v>1094</v>
      </c>
      <c r="D5280">
        <v>1.25</v>
      </c>
      <c r="E5280" t="s">
        <v>455</v>
      </c>
      <c r="F5280" t="s">
        <v>754</v>
      </c>
      <c r="G5280" t="s">
        <v>4361</v>
      </c>
      <c r="H5280" t="s">
        <v>4516</v>
      </c>
      <c r="I5280" s="28" t="s">
        <v>27</v>
      </c>
    </row>
    <row r="5281" spans="1:9" x14ac:dyDescent="0.3">
      <c r="A5281" s="26">
        <v>45351</v>
      </c>
      <c r="B5281" t="s">
        <v>21</v>
      </c>
      <c r="C5281" t="s">
        <v>1163</v>
      </c>
      <c r="D5281">
        <v>8</v>
      </c>
      <c r="E5281" t="s">
        <v>7</v>
      </c>
      <c r="F5281" t="s">
        <v>772</v>
      </c>
      <c r="G5281" t="s">
        <v>4362</v>
      </c>
      <c r="H5281" t="s">
        <v>4516</v>
      </c>
      <c r="I5281" s="28" t="s">
        <v>27</v>
      </c>
    </row>
    <row r="5282" spans="1:9" x14ac:dyDescent="0.3">
      <c r="A5282" s="26">
        <v>45351</v>
      </c>
      <c r="B5282" t="s">
        <v>785</v>
      </c>
      <c r="C5282" t="s">
        <v>786</v>
      </c>
      <c r="D5282">
        <v>10</v>
      </c>
      <c r="E5282" t="s">
        <v>7</v>
      </c>
      <c r="F5282" t="s">
        <v>772</v>
      </c>
      <c r="G5282" t="s">
        <v>4363</v>
      </c>
      <c r="H5282" t="s">
        <v>4516</v>
      </c>
      <c r="I5282" s="28" t="s">
        <v>27</v>
      </c>
    </row>
    <row r="5283" spans="1:9" x14ac:dyDescent="0.3">
      <c r="A5283" s="26">
        <v>45351</v>
      </c>
      <c r="B5283" t="s">
        <v>788</v>
      </c>
      <c r="C5283" t="s">
        <v>771</v>
      </c>
      <c r="D5283">
        <v>9</v>
      </c>
      <c r="E5283" t="s">
        <v>7</v>
      </c>
      <c r="F5283" t="s">
        <v>772</v>
      </c>
      <c r="H5283" t="s">
        <v>4516</v>
      </c>
      <c r="I5283" s="28" t="s">
        <v>27</v>
      </c>
    </row>
    <row r="5284" spans="1:9" x14ac:dyDescent="0.3">
      <c r="A5284" s="26">
        <v>45351</v>
      </c>
      <c r="B5284" t="s">
        <v>792</v>
      </c>
      <c r="C5284" t="s">
        <v>753</v>
      </c>
      <c r="D5284">
        <v>2.15</v>
      </c>
      <c r="E5284" t="s">
        <v>790</v>
      </c>
      <c r="F5284" t="s">
        <v>754</v>
      </c>
      <c r="G5284" t="s">
        <v>793</v>
      </c>
      <c r="H5284" t="s">
        <v>4516</v>
      </c>
      <c r="I5284" s="28" t="s">
        <v>27</v>
      </c>
    </row>
    <row r="5285" spans="1:9" x14ac:dyDescent="0.3">
      <c r="A5285" s="26">
        <v>45351</v>
      </c>
      <c r="B5285" t="s">
        <v>792</v>
      </c>
      <c r="C5285" t="s">
        <v>753</v>
      </c>
      <c r="D5285">
        <v>6.22</v>
      </c>
      <c r="E5285" t="s">
        <v>790</v>
      </c>
      <c r="F5285" t="s">
        <v>754</v>
      </c>
      <c r="G5285" t="s">
        <v>4200</v>
      </c>
      <c r="H5285" t="s">
        <v>4516</v>
      </c>
      <c r="I5285" s="28" t="s">
        <v>27</v>
      </c>
    </row>
    <row r="5286" spans="1:9" x14ac:dyDescent="0.3">
      <c r="A5286" s="26">
        <v>45351</v>
      </c>
      <c r="B5286" t="s">
        <v>801</v>
      </c>
      <c r="C5286" t="s">
        <v>802</v>
      </c>
      <c r="D5286">
        <v>9.6</v>
      </c>
      <c r="E5286" t="s">
        <v>7</v>
      </c>
      <c r="F5286" t="s">
        <v>772</v>
      </c>
      <c r="H5286" t="s">
        <v>4516</v>
      </c>
      <c r="I5286" s="28" t="s">
        <v>27</v>
      </c>
    </row>
    <row r="5287" spans="1:9" x14ac:dyDescent="0.3">
      <c r="A5287" s="26">
        <v>45351</v>
      </c>
      <c r="B5287" t="s">
        <v>806</v>
      </c>
      <c r="C5287" t="s">
        <v>802</v>
      </c>
      <c r="D5287">
        <v>7.5</v>
      </c>
      <c r="E5287" t="s">
        <v>7</v>
      </c>
      <c r="F5287" t="s">
        <v>772</v>
      </c>
      <c r="G5287" t="s">
        <v>4364</v>
      </c>
      <c r="H5287" t="s">
        <v>4516</v>
      </c>
      <c r="I5287" s="28" t="s">
        <v>27</v>
      </c>
    </row>
    <row r="5288" spans="1:9" x14ac:dyDescent="0.3">
      <c r="A5288" s="26">
        <v>45351</v>
      </c>
      <c r="B5288" t="s">
        <v>808</v>
      </c>
      <c r="C5288" t="s">
        <v>802</v>
      </c>
      <c r="D5288">
        <v>9.0500000000000007</v>
      </c>
      <c r="E5288" t="s">
        <v>7</v>
      </c>
      <c r="F5288" t="s">
        <v>772</v>
      </c>
      <c r="G5288" t="s">
        <v>4365</v>
      </c>
      <c r="H5288" t="s">
        <v>4516</v>
      </c>
      <c r="I5288" s="28" t="s">
        <v>27</v>
      </c>
    </row>
    <row r="5289" spans="1:9" x14ac:dyDescent="0.3">
      <c r="A5289" s="26">
        <v>45351</v>
      </c>
      <c r="B5289" t="s">
        <v>810</v>
      </c>
      <c r="C5289" t="s">
        <v>753</v>
      </c>
      <c r="D5289">
        <v>0.08</v>
      </c>
      <c r="E5289" t="s">
        <v>814</v>
      </c>
      <c r="F5289" t="s">
        <v>772</v>
      </c>
      <c r="G5289" t="s">
        <v>4366</v>
      </c>
      <c r="H5289" t="s">
        <v>4516</v>
      </c>
      <c r="I5289" s="28" t="s">
        <v>27</v>
      </c>
    </row>
    <row r="5290" spans="1:9" x14ac:dyDescent="0.3">
      <c r="A5290" s="26">
        <v>45351</v>
      </c>
      <c r="B5290" t="s">
        <v>810</v>
      </c>
      <c r="C5290" t="s">
        <v>753</v>
      </c>
      <c r="D5290">
        <v>0.17</v>
      </c>
      <c r="E5290" t="s">
        <v>811</v>
      </c>
      <c r="F5290" t="s">
        <v>754</v>
      </c>
      <c r="G5290" t="s">
        <v>4367</v>
      </c>
      <c r="H5290" t="s">
        <v>4516</v>
      </c>
      <c r="I5290" s="28" t="s">
        <v>27</v>
      </c>
    </row>
    <row r="5291" spans="1:9" x14ac:dyDescent="0.3">
      <c r="A5291" s="26">
        <v>45351</v>
      </c>
      <c r="B5291" t="s">
        <v>810</v>
      </c>
      <c r="C5291" t="s">
        <v>753</v>
      </c>
      <c r="D5291">
        <v>0.17</v>
      </c>
      <c r="E5291" t="s">
        <v>1069</v>
      </c>
      <c r="F5291" t="s">
        <v>754</v>
      </c>
      <c r="G5291" t="s">
        <v>4367</v>
      </c>
      <c r="H5291" t="s">
        <v>4516</v>
      </c>
      <c r="I5291" s="28" t="s">
        <v>27</v>
      </c>
    </row>
    <row r="5292" spans="1:9" x14ac:dyDescent="0.3">
      <c r="A5292" s="26">
        <v>45351</v>
      </c>
      <c r="B5292" t="s">
        <v>810</v>
      </c>
      <c r="C5292" t="s">
        <v>753</v>
      </c>
      <c r="D5292">
        <v>0.25</v>
      </c>
      <c r="E5292" t="s">
        <v>815</v>
      </c>
      <c r="F5292" t="s">
        <v>772</v>
      </c>
      <c r="G5292" t="s">
        <v>4368</v>
      </c>
      <c r="H5292" t="s">
        <v>4516</v>
      </c>
      <c r="I5292" s="28" t="s">
        <v>27</v>
      </c>
    </row>
    <row r="5293" spans="1:9" x14ac:dyDescent="0.3">
      <c r="A5293" s="26">
        <v>45351</v>
      </c>
      <c r="B5293" t="s">
        <v>810</v>
      </c>
      <c r="C5293" t="s">
        <v>753</v>
      </c>
      <c r="D5293">
        <v>0.25</v>
      </c>
      <c r="E5293" t="s">
        <v>815</v>
      </c>
      <c r="F5293" t="s">
        <v>754</v>
      </c>
      <c r="G5293" t="s">
        <v>4367</v>
      </c>
      <c r="H5293" t="s">
        <v>4516</v>
      </c>
      <c r="I5293" s="28" t="s">
        <v>27</v>
      </c>
    </row>
    <row r="5294" spans="1:9" x14ac:dyDescent="0.3">
      <c r="A5294" s="26">
        <v>45351</v>
      </c>
      <c r="B5294" t="s">
        <v>810</v>
      </c>
      <c r="C5294" t="s">
        <v>753</v>
      </c>
      <c r="D5294">
        <v>0.33</v>
      </c>
      <c r="E5294" t="s">
        <v>814</v>
      </c>
      <c r="F5294" t="s">
        <v>754</v>
      </c>
      <c r="G5294" t="s">
        <v>4367</v>
      </c>
      <c r="H5294" t="s">
        <v>4516</v>
      </c>
      <c r="I5294" s="28" t="s">
        <v>27</v>
      </c>
    </row>
    <row r="5295" spans="1:9" x14ac:dyDescent="0.3">
      <c r="A5295" s="26">
        <v>45351</v>
      </c>
      <c r="B5295" t="s">
        <v>810</v>
      </c>
      <c r="C5295" t="s">
        <v>753</v>
      </c>
      <c r="D5295">
        <v>0.33</v>
      </c>
      <c r="E5295" t="s">
        <v>813</v>
      </c>
      <c r="F5295" t="s">
        <v>754</v>
      </c>
      <c r="G5295" t="s">
        <v>4367</v>
      </c>
      <c r="H5295" t="s">
        <v>4516</v>
      </c>
      <c r="I5295" s="28" t="s">
        <v>27</v>
      </c>
    </row>
    <row r="5296" spans="1:9" x14ac:dyDescent="0.3">
      <c r="A5296" s="26">
        <v>45351</v>
      </c>
      <c r="B5296" t="s">
        <v>810</v>
      </c>
      <c r="C5296" t="s">
        <v>753</v>
      </c>
      <c r="D5296">
        <v>1.67</v>
      </c>
      <c r="E5296" t="s">
        <v>817</v>
      </c>
      <c r="F5296" t="s">
        <v>754</v>
      </c>
      <c r="G5296" t="s">
        <v>4369</v>
      </c>
      <c r="H5296" t="s">
        <v>4516</v>
      </c>
      <c r="I5296" s="28" t="s">
        <v>27</v>
      </c>
    </row>
    <row r="5297" spans="1:9" x14ac:dyDescent="0.3">
      <c r="A5297" s="26">
        <v>45351</v>
      </c>
      <c r="B5297" t="s">
        <v>810</v>
      </c>
      <c r="C5297" t="s">
        <v>753</v>
      </c>
      <c r="D5297">
        <v>4.08</v>
      </c>
      <c r="E5297" t="s">
        <v>516</v>
      </c>
      <c r="F5297" t="s">
        <v>754</v>
      </c>
      <c r="G5297" t="s">
        <v>4370</v>
      </c>
      <c r="H5297" t="s">
        <v>4516</v>
      </c>
      <c r="I5297" s="28" t="s">
        <v>27</v>
      </c>
    </row>
    <row r="5298" spans="1:9" x14ac:dyDescent="0.3">
      <c r="A5298" s="26">
        <v>45351</v>
      </c>
      <c r="B5298" t="s">
        <v>810</v>
      </c>
      <c r="C5298" t="s">
        <v>771</v>
      </c>
      <c r="D5298">
        <v>0.5</v>
      </c>
      <c r="E5298" t="s">
        <v>7</v>
      </c>
      <c r="F5298" t="s">
        <v>772</v>
      </c>
      <c r="G5298" t="s">
        <v>781</v>
      </c>
      <c r="H5298" t="s">
        <v>4516</v>
      </c>
      <c r="I5298" s="28" t="s">
        <v>27</v>
      </c>
    </row>
    <row r="5299" spans="1:9" x14ac:dyDescent="0.3">
      <c r="A5299" s="26">
        <v>45351</v>
      </c>
      <c r="B5299" t="s">
        <v>810</v>
      </c>
      <c r="C5299" t="s">
        <v>776</v>
      </c>
      <c r="D5299">
        <v>0.17</v>
      </c>
      <c r="E5299" t="s">
        <v>516</v>
      </c>
      <c r="F5299" t="s">
        <v>754</v>
      </c>
      <c r="G5299" t="s">
        <v>1970</v>
      </c>
      <c r="H5299" t="s">
        <v>4516</v>
      </c>
      <c r="I5299" s="28" t="s">
        <v>27</v>
      </c>
    </row>
    <row r="5300" spans="1:9" x14ac:dyDescent="0.3">
      <c r="A5300" s="26">
        <v>45351</v>
      </c>
      <c r="B5300" t="s">
        <v>225</v>
      </c>
      <c r="C5300" t="s">
        <v>823</v>
      </c>
      <c r="D5300">
        <v>1</v>
      </c>
      <c r="E5300" t="s">
        <v>602</v>
      </c>
      <c r="F5300" t="s">
        <v>754</v>
      </c>
      <c r="G5300" t="s">
        <v>4371</v>
      </c>
      <c r="H5300" t="s">
        <v>4516</v>
      </c>
      <c r="I5300" s="28" t="s">
        <v>27</v>
      </c>
    </row>
    <row r="5301" spans="1:9" x14ac:dyDescent="0.3">
      <c r="A5301" s="26">
        <v>45351</v>
      </c>
      <c r="B5301" t="s">
        <v>829</v>
      </c>
      <c r="C5301" t="s">
        <v>771</v>
      </c>
      <c r="D5301">
        <v>0.37</v>
      </c>
      <c r="E5301" t="s">
        <v>7</v>
      </c>
      <c r="F5301" t="s">
        <v>772</v>
      </c>
      <c r="G5301" t="s">
        <v>4372</v>
      </c>
      <c r="H5301" t="s">
        <v>4516</v>
      </c>
      <c r="I5301" s="28" t="s">
        <v>27</v>
      </c>
    </row>
    <row r="5302" spans="1:9" x14ac:dyDescent="0.3">
      <c r="A5302" s="26">
        <v>45351</v>
      </c>
      <c r="B5302" t="s">
        <v>829</v>
      </c>
      <c r="C5302" t="s">
        <v>771</v>
      </c>
      <c r="D5302">
        <v>0.5</v>
      </c>
      <c r="E5302" t="s">
        <v>7</v>
      </c>
      <c r="F5302" t="s">
        <v>772</v>
      </c>
      <c r="G5302" t="s">
        <v>781</v>
      </c>
      <c r="H5302" t="s">
        <v>4516</v>
      </c>
      <c r="I5302" s="28" t="s">
        <v>27</v>
      </c>
    </row>
    <row r="5303" spans="1:9" x14ac:dyDescent="0.3">
      <c r="A5303" s="26">
        <v>45351</v>
      </c>
      <c r="B5303" t="s">
        <v>829</v>
      </c>
      <c r="C5303" t="s">
        <v>942</v>
      </c>
      <c r="D5303">
        <v>0.22</v>
      </c>
      <c r="E5303" t="s">
        <v>7</v>
      </c>
      <c r="F5303" t="s">
        <v>772</v>
      </c>
      <c r="G5303" t="s">
        <v>4373</v>
      </c>
      <c r="H5303" t="s">
        <v>4516</v>
      </c>
      <c r="I5303" s="28" t="s">
        <v>27</v>
      </c>
    </row>
    <row r="5304" spans="1:9" x14ac:dyDescent="0.3">
      <c r="A5304" s="26">
        <v>45351</v>
      </c>
      <c r="B5304" t="s">
        <v>829</v>
      </c>
      <c r="C5304" t="s">
        <v>776</v>
      </c>
      <c r="D5304">
        <v>0.32</v>
      </c>
      <c r="E5304" t="s">
        <v>790</v>
      </c>
      <c r="F5304" t="s">
        <v>754</v>
      </c>
      <c r="G5304" t="s">
        <v>4374</v>
      </c>
      <c r="H5304" t="s">
        <v>4516</v>
      </c>
      <c r="I5304" s="28" t="s">
        <v>27</v>
      </c>
    </row>
    <row r="5305" spans="1:9" x14ac:dyDescent="0.3">
      <c r="A5305" s="26">
        <v>45351</v>
      </c>
      <c r="B5305" t="s">
        <v>829</v>
      </c>
      <c r="C5305" t="s">
        <v>776</v>
      </c>
      <c r="D5305">
        <v>0.33</v>
      </c>
      <c r="E5305" t="s">
        <v>790</v>
      </c>
      <c r="F5305" t="s">
        <v>754</v>
      </c>
      <c r="G5305" t="s">
        <v>1012</v>
      </c>
      <c r="H5305" t="s">
        <v>4516</v>
      </c>
      <c r="I5305" s="28" t="s">
        <v>27</v>
      </c>
    </row>
    <row r="5306" spans="1:9" x14ac:dyDescent="0.3">
      <c r="A5306" s="26">
        <v>45351</v>
      </c>
      <c r="B5306" t="s">
        <v>829</v>
      </c>
      <c r="C5306" t="s">
        <v>776</v>
      </c>
      <c r="D5306">
        <v>0.33</v>
      </c>
      <c r="E5306" t="s">
        <v>790</v>
      </c>
      <c r="F5306" t="s">
        <v>754</v>
      </c>
      <c r="G5306" t="s">
        <v>4375</v>
      </c>
      <c r="H5306" t="s">
        <v>4516</v>
      </c>
      <c r="I5306" s="28" t="s">
        <v>27</v>
      </c>
    </row>
    <row r="5307" spans="1:9" x14ac:dyDescent="0.3">
      <c r="A5307" s="26">
        <v>45351</v>
      </c>
      <c r="B5307" t="s">
        <v>829</v>
      </c>
      <c r="C5307" t="s">
        <v>776</v>
      </c>
      <c r="D5307">
        <v>0.45</v>
      </c>
      <c r="E5307" t="s">
        <v>7</v>
      </c>
      <c r="F5307" t="s">
        <v>754</v>
      </c>
      <c r="G5307" t="s">
        <v>4376</v>
      </c>
      <c r="H5307" t="s">
        <v>4516</v>
      </c>
      <c r="I5307" s="28" t="s">
        <v>27</v>
      </c>
    </row>
    <row r="5308" spans="1:9" x14ac:dyDescent="0.3">
      <c r="A5308" s="26">
        <v>45351</v>
      </c>
      <c r="B5308" t="s">
        <v>829</v>
      </c>
      <c r="C5308" t="s">
        <v>776</v>
      </c>
      <c r="D5308">
        <v>0.52</v>
      </c>
      <c r="E5308" t="s">
        <v>790</v>
      </c>
      <c r="F5308" t="s">
        <v>754</v>
      </c>
      <c r="G5308" t="s">
        <v>4377</v>
      </c>
      <c r="H5308" t="s">
        <v>4516</v>
      </c>
      <c r="I5308" s="28" t="s">
        <v>27</v>
      </c>
    </row>
    <row r="5309" spans="1:9" x14ac:dyDescent="0.3">
      <c r="A5309" s="26">
        <v>45351</v>
      </c>
      <c r="B5309" t="s">
        <v>829</v>
      </c>
      <c r="C5309" t="s">
        <v>776</v>
      </c>
      <c r="D5309">
        <v>0.72</v>
      </c>
      <c r="E5309" t="s">
        <v>790</v>
      </c>
      <c r="F5309" t="s">
        <v>754</v>
      </c>
      <c r="G5309" t="s">
        <v>4378</v>
      </c>
      <c r="H5309" t="s">
        <v>4516</v>
      </c>
      <c r="I5309" s="28" t="s">
        <v>27</v>
      </c>
    </row>
    <row r="5310" spans="1:9" x14ac:dyDescent="0.3">
      <c r="A5310" s="26">
        <v>45351</v>
      </c>
      <c r="B5310" t="s">
        <v>829</v>
      </c>
      <c r="C5310" t="s">
        <v>776</v>
      </c>
      <c r="D5310">
        <v>1.48</v>
      </c>
      <c r="E5310" t="s">
        <v>790</v>
      </c>
      <c r="F5310" t="s">
        <v>754</v>
      </c>
      <c r="G5310" t="s">
        <v>838</v>
      </c>
      <c r="H5310" t="s">
        <v>4516</v>
      </c>
      <c r="I5310" s="28" t="s">
        <v>27</v>
      </c>
    </row>
    <row r="5311" spans="1:9" x14ac:dyDescent="0.3">
      <c r="A5311" s="26">
        <v>45351</v>
      </c>
      <c r="B5311" t="s">
        <v>829</v>
      </c>
      <c r="C5311" t="s">
        <v>776</v>
      </c>
      <c r="D5311">
        <v>2.77</v>
      </c>
      <c r="E5311" t="s">
        <v>790</v>
      </c>
      <c r="F5311" t="s">
        <v>754</v>
      </c>
      <c r="H5311" t="s">
        <v>4516</v>
      </c>
      <c r="I5311" s="28" t="s">
        <v>27</v>
      </c>
    </row>
    <row r="5312" spans="1:9" x14ac:dyDescent="0.3">
      <c r="A5312" s="26">
        <v>45351</v>
      </c>
      <c r="B5312" t="s">
        <v>840</v>
      </c>
      <c r="C5312" t="s">
        <v>753</v>
      </c>
      <c r="D5312">
        <v>0.25</v>
      </c>
      <c r="E5312" t="s">
        <v>790</v>
      </c>
      <c r="F5312" t="s">
        <v>754</v>
      </c>
      <c r="G5312" t="e">
        <f>- Received raw invoices.</f>
        <v>#NAME?</v>
      </c>
      <c r="H5312" t="s">
        <v>4516</v>
      </c>
      <c r="I5312" s="28" t="s">
        <v>27</v>
      </c>
    </row>
    <row r="5313" spans="1:9" x14ac:dyDescent="0.3">
      <c r="A5313" s="26">
        <v>45351</v>
      </c>
      <c r="B5313" t="s">
        <v>840</v>
      </c>
      <c r="C5313" t="s">
        <v>771</v>
      </c>
      <c r="D5313">
        <v>9.33</v>
      </c>
      <c r="E5313" t="s">
        <v>7</v>
      </c>
      <c r="F5313" t="s">
        <v>772</v>
      </c>
      <c r="G5313" t="e">
        <f>- ASIC - ATO - Replenishment report - Calendar Holiday invites - Ann and Aileen posters.</f>
        <v>#NAME?</v>
      </c>
      <c r="H5313" t="s">
        <v>4516</v>
      </c>
      <c r="I5313" s="28" t="s">
        <v>27</v>
      </c>
    </row>
    <row r="5314" spans="1:9" x14ac:dyDescent="0.3">
      <c r="A5314" s="26">
        <v>45351</v>
      </c>
      <c r="B5314" t="s">
        <v>843</v>
      </c>
      <c r="C5314" t="s">
        <v>753</v>
      </c>
      <c r="D5314">
        <v>0.23</v>
      </c>
      <c r="E5314" t="s">
        <v>234</v>
      </c>
      <c r="F5314" t="s">
        <v>754</v>
      </c>
      <c r="G5314" t="s">
        <v>4379</v>
      </c>
      <c r="H5314" t="s">
        <v>4516</v>
      </c>
      <c r="I5314" s="28" t="s">
        <v>27</v>
      </c>
    </row>
    <row r="5315" spans="1:9" x14ac:dyDescent="0.3">
      <c r="A5315" s="26">
        <v>45351</v>
      </c>
      <c r="B5315" t="s">
        <v>843</v>
      </c>
      <c r="C5315" t="s">
        <v>753</v>
      </c>
      <c r="D5315">
        <v>0.62</v>
      </c>
      <c r="E5315" t="s">
        <v>234</v>
      </c>
      <c r="F5315" t="s">
        <v>772</v>
      </c>
      <c r="G5315" t="s">
        <v>3659</v>
      </c>
      <c r="H5315" t="s">
        <v>4516</v>
      </c>
      <c r="I5315" s="28" t="s">
        <v>27</v>
      </c>
    </row>
    <row r="5316" spans="1:9" x14ac:dyDescent="0.3">
      <c r="A5316" s="26">
        <v>45351</v>
      </c>
      <c r="B5316" t="s">
        <v>843</v>
      </c>
      <c r="C5316" t="s">
        <v>753</v>
      </c>
      <c r="D5316">
        <v>0.62</v>
      </c>
      <c r="E5316" t="s">
        <v>564</v>
      </c>
      <c r="F5316" t="s">
        <v>754</v>
      </c>
      <c r="G5316" t="s">
        <v>4380</v>
      </c>
      <c r="H5316" t="s">
        <v>4516</v>
      </c>
      <c r="I5316" s="28" t="s">
        <v>27</v>
      </c>
    </row>
    <row r="5317" spans="1:9" x14ac:dyDescent="0.3">
      <c r="A5317" s="26">
        <v>45351</v>
      </c>
      <c r="B5317" t="s">
        <v>843</v>
      </c>
      <c r="C5317" t="s">
        <v>753</v>
      </c>
      <c r="D5317">
        <v>0.63</v>
      </c>
      <c r="E5317" t="s">
        <v>845</v>
      </c>
      <c r="F5317" t="s">
        <v>754</v>
      </c>
      <c r="G5317" t="s">
        <v>4381</v>
      </c>
      <c r="H5317" t="s">
        <v>4516</v>
      </c>
      <c r="I5317" s="28" t="s">
        <v>27</v>
      </c>
    </row>
    <row r="5318" spans="1:9" x14ac:dyDescent="0.3">
      <c r="A5318" s="26">
        <v>45351</v>
      </c>
      <c r="B5318" t="s">
        <v>843</v>
      </c>
      <c r="C5318" t="s">
        <v>753</v>
      </c>
      <c r="D5318">
        <v>1.23</v>
      </c>
      <c r="E5318" t="s">
        <v>170</v>
      </c>
      <c r="F5318" t="s">
        <v>754</v>
      </c>
      <c r="G5318" t="s">
        <v>4382</v>
      </c>
      <c r="H5318" t="s">
        <v>4516</v>
      </c>
      <c r="I5318" s="28" t="s">
        <v>27</v>
      </c>
    </row>
    <row r="5319" spans="1:9" x14ac:dyDescent="0.3">
      <c r="A5319" s="26">
        <v>45351</v>
      </c>
      <c r="B5319" t="s">
        <v>843</v>
      </c>
      <c r="C5319" t="s">
        <v>753</v>
      </c>
      <c r="D5319">
        <v>1.62</v>
      </c>
      <c r="E5319" t="s">
        <v>234</v>
      </c>
      <c r="F5319" t="s">
        <v>754</v>
      </c>
      <c r="G5319" t="s">
        <v>4383</v>
      </c>
      <c r="H5319" t="s">
        <v>4516</v>
      </c>
      <c r="I5319" s="28" t="s">
        <v>27</v>
      </c>
    </row>
    <row r="5320" spans="1:9" x14ac:dyDescent="0.3">
      <c r="A5320" s="26">
        <v>45351</v>
      </c>
      <c r="B5320" t="s">
        <v>843</v>
      </c>
      <c r="C5320" t="s">
        <v>853</v>
      </c>
      <c r="D5320">
        <v>2.5499999999999998</v>
      </c>
      <c r="E5320" t="s">
        <v>259</v>
      </c>
      <c r="F5320" t="s">
        <v>754</v>
      </c>
      <c r="H5320" t="s">
        <v>4516</v>
      </c>
      <c r="I5320" s="28" t="s">
        <v>27</v>
      </c>
    </row>
    <row r="5321" spans="1:9" x14ac:dyDescent="0.3">
      <c r="A5321" s="26">
        <v>45351</v>
      </c>
      <c r="B5321" t="s">
        <v>843</v>
      </c>
      <c r="C5321" t="s">
        <v>771</v>
      </c>
      <c r="D5321">
        <v>0.5</v>
      </c>
      <c r="E5321" t="s">
        <v>7</v>
      </c>
      <c r="F5321" t="s">
        <v>772</v>
      </c>
      <c r="G5321" t="s">
        <v>781</v>
      </c>
      <c r="H5321" t="s">
        <v>4516</v>
      </c>
      <c r="I5321" s="28" t="s">
        <v>27</v>
      </c>
    </row>
    <row r="5322" spans="1:9" x14ac:dyDescent="0.3">
      <c r="A5322" s="26">
        <v>45351</v>
      </c>
      <c r="B5322" t="s">
        <v>856</v>
      </c>
      <c r="C5322" t="s">
        <v>753</v>
      </c>
      <c r="D5322">
        <v>0.25</v>
      </c>
      <c r="E5322" t="s">
        <v>857</v>
      </c>
      <c r="F5322" t="s">
        <v>754</v>
      </c>
      <c r="G5322" t="s">
        <v>863</v>
      </c>
      <c r="H5322" t="s">
        <v>4516</v>
      </c>
      <c r="I5322" s="28" t="s">
        <v>27</v>
      </c>
    </row>
    <row r="5323" spans="1:9" x14ac:dyDescent="0.3">
      <c r="A5323" s="26">
        <v>45351</v>
      </c>
      <c r="B5323" t="s">
        <v>856</v>
      </c>
      <c r="C5323" t="s">
        <v>753</v>
      </c>
      <c r="D5323">
        <v>0.83</v>
      </c>
      <c r="E5323" t="s">
        <v>857</v>
      </c>
      <c r="F5323" t="s">
        <v>754</v>
      </c>
      <c r="G5323" t="s">
        <v>3662</v>
      </c>
      <c r="H5323" t="s">
        <v>4516</v>
      </c>
      <c r="I5323" s="28" t="s">
        <v>27</v>
      </c>
    </row>
    <row r="5324" spans="1:9" x14ac:dyDescent="0.3">
      <c r="A5324" s="26">
        <v>45351</v>
      </c>
      <c r="B5324" t="s">
        <v>856</v>
      </c>
      <c r="C5324" t="s">
        <v>753</v>
      </c>
      <c r="D5324">
        <v>1.23</v>
      </c>
      <c r="E5324" t="s">
        <v>173</v>
      </c>
      <c r="F5324" t="s">
        <v>754</v>
      </c>
      <c r="G5324" t="s">
        <v>4384</v>
      </c>
      <c r="H5324" t="s">
        <v>4516</v>
      </c>
      <c r="I5324" s="28" t="s">
        <v>27</v>
      </c>
    </row>
    <row r="5325" spans="1:9" x14ac:dyDescent="0.3">
      <c r="A5325" s="26">
        <v>45351</v>
      </c>
      <c r="B5325" t="s">
        <v>856</v>
      </c>
      <c r="C5325" t="s">
        <v>753</v>
      </c>
      <c r="D5325">
        <v>2.23</v>
      </c>
      <c r="E5325" t="s">
        <v>857</v>
      </c>
      <c r="F5325" t="s">
        <v>754</v>
      </c>
      <c r="G5325" t="s">
        <v>4385</v>
      </c>
      <c r="H5325" t="s">
        <v>4516</v>
      </c>
      <c r="I5325" s="28" t="s">
        <v>27</v>
      </c>
    </row>
    <row r="5326" spans="1:9" x14ac:dyDescent="0.3">
      <c r="A5326" s="26">
        <v>45351</v>
      </c>
      <c r="B5326" t="s">
        <v>856</v>
      </c>
      <c r="C5326" t="s">
        <v>771</v>
      </c>
      <c r="D5326">
        <v>0.17</v>
      </c>
      <c r="E5326" t="s">
        <v>7</v>
      </c>
      <c r="F5326" t="s">
        <v>772</v>
      </c>
      <c r="G5326" t="s">
        <v>4386</v>
      </c>
      <c r="H5326" t="s">
        <v>4516</v>
      </c>
      <c r="I5326" s="28" t="s">
        <v>27</v>
      </c>
    </row>
    <row r="5327" spans="1:9" x14ac:dyDescent="0.3">
      <c r="A5327" s="26">
        <v>45351</v>
      </c>
      <c r="B5327" t="s">
        <v>856</v>
      </c>
      <c r="C5327" t="s">
        <v>776</v>
      </c>
      <c r="D5327">
        <v>0.35</v>
      </c>
      <c r="E5327" t="s">
        <v>589</v>
      </c>
      <c r="F5327" t="s">
        <v>754</v>
      </c>
      <c r="G5327" t="s">
        <v>4387</v>
      </c>
      <c r="H5327" t="s">
        <v>4516</v>
      </c>
      <c r="I5327" s="28" t="s">
        <v>27</v>
      </c>
    </row>
    <row r="5328" spans="1:9" x14ac:dyDescent="0.3">
      <c r="A5328" s="26">
        <v>45351</v>
      </c>
      <c r="B5328" t="s">
        <v>856</v>
      </c>
      <c r="C5328" t="s">
        <v>776</v>
      </c>
      <c r="D5328">
        <v>0.42</v>
      </c>
      <c r="E5328" t="s">
        <v>589</v>
      </c>
      <c r="F5328" t="s">
        <v>754</v>
      </c>
      <c r="G5328" t="s">
        <v>4388</v>
      </c>
      <c r="H5328" t="s">
        <v>4516</v>
      </c>
      <c r="I5328" s="28" t="s">
        <v>27</v>
      </c>
    </row>
    <row r="5329" spans="1:9" x14ac:dyDescent="0.3">
      <c r="A5329" s="26">
        <v>45351</v>
      </c>
      <c r="B5329" t="s">
        <v>856</v>
      </c>
      <c r="C5329" t="s">
        <v>776</v>
      </c>
      <c r="D5329">
        <v>3.27</v>
      </c>
      <c r="E5329" t="s">
        <v>589</v>
      </c>
      <c r="F5329" t="s">
        <v>754</v>
      </c>
      <c r="G5329" t="s">
        <v>866</v>
      </c>
      <c r="H5329" t="s">
        <v>4516</v>
      </c>
      <c r="I5329" s="28" t="s">
        <v>27</v>
      </c>
    </row>
    <row r="5330" spans="1:9" x14ac:dyDescent="0.3">
      <c r="A5330" s="26">
        <v>45351</v>
      </c>
      <c r="B5330" t="s">
        <v>33</v>
      </c>
      <c r="C5330" t="s">
        <v>771</v>
      </c>
      <c r="D5330">
        <v>1.58</v>
      </c>
      <c r="E5330" t="s">
        <v>7</v>
      </c>
      <c r="F5330" t="s">
        <v>772</v>
      </c>
      <c r="H5330" t="s">
        <v>4516</v>
      </c>
      <c r="I5330" s="28" t="s">
        <v>27</v>
      </c>
    </row>
    <row r="5331" spans="1:9" x14ac:dyDescent="0.3">
      <c r="A5331" s="26">
        <v>45351</v>
      </c>
      <c r="B5331" t="s">
        <v>33</v>
      </c>
      <c r="C5331" t="s">
        <v>771</v>
      </c>
      <c r="D5331">
        <v>2.02</v>
      </c>
      <c r="E5331" t="s">
        <v>7</v>
      </c>
      <c r="F5331" t="s">
        <v>772</v>
      </c>
      <c r="G5331" t="s">
        <v>4389</v>
      </c>
      <c r="H5331" t="s">
        <v>4516</v>
      </c>
      <c r="I5331" s="28" t="s">
        <v>27</v>
      </c>
    </row>
    <row r="5332" spans="1:9" x14ac:dyDescent="0.3">
      <c r="A5332" s="26">
        <v>45351</v>
      </c>
      <c r="B5332" t="s">
        <v>33</v>
      </c>
      <c r="C5332" t="s">
        <v>771</v>
      </c>
      <c r="D5332">
        <v>4.92</v>
      </c>
      <c r="E5332" t="s">
        <v>7</v>
      </c>
      <c r="F5332" t="s">
        <v>772</v>
      </c>
      <c r="G5332" t="s">
        <v>4390</v>
      </c>
      <c r="H5332" t="s">
        <v>4516</v>
      </c>
      <c r="I5332" s="28" t="s">
        <v>27</v>
      </c>
    </row>
    <row r="5333" spans="1:9" x14ac:dyDescent="0.3">
      <c r="A5333" s="26">
        <v>45351</v>
      </c>
      <c r="B5333" t="s">
        <v>876</v>
      </c>
      <c r="C5333" t="s">
        <v>753</v>
      </c>
      <c r="D5333">
        <v>7.9</v>
      </c>
      <c r="E5333" t="s">
        <v>11</v>
      </c>
      <c r="F5333" t="s">
        <v>754</v>
      </c>
      <c r="H5333" t="s">
        <v>4516</v>
      </c>
      <c r="I5333" s="28" t="s">
        <v>27</v>
      </c>
    </row>
    <row r="5334" spans="1:9" x14ac:dyDescent="0.3">
      <c r="A5334" s="26">
        <v>45351</v>
      </c>
      <c r="B5334" t="s">
        <v>877</v>
      </c>
      <c r="C5334" t="s">
        <v>874</v>
      </c>
      <c r="D5334">
        <v>0.5</v>
      </c>
      <c r="E5334" t="s">
        <v>7</v>
      </c>
      <c r="F5334" t="s">
        <v>772</v>
      </c>
      <c r="G5334" t="s">
        <v>4391</v>
      </c>
      <c r="H5334" t="s">
        <v>4516</v>
      </c>
      <c r="I5334" s="28" t="s">
        <v>27</v>
      </c>
    </row>
    <row r="5335" spans="1:9" x14ac:dyDescent="0.3">
      <c r="A5335" s="26">
        <v>45351</v>
      </c>
      <c r="B5335" t="s">
        <v>877</v>
      </c>
      <c r="C5335" t="s">
        <v>878</v>
      </c>
      <c r="D5335">
        <v>3.45</v>
      </c>
      <c r="E5335" t="s">
        <v>879</v>
      </c>
      <c r="F5335" t="s">
        <v>754</v>
      </c>
      <c r="G5335" t="s">
        <v>4392</v>
      </c>
      <c r="H5335" t="s">
        <v>4516</v>
      </c>
      <c r="I5335" s="28" t="s">
        <v>27</v>
      </c>
    </row>
    <row r="5336" spans="1:9" x14ac:dyDescent="0.3">
      <c r="A5336" s="26">
        <v>45351</v>
      </c>
      <c r="B5336" t="s">
        <v>877</v>
      </c>
      <c r="C5336" t="s">
        <v>878</v>
      </c>
      <c r="D5336">
        <v>4</v>
      </c>
      <c r="E5336" t="s">
        <v>882</v>
      </c>
      <c r="F5336" t="s">
        <v>754</v>
      </c>
      <c r="G5336" t="s">
        <v>4393</v>
      </c>
      <c r="H5336" t="s">
        <v>4516</v>
      </c>
      <c r="I5336" s="28" t="s">
        <v>27</v>
      </c>
    </row>
    <row r="5337" spans="1:9" x14ac:dyDescent="0.3">
      <c r="A5337" s="26">
        <v>45351</v>
      </c>
      <c r="B5337" t="s">
        <v>884</v>
      </c>
      <c r="C5337" t="s">
        <v>753</v>
      </c>
      <c r="D5337">
        <v>0.25</v>
      </c>
      <c r="E5337" t="s">
        <v>288</v>
      </c>
      <c r="F5337" t="s">
        <v>754</v>
      </c>
      <c r="G5337" t="s">
        <v>3945</v>
      </c>
      <c r="H5337" t="s">
        <v>4516</v>
      </c>
      <c r="I5337" s="28" t="s">
        <v>27</v>
      </c>
    </row>
    <row r="5338" spans="1:9" x14ac:dyDescent="0.3">
      <c r="A5338" s="26">
        <v>45351</v>
      </c>
      <c r="B5338" t="s">
        <v>884</v>
      </c>
      <c r="C5338" t="s">
        <v>753</v>
      </c>
      <c r="D5338">
        <v>0.3</v>
      </c>
      <c r="E5338" t="s">
        <v>646</v>
      </c>
      <c r="F5338" t="s">
        <v>754</v>
      </c>
      <c r="G5338" t="s">
        <v>4394</v>
      </c>
      <c r="H5338" t="s">
        <v>4516</v>
      </c>
      <c r="I5338" s="28" t="s">
        <v>27</v>
      </c>
    </row>
    <row r="5339" spans="1:9" x14ac:dyDescent="0.3">
      <c r="A5339" s="26">
        <v>45351</v>
      </c>
      <c r="B5339" t="s">
        <v>884</v>
      </c>
      <c r="C5339" t="s">
        <v>753</v>
      </c>
      <c r="D5339">
        <v>0.43</v>
      </c>
      <c r="E5339" t="s">
        <v>562</v>
      </c>
      <c r="F5339" t="s">
        <v>754</v>
      </c>
      <c r="G5339" t="s">
        <v>4395</v>
      </c>
      <c r="H5339" t="s">
        <v>4516</v>
      </c>
      <c r="I5339" s="28" t="s">
        <v>27</v>
      </c>
    </row>
    <row r="5340" spans="1:9" x14ac:dyDescent="0.3">
      <c r="A5340" s="26">
        <v>45351</v>
      </c>
      <c r="B5340" t="s">
        <v>884</v>
      </c>
      <c r="C5340" t="s">
        <v>753</v>
      </c>
      <c r="D5340">
        <v>0.55000000000000004</v>
      </c>
      <c r="E5340" t="s">
        <v>562</v>
      </c>
      <c r="F5340" t="s">
        <v>754</v>
      </c>
      <c r="G5340" t="s">
        <v>4396</v>
      </c>
      <c r="H5340" t="s">
        <v>4516</v>
      </c>
      <c r="I5340" s="28" t="s">
        <v>27</v>
      </c>
    </row>
    <row r="5341" spans="1:9" x14ac:dyDescent="0.3">
      <c r="A5341" s="26">
        <v>45351</v>
      </c>
      <c r="B5341" t="s">
        <v>884</v>
      </c>
      <c r="C5341" t="s">
        <v>753</v>
      </c>
      <c r="D5341">
        <v>1.18</v>
      </c>
      <c r="E5341" t="s">
        <v>11</v>
      </c>
      <c r="F5341" t="s">
        <v>754</v>
      </c>
      <c r="G5341" t="s">
        <v>2639</v>
      </c>
      <c r="H5341" t="s">
        <v>4516</v>
      </c>
      <c r="I5341" s="28" t="s">
        <v>27</v>
      </c>
    </row>
    <row r="5342" spans="1:9" x14ac:dyDescent="0.3">
      <c r="A5342" s="26">
        <v>45351</v>
      </c>
      <c r="B5342" t="s">
        <v>884</v>
      </c>
      <c r="C5342" t="s">
        <v>753</v>
      </c>
      <c r="D5342">
        <v>1.5</v>
      </c>
      <c r="E5342" t="s">
        <v>885</v>
      </c>
      <c r="F5342" t="s">
        <v>754</v>
      </c>
      <c r="G5342" t="s">
        <v>4397</v>
      </c>
      <c r="H5342" t="s">
        <v>4516</v>
      </c>
      <c r="I5342" s="28" t="s">
        <v>27</v>
      </c>
    </row>
    <row r="5343" spans="1:9" x14ac:dyDescent="0.3">
      <c r="A5343" s="26">
        <v>45351</v>
      </c>
      <c r="B5343" t="s">
        <v>884</v>
      </c>
      <c r="C5343" t="s">
        <v>753</v>
      </c>
      <c r="D5343">
        <v>1.8</v>
      </c>
      <c r="E5343" t="s">
        <v>375</v>
      </c>
      <c r="F5343" t="s">
        <v>754</v>
      </c>
      <c r="G5343" t="s">
        <v>4398</v>
      </c>
      <c r="H5343" t="s">
        <v>4516</v>
      </c>
      <c r="I5343" s="28" t="s">
        <v>27</v>
      </c>
    </row>
    <row r="5344" spans="1:9" x14ac:dyDescent="0.3">
      <c r="A5344" s="26">
        <v>45351</v>
      </c>
      <c r="B5344" t="s">
        <v>884</v>
      </c>
      <c r="C5344" t="s">
        <v>753</v>
      </c>
      <c r="D5344">
        <v>2.0299999999999998</v>
      </c>
      <c r="E5344" t="s">
        <v>375</v>
      </c>
      <c r="F5344" t="s">
        <v>754</v>
      </c>
      <c r="H5344" t="s">
        <v>4516</v>
      </c>
      <c r="I5344" s="28" t="s">
        <v>27</v>
      </c>
    </row>
    <row r="5345" spans="1:9" x14ac:dyDescent="0.3">
      <c r="A5345" s="26">
        <v>45351</v>
      </c>
      <c r="B5345" t="s">
        <v>891</v>
      </c>
      <c r="C5345" t="s">
        <v>3169</v>
      </c>
      <c r="D5345">
        <v>8</v>
      </c>
      <c r="E5345" t="s">
        <v>7</v>
      </c>
      <c r="F5345" t="s">
        <v>772</v>
      </c>
      <c r="G5345" t="s">
        <v>3951</v>
      </c>
      <c r="H5345" t="s">
        <v>4516</v>
      </c>
      <c r="I5345" s="28" t="s">
        <v>27</v>
      </c>
    </row>
    <row r="5346" spans="1:9" x14ac:dyDescent="0.3">
      <c r="A5346" s="26">
        <v>45351</v>
      </c>
      <c r="B5346" t="s">
        <v>34</v>
      </c>
      <c r="C5346" t="s">
        <v>802</v>
      </c>
      <c r="D5346">
        <v>8</v>
      </c>
      <c r="E5346" t="s">
        <v>7</v>
      </c>
      <c r="F5346" t="s">
        <v>772</v>
      </c>
      <c r="H5346" t="s">
        <v>4516</v>
      </c>
      <c r="I5346" s="28" t="s">
        <v>27</v>
      </c>
    </row>
    <row r="5347" spans="1:9" x14ac:dyDescent="0.3">
      <c r="A5347" s="26">
        <v>45351</v>
      </c>
      <c r="B5347" t="s">
        <v>893</v>
      </c>
      <c r="C5347" t="s">
        <v>802</v>
      </c>
      <c r="D5347">
        <v>8</v>
      </c>
      <c r="E5347" t="s">
        <v>7</v>
      </c>
      <c r="F5347" t="s">
        <v>772</v>
      </c>
      <c r="G5347" t="s">
        <v>3952</v>
      </c>
      <c r="H5347" t="s">
        <v>4516</v>
      </c>
      <c r="I5347" s="28" t="s">
        <v>27</v>
      </c>
    </row>
    <row r="5348" spans="1:9" x14ac:dyDescent="0.3">
      <c r="A5348" s="26">
        <v>45351</v>
      </c>
      <c r="B5348" t="s">
        <v>895</v>
      </c>
      <c r="C5348" t="s">
        <v>753</v>
      </c>
      <c r="D5348">
        <v>0.25</v>
      </c>
      <c r="E5348" t="s">
        <v>815</v>
      </c>
      <c r="F5348" t="s">
        <v>754</v>
      </c>
      <c r="G5348" t="s">
        <v>4399</v>
      </c>
      <c r="H5348" t="s">
        <v>4516</v>
      </c>
      <c r="I5348" s="28" t="s">
        <v>27</v>
      </c>
    </row>
    <row r="5349" spans="1:9" x14ac:dyDescent="0.3">
      <c r="A5349" s="26">
        <v>45351</v>
      </c>
      <c r="B5349" t="s">
        <v>895</v>
      </c>
      <c r="C5349" t="s">
        <v>753</v>
      </c>
      <c r="D5349">
        <v>0.33</v>
      </c>
      <c r="E5349" t="s">
        <v>910</v>
      </c>
      <c r="F5349" t="s">
        <v>754</v>
      </c>
      <c r="G5349" t="s">
        <v>4400</v>
      </c>
      <c r="H5349" t="s">
        <v>4516</v>
      </c>
      <c r="I5349" s="28" t="s">
        <v>27</v>
      </c>
    </row>
    <row r="5350" spans="1:9" x14ac:dyDescent="0.3">
      <c r="A5350" s="26">
        <v>45351</v>
      </c>
      <c r="B5350" t="s">
        <v>895</v>
      </c>
      <c r="C5350" t="s">
        <v>753</v>
      </c>
      <c r="D5350">
        <v>0.45</v>
      </c>
      <c r="E5350" t="s">
        <v>815</v>
      </c>
      <c r="F5350" t="s">
        <v>754</v>
      </c>
      <c r="G5350" t="s">
        <v>4401</v>
      </c>
      <c r="H5350" t="s">
        <v>4516</v>
      </c>
      <c r="I5350" s="28" t="s">
        <v>27</v>
      </c>
    </row>
    <row r="5351" spans="1:9" x14ac:dyDescent="0.3">
      <c r="A5351" s="26">
        <v>45351</v>
      </c>
      <c r="B5351" t="s">
        <v>895</v>
      </c>
      <c r="C5351" t="s">
        <v>753</v>
      </c>
      <c r="D5351">
        <v>0.73</v>
      </c>
      <c r="E5351" t="s">
        <v>817</v>
      </c>
      <c r="F5351" t="s">
        <v>754</v>
      </c>
      <c r="G5351" t="s">
        <v>4402</v>
      </c>
      <c r="H5351" t="s">
        <v>4516</v>
      </c>
      <c r="I5351" s="28" t="s">
        <v>27</v>
      </c>
    </row>
    <row r="5352" spans="1:9" x14ac:dyDescent="0.3">
      <c r="A5352" s="26">
        <v>45351</v>
      </c>
      <c r="B5352" t="s">
        <v>895</v>
      </c>
      <c r="C5352" t="s">
        <v>906</v>
      </c>
      <c r="D5352">
        <v>0.28000000000000003</v>
      </c>
      <c r="E5352" t="s">
        <v>7</v>
      </c>
      <c r="F5352" t="s">
        <v>772</v>
      </c>
      <c r="G5352" t="s">
        <v>4403</v>
      </c>
      <c r="H5352" t="s">
        <v>4516</v>
      </c>
      <c r="I5352" s="28" t="s">
        <v>27</v>
      </c>
    </row>
    <row r="5353" spans="1:9" x14ac:dyDescent="0.3">
      <c r="A5353" s="26">
        <v>45351</v>
      </c>
      <c r="B5353" t="s">
        <v>895</v>
      </c>
      <c r="C5353" t="s">
        <v>909</v>
      </c>
      <c r="D5353">
        <v>7.0000000000000007E-2</v>
      </c>
      <c r="E5353" t="s">
        <v>814</v>
      </c>
      <c r="F5353" t="s">
        <v>754</v>
      </c>
      <c r="G5353" t="s">
        <v>4404</v>
      </c>
      <c r="H5353" t="s">
        <v>4516</v>
      </c>
      <c r="I5353" s="28" t="s">
        <v>27</v>
      </c>
    </row>
    <row r="5354" spans="1:9" x14ac:dyDescent="0.3">
      <c r="A5354" s="26">
        <v>45351</v>
      </c>
      <c r="B5354" t="s">
        <v>895</v>
      </c>
      <c r="C5354" t="s">
        <v>909</v>
      </c>
      <c r="D5354">
        <v>0.17</v>
      </c>
      <c r="E5354" t="s">
        <v>817</v>
      </c>
      <c r="F5354" t="s">
        <v>754</v>
      </c>
      <c r="G5354" t="s">
        <v>4405</v>
      </c>
      <c r="H5354" t="s">
        <v>4516</v>
      </c>
      <c r="I5354" s="28" t="s">
        <v>27</v>
      </c>
    </row>
    <row r="5355" spans="1:9" x14ac:dyDescent="0.3">
      <c r="A5355" s="26">
        <v>45351</v>
      </c>
      <c r="B5355" t="s">
        <v>895</v>
      </c>
      <c r="C5355" t="s">
        <v>909</v>
      </c>
      <c r="D5355">
        <v>0.17</v>
      </c>
      <c r="E5355" t="s">
        <v>602</v>
      </c>
      <c r="F5355" t="s">
        <v>754</v>
      </c>
      <c r="G5355" t="s">
        <v>4406</v>
      </c>
      <c r="H5355" t="s">
        <v>4516</v>
      </c>
      <c r="I5355" s="28" t="s">
        <v>27</v>
      </c>
    </row>
    <row r="5356" spans="1:9" x14ac:dyDescent="0.3">
      <c r="A5356" s="26">
        <v>45351</v>
      </c>
      <c r="B5356" t="s">
        <v>895</v>
      </c>
      <c r="C5356" t="s">
        <v>909</v>
      </c>
      <c r="D5356">
        <v>0.25</v>
      </c>
      <c r="E5356" t="s">
        <v>2605</v>
      </c>
      <c r="F5356" t="s">
        <v>754</v>
      </c>
      <c r="G5356" t="s">
        <v>4407</v>
      </c>
      <c r="H5356" t="s">
        <v>4516</v>
      </c>
      <c r="I5356" s="28" t="s">
        <v>27</v>
      </c>
    </row>
    <row r="5357" spans="1:9" x14ac:dyDescent="0.3">
      <c r="A5357" s="26">
        <v>45351</v>
      </c>
      <c r="B5357" t="s">
        <v>895</v>
      </c>
      <c r="C5357" t="s">
        <v>771</v>
      </c>
      <c r="D5357">
        <v>0.2</v>
      </c>
      <c r="E5357" t="s">
        <v>7</v>
      </c>
      <c r="F5357" t="s">
        <v>772</v>
      </c>
      <c r="G5357" t="s">
        <v>1012</v>
      </c>
      <c r="H5357" t="s">
        <v>4516</v>
      </c>
      <c r="I5357" s="28" t="s">
        <v>27</v>
      </c>
    </row>
    <row r="5358" spans="1:9" x14ac:dyDescent="0.3">
      <c r="A5358" s="26">
        <v>45351</v>
      </c>
      <c r="B5358" t="s">
        <v>895</v>
      </c>
      <c r="C5358" t="s">
        <v>771</v>
      </c>
      <c r="D5358">
        <v>1</v>
      </c>
      <c r="E5358" t="s">
        <v>7</v>
      </c>
      <c r="F5358" t="s">
        <v>772</v>
      </c>
      <c r="G5358" t="s">
        <v>4408</v>
      </c>
      <c r="H5358" t="s">
        <v>4516</v>
      </c>
      <c r="I5358" s="28" t="s">
        <v>27</v>
      </c>
    </row>
    <row r="5359" spans="1:9" x14ac:dyDescent="0.3">
      <c r="A5359" s="26">
        <v>45351</v>
      </c>
      <c r="B5359" t="s">
        <v>895</v>
      </c>
      <c r="C5359" t="s">
        <v>916</v>
      </c>
      <c r="D5359">
        <v>0.17</v>
      </c>
      <c r="E5359" t="s">
        <v>814</v>
      </c>
      <c r="F5359" t="s">
        <v>754</v>
      </c>
      <c r="G5359" t="s">
        <v>4409</v>
      </c>
      <c r="H5359" t="s">
        <v>4516</v>
      </c>
      <c r="I5359" s="28" t="s">
        <v>27</v>
      </c>
    </row>
    <row r="5360" spans="1:9" x14ac:dyDescent="0.3">
      <c r="A5360" s="26">
        <v>45351</v>
      </c>
      <c r="B5360" t="s">
        <v>895</v>
      </c>
      <c r="C5360" t="s">
        <v>916</v>
      </c>
      <c r="D5360">
        <v>0.5</v>
      </c>
      <c r="E5360" t="s">
        <v>815</v>
      </c>
      <c r="F5360" t="s">
        <v>754</v>
      </c>
      <c r="G5360" t="s">
        <v>4410</v>
      </c>
      <c r="H5360" t="s">
        <v>4516</v>
      </c>
      <c r="I5360" s="28" t="s">
        <v>27</v>
      </c>
    </row>
    <row r="5361" spans="1:9" x14ac:dyDescent="0.3">
      <c r="A5361" s="26">
        <v>45351</v>
      </c>
      <c r="B5361" t="s">
        <v>895</v>
      </c>
      <c r="C5361" t="s">
        <v>916</v>
      </c>
      <c r="D5361">
        <v>0.95</v>
      </c>
      <c r="E5361" t="s">
        <v>815</v>
      </c>
      <c r="F5361" t="s">
        <v>754</v>
      </c>
      <c r="G5361" t="s">
        <v>4411</v>
      </c>
      <c r="H5361" t="s">
        <v>4516</v>
      </c>
      <c r="I5361" s="28" t="s">
        <v>27</v>
      </c>
    </row>
    <row r="5362" spans="1:9" x14ac:dyDescent="0.3">
      <c r="A5362" s="26">
        <v>45351</v>
      </c>
      <c r="B5362" t="s">
        <v>895</v>
      </c>
      <c r="C5362" t="s">
        <v>874</v>
      </c>
      <c r="D5362">
        <v>0.92</v>
      </c>
      <c r="E5362" t="s">
        <v>7</v>
      </c>
      <c r="F5362" t="s">
        <v>772</v>
      </c>
      <c r="G5362" t="s">
        <v>4412</v>
      </c>
      <c r="H5362" t="s">
        <v>4516</v>
      </c>
      <c r="I5362" s="28" t="s">
        <v>27</v>
      </c>
    </row>
    <row r="5363" spans="1:9" x14ac:dyDescent="0.3">
      <c r="A5363" s="26">
        <v>45351</v>
      </c>
      <c r="B5363" t="s">
        <v>895</v>
      </c>
      <c r="C5363" t="s">
        <v>919</v>
      </c>
      <c r="D5363">
        <v>0.35</v>
      </c>
      <c r="E5363" t="s">
        <v>814</v>
      </c>
      <c r="F5363" t="s">
        <v>754</v>
      </c>
      <c r="G5363" t="s">
        <v>4413</v>
      </c>
      <c r="H5363" t="s">
        <v>4516</v>
      </c>
      <c r="I5363" s="28" t="s">
        <v>27</v>
      </c>
    </row>
    <row r="5364" spans="1:9" x14ac:dyDescent="0.3">
      <c r="A5364" s="26">
        <v>45351</v>
      </c>
      <c r="B5364" t="s">
        <v>895</v>
      </c>
      <c r="C5364" t="s">
        <v>776</v>
      </c>
      <c r="D5364">
        <v>0.22</v>
      </c>
      <c r="E5364" t="s">
        <v>879</v>
      </c>
      <c r="F5364" t="s">
        <v>754</v>
      </c>
      <c r="G5364" t="s">
        <v>4414</v>
      </c>
      <c r="H5364" t="s">
        <v>4516</v>
      </c>
      <c r="I5364" s="28" t="s">
        <v>27</v>
      </c>
    </row>
    <row r="5365" spans="1:9" x14ac:dyDescent="0.3">
      <c r="A5365" s="26">
        <v>45351</v>
      </c>
      <c r="B5365" t="s">
        <v>895</v>
      </c>
      <c r="C5365" t="s">
        <v>776</v>
      </c>
      <c r="D5365">
        <v>0.27</v>
      </c>
      <c r="E5365" t="s">
        <v>2605</v>
      </c>
      <c r="F5365" t="s">
        <v>754</v>
      </c>
      <c r="G5365" t="s">
        <v>4415</v>
      </c>
      <c r="H5365" t="s">
        <v>4516</v>
      </c>
      <c r="I5365" s="28" t="s">
        <v>27</v>
      </c>
    </row>
    <row r="5366" spans="1:9" x14ac:dyDescent="0.3">
      <c r="A5366" s="26">
        <v>45351</v>
      </c>
      <c r="B5366" t="s">
        <v>929</v>
      </c>
      <c r="C5366" t="s">
        <v>789</v>
      </c>
      <c r="D5366">
        <v>0.05</v>
      </c>
      <c r="E5366" t="s">
        <v>511</v>
      </c>
      <c r="F5366" t="s">
        <v>754</v>
      </c>
      <c r="G5366" t="s">
        <v>1398</v>
      </c>
      <c r="H5366" t="s">
        <v>4516</v>
      </c>
      <c r="I5366" s="28" t="s">
        <v>27</v>
      </c>
    </row>
    <row r="5367" spans="1:9" x14ac:dyDescent="0.3">
      <c r="A5367" s="26">
        <v>45351</v>
      </c>
      <c r="B5367" t="s">
        <v>929</v>
      </c>
      <c r="C5367" t="s">
        <v>789</v>
      </c>
      <c r="D5367">
        <v>0.15</v>
      </c>
      <c r="E5367" t="s">
        <v>814</v>
      </c>
      <c r="F5367" t="s">
        <v>772</v>
      </c>
      <c r="G5367" t="s">
        <v>1398</v>
      </c>
      <c r="H5367" t="s">
        <v>4516</v>
      </c>
      <c r="I5367" s="28" t="s">
        <v>27</v>
      </c>
    </row>
    <row r="5368" spans="1:9" x14ac:dyDescent="0.3">
      <c r="A5368" s="26">
        <v>45351</v>
      </c>
      <c r="B5368" t="s">
        <v>929</v>
      </c>
      <c r="C5368" t="s">
        <v>789</v>
      </c>
      <c r="D5368">
        <v>0.25</v>
      </c>
      <c r="E5368" t="s">
        <v>7</v>
      </c>
      <c r="F5368" t="s">
        <v>772</v>
      </c>
      <c r="G5368" t="s">
        <v>4416</v>
      </c>
      <c r="H5368" t="s">
        <v>4516</v>
      </c>
      <c r="I5368" s="28" t="s">
        <v>27</v>
      </c>
    </row>
    <row r="5369" spans="1:9" x14ac:dyDescent="0.3">
      <c r="A5369" s="26">
        <v>45351</v>
      </c>
      <c r="B5369" t="s">
        <v>929</v>
      </c>
      <c r="C5369" t="s">
        <v>789</v>
      </c>
      <c r="D5369">
        <v>0.3</v>
      </c>
      <c r="E5369" t="s">
        <v>814</v>
      </c>
      <c r="F5369" t="s">
        <v>754</v>
      </c>
      <c r="G5369" t="s">
        <v>4417</v>
      </c>
      <c r="H5369" t="s">
        <v>4516</v>
      </c>
      <c r="I5369" s="28" t="s">
        <v>27</v>
      </c>
    </row>
    <row r="5370" spans="1:9" x14ac:dyDescent="0.3">
      <c r="A5370" s="26">
        <v>45351</v>
      </c>
      <c r="B5370" t="s">
        <v>929</v>
      </c>
      <c r="C5370" t="s">
        <v>789</v>
      </c>
      <c r="D5370">
        <v>0.3</v>
      </c>
      <c r="E5370" t="s">
        <v>917</v>
      </c>
      <c r="F5370" t="s">
        <v>754</v>
      </c>
      <c r="G5370" t="s">
        <v>4418</v>
      </c>
      <c r="H5370" t="s">
        <v>4516</v>
      </c>
      <c r="I5370" s="28" t="s">
        <v>27</v>
      </c>
    </row>
    <row r="5371" spans="1:9" x14ac:dyDescent="0.3">
      <c r="A5371" s="26">
        <v>45351</v>
      </c>
      <c r="B5371" t="s">
        <v>929</v>
      </c>
      <c r="C5371" t="s">
        <v>789</v>
      </c>
      <c r="D5371">
        <v>0.32</v>
      </c>
      <c r="E5371" t="s">
        <v>817</v>
      </c>
      <c r="F5371" t="s">
        <v>772</v>
      </c>
      <c r="G5371" t="s">
        <v>4419</v>
      </c>
      <c r="H5371" t="s">
        <v>4516</v>
      </c>
      <c r="I5371" s="28" t="s">
        <v>27</v>
      </c>
    </row>
    <row r="5372" spans="1:9" x14ac:dyDescent="0.3">
      <c r="A5372" s="26">
        <v>45351</v>
      </c>
      <c r="B5372" t="s">
        <v>929</v>
      </c>
      <c r="C5372" t="s">
        <v>771</v>
      </c>
      <c r="D5372">
        <v>0.12</v>
      </c>
      <c r="E5372" t="s">
        <v>7</v>
      </c>
      <c r="F5372" t="s">
        <v>772</v>
      </c>
      <c r="G5372" t="s">
        <v>1404</v>
      </c>
      <c r="H5372" t="s">
        <v>4516</v>
      </c>
      <c r="I5372" s="28" t="s">
        <v>27</v>
      </c>
    </row>
    <row r="5373" spans="1:9" x14ac:dyDescent="0.3">
      <c r="A5373" s="26">
        <v>45351</v>
      </c>
      <c r="B5373" t="s">
        <v>929</v>
      </c>
      <c r="C5373" t="s">
        <v>771</v>
      </c>
      <c r="D5373">
        <v>0.25</v>
      </c>
      <c r="E5373" t="s">
        <v>7</v>
      </c>
      <c r="F5373" t="s">
        <v>772</v>
      </c>
      <c r="G5373" t="s">
        <v>4254</v>
      </c>
      <c r="H5373" t="s">
        <v>4516</v>
      </c>
      <c r="I5373" s="28" t="s">
        <v>27</v>
      </c>
    </row>
    <row r="5374" spans="1:9" x14ac:dyDescent="0.3">
      <c r="A5374" s="26">
        <v>45351</v>
      </c>
      <c r="B5374" t="s">
        <v>929</v>
      </c>
      <c r="C5374" t="s">
        <v>771</v>
      </c>
      <c r="D5374">
        <v>0.37</v>
      </c>
      <c r="E5374" t="s">
        <v>7</v>
      </c>
      <c r="F5374" t="s">
        <v>772</v>
      </c>
      <c r="G5374" t="s">
        <v>4420</v>
      </c>
      <c r="H5374" t="s">
        <v>4516</v>
      </c>
      <c r="I5374" s="28" t="s">
        <v>27</v>
      </c>
    </row>
    <row r="5375" spans="1:9" x14ac:dyDescent="0.3">
      <c r="A5375" s="26">
        <v>45351</v>
      </c>
      <c r="B5375" t="s">
        <v>929</v>
      </c>
      <c r="C5375" t="s">
        <v>771</v>
      </c>
      <c r="D5375">
        <v>0.56999999999999995</v>
      </c>
      <c r="E5375" t="s">
        <v>7</v>
      </c>
      <c r="F5375" t="s">
        <v>772</v>
      </c>
      <c r="G5375" t="s">
        <v>4421</v>
      </c>
      <c r="H5375" t="s">
        <v>4516</v>
      </c>
      <c r="I5375" s="28" t="s">
        <v>27</v>
      </c>
    </row>
    <row r="5376" spans="1:9" x14ac:dyDescent="0.3">
      <c r="A5376" s="26">
        <v>45351</v>
      </c>
      <c r="B5376" t="s">
        <v>929</v>
      </c>
      <c r="C5376" t="s">
        <v>942</v>
      </c>
      <c r="D5376">
        <v>0.28000000000000003</v>
      </c>
      <c r="E5376" t="s">
        <v>7</v>
      </c>
      <c r="F5376" t="s">
        <v>772</v>
      </c>
      <c r="G5376" t="s">
        <v>4422</v>
      </c>
      <c r="H5376" t="s">
        <v>4516</v>
      </c>
      <c r="I5376" s="28" t="s">
        <v>27</v>
      </c>
    </row>
    <row r="5377" spans="1:9" x14ac:dyDescent="0.3">
      <c r="A5377" s="26">
        <v>45351</v>
      </c>
      <c r="B5377" t="s">
        <v>929</v>
      </c>
      <c r="C5377" t="s">
        <v>2096</v>
      </c>
      <c r="D5377">
        <v>0.05</v>
      </c>
      <c r="E5377" t="s">
        <v>814</v>
      </c>
      <c r="F5377" t="s">
        <v>772</v>
      </c>
      <c r="G5377" t="s">
        <v>4423</v>
      </c>
      <c r="H5377" t="s">
        <v>4516</v>
      </c>
      <c r="I5377" s="28" t="s">
        <v>27</v>
      </c>
    </row>
    <row r="5378" spans="1:9" x14ac:dyDescent="0.3">
      <c r="A5378" s="26">
        <v>45351</v>
      </c>
      <c r="B5378" t="s">
        <v>929</v>
      </c>
      <c r="C5378" t="s">
        <v>2096</v>
      </c>
      <c r="D5378">
        <v>0.05</v>
      </c>
      <c r="E5378" t="s">
        <v>815</v>
      </c>
      <c r="F5378" t="s">
        <v>772</v>
      </c>
      <c r="G5378" t="s">
        <v>4424</v>
      </c>
      <c r="H5378" t="s">
        <v>4516</v>
      </c>
      <c r="I5378" s="28" t="s">
        <v>27</v>
      </c>
    </row>
    <row r="5379" spans="1:9" x14ac:dyDescent="0.3">
      <c r="A5379" s="26">
        <v>45351</v>
      </c>
      <c r="B5379" t="s">
        <v>929</v>
      </c>
      <c r="C5379" t="s">
        <v>2096</v>
      </c>
      <c r="D5379">
        <v>0.05</v>
      </c>
      <c r="E5379" t="s">
        <v>811</v>
      </c>
      <c r="F5379" t="s">
        <v>772</v>
      </c>
      <c r="G5379" t="s">
        <v>4424</v>
      </c>
      <c r="H5379" t="s">
        <v>4516</v>
      </c>
      <c r="I5379" s="28" t="s">
        <v>27</v>
      </c>
    </row>
    <row r="5380" spans="1:9" x14ac:dyDescent="0.3">
      <c r="A5380" s="26">
        <v>45351</v>
      </c>
      <c r="B5380" t="s">
        <v>929</v>
      </c>
      <c r="C5380" t="s">
        <v>2096</v>
      </c>
      <c r="D5380">
        <v>0.05</v>
      </c>
      <c r="E5380" t="s">
        <v>813</v>
      </c>
      <c r="F5380" t="s">
        <v>772</v>
      </c>
      <c r="G5380" t="s">
        <v>4424</v>
      </c>
      <c r="H5380" t="s">
        <v>4516</v>
      </c>
      <c r="I5380" s="28" t="s">
        <v>27</v>
      </c>
    </row>
    <row r="5381" spans="1:9" x14ac:dyDescent="0.3">
      <c r="A5381" s="26">
        <v>45351</v>
      </c>
      <c r="B5381" t="s">
        <v>929</v>
      </c>
      <c r="C5381" t="s">
        <v>1441</v>
      </c>
      <c r="D5381">
        <v>0.12</v>
      </c>
      <c r="E5381" t="s">
        <v>1069</v>
      </c>
      <c r="F5381" t="s">
        <v>772</v>
      </c>
      <c r="G5381" t="s">
        <v>4423</v>
      </c>
      <c r="H5381" t="s">
        <v>4516</v>
      </c>
      <c r="I5381" s="28" t="s">
        <v>27</v>
      </c>
    </row>
    <row r="5382" spans="1:9" x14ac:dyDescent="0.3">
      <c r="A5382" s="26">
        <v>45351</v>
      </c>
      <c r="B5382" t="s">
        <v>929</v>
      </c>
      <c r="C5382" t="s">
        <v>916</v>
      </c>
      <c r="D5382">
        <v>0.32</v>
      </c>
      <c r="E5382" t="s">
        <v>814</v>
      </c>
      <c r="F5382" t="s">
        <v>772</v>
      </c>
      <c r="G5382" t="s">
        <v>3840</v>
      </c>
      <c r="H5382" t="s">
        <v>4516</v>
      </c>
      <c r="I5382" s="28" t="s">
        <v>27</v>
      </c>
    </row>
    <row r="5383" spans="1:9" x14ac:dyDescent="0.3">
      <c r="A5383" s="26">
        <v>45351</v>
      </c>
      <c r="B5383" t="s">
        <v>929</v>
      </c>
      <c r="C5383" t="s">
        <v>916</v>
      </c>
      <c r="D5383">
        <v>0.7</v>
      </c>
      <c r="E5383" t="s">
        <v>10</v>
      </c>
      <c r="F5383" t="s">
        <v>754</v>
      </c>
      <c r="G5383" t="s">
        <v>4425</v>
      </c>
      <c r="H5383" t="s">
        <v>4516</v>
      </c>
      <c r="I5383" s="28" t="s">
        <v>27</v>
      </c>
    </row>
    <row r="5384" spans="1:9" x14ac:dyDescent="0.3">
      <c r="A5384" s="26">
        <v>45351</v>
      </c>
      <c r="B5384" t="s">
        <v>929</v>
      </c>
      <c r="C5384" t="s">
        <v>916</v>
      </c>
      <c r="D5384">
        <v>0.98</v>
      </c>
      <c r="E5384" t="s">
        <v>10</v>
      </c>
      <c r="F5384" t="s">
        <v>754</v>
      </c>
      <c r="H5384" t="s">
        <v>4516</v>
      </c>
      <c r="I5384" s="28" t="s">
        <v>27</v>
      </c>
    </row>
    <row r="5385" spans="1:9" x14ac:dyDescent="0.3">
      <c r="A5385" s="26">
        <v>45351</v>
      </c>
      <c r="B5385" t="s">
        <v>929</v>
      </c>
      <c r="C5385" t="s">
        <v>916</v>
      </c>
      <c r="D5385">
        <v>1.33</v>
      </c>
      <c r="E5385" t="s">
        <v>303</v>
      </c>
      <c r="F5385" t="s">
        <v>754</v>
      </c>
      <c r="G5385" t="s">
        <v>4426</v>
      </c>
      <c r="H5385" t="s">
        <v>4516</v>
      </c>
      <c r="I5385" s="28" t="s">
        <v>27</v>
      </c>
    </row>
    <row r="5386" spans="1:9" x14ac:dyDescent="0.3">
      <c r="A5386" s="26">
        <v>45351</v>
      </c>
      <c r="B5386" t="s">
        <v>929</v>
      </c>
      <c r="C5386" t="s">
        <v>916</v>
      </c>
      <c r="D5386">
        <v>1.4</v>
      </c>
      <c r="E5386" t="s">
        <v>814</v>
      </c>
      <c r="F5386" t="s">
        <v>754</v>
      </c>
      <c r="G5386" t="s">
        <v>3700</v>
      </c>
      <c r="H5386" t="s">
        <v>4516</v>
      </c>
      <c r="I5386" s="28" t="s">
        <v>27</v>
      </c>
    </row>
    <row r="5387" spans="1:9" x14ac:dyDescent="0.3">
      <c r="A5387" s="26">
        <v>45351</v>
      </c>
      <c r="B5387" t="s">
        <v>929</v>
      </c>
      <c r="C5387" t="s">
        <v>874</v>
      </c>
      <c r="D5387">
        <v>7.0000000000000007E-2</v>
      </c>
      <c r="E5387" t="s">
        <v>7</v>
      </c>
      <c r="F5387" t="s">
        <v>772</v>
      </c>
      <c r="G5387" t="s">
        <v>4427</v>
      </c>
      <c r="H5387" t="s">
        <v>4516</v>
      </c>
      <c r="I5387" s="28" t="s">
        <v>27</v>
      </c>
    </row>
    <row r="5388" spans="1:9" x14ac:dyDescent="0.3">
      <c r="A5388" s="26">
        <v>45351</v>
      </c>
      <c r="B5388" t="s">
        <v>929</v>
      </c>
      <c r="C5388" t="s">
        <v>874</v>
      </c>
      <c r="D5388">
        <v>0.13</v>
      </c>
      <c r="E5388" t="s">
        <v>7</v>
      </c>
      <c r="F5388" t="s">
        <v>772</v>
      </c>
      <c r="G5388" t="s">
        <v>4428</v>
      </c>
      <c r="H5388" t="s">
        <v>4516</v>
      </c>
      <c r="I5388" s="28" t="s">
        <v>27</v>
      </c>
    </row>
    <row r="5389" spans="1:9" x14ac:dyDescent="0.3">
      <c r="A5389" s="26">
        <v>45351</v>
      </c>
      <c r="B5389" t="s">
        <v>929</v>
      </c>
      <c r="C5389" t="s">
        <v>874</v>
      </c>
      <c r="D5389">
        <v>0.17</v>
      </c>
      <c r="E5389" t="s">
        <v>7</v>
      </c>
      <c r="F5389" t="s">
        <v>772</v>
      </c>
      <c r="G5389" t="s">
        <v>4429</v>
      </c>
      <c r="H5389" t="s">
        <v>4516</v>
      </c>
      <c r="I5389" s="28" t="s">
        <v>27</v>
      </c>
    </row>
    <row r="5390" spans="1:9" x14ac:dyDescent="0.3">
      <c r="A5390" s="26">
        <v>45351</v>
      </c>
      <c r="B5390" t="s">
        <v>959</v>
      </c>
      <c r="C5390" t="s">
        <v>942</v>
      </c>
      <c r="D5390">
        <v>3</v>
      </c>
      <c r="E5390" t="s">
        <v>7</v>
      </c>
      <c r="F5390" t="s">
        <v>772</v>
      </c>
      <c r="G5390" t="s">
        <v>4430</v>
      </c>
      <c r="H5390" t="s">
        <v>4516</v>
      </c>
      <c r="I5390" s="28" t="s">
        <v>27</v>
      </c>
    </row>
    <row r="5391" spans="1:9" x14ac:dyDescent="0.3">
      <c r="A5391" s="26">
        <v>45351</v>
      </c>
      <c r="B5391" t="s">
        <v>959</v>
      </c>
      <c r="C5391" t="s">
        <v>878</v>
      </c>
      <c r="D5391">
        <v>5</v>
      </c>
      <c r="E5391" t="s">
        <v>430</v>
      </c>
      <c r="F5391" t="s">
        <v>754</v>
      </c>
      <c r="G5391" t="s">
        <v>4431</v>
      </c>
      <c r="H5391" t="s">
        <v>4516</v>
      </c>
      <c r="I5391" s="28" t="s">
        <v>27</v>
      </c>
    </row>
    <row r="5392" spans="1:9" x14ac:dyDescent="0.3">
      <c r="A5392" s="26">
        <v>45351</v>
      </c>
      <c r="B5392" t="s">
        <v>961</v>
      </c>
      <c r="C5392" t="s">
        <v>753</v>
      </c>
      <c r="D5392">
        <v>0.33</v>
      </c>
      <c r="E5392" t="s">
        <v>717</v>
      </c>
      <c r="F5392" t="s">
        <v>754</v>
      </c>
      <c r="G5392" t="s">
        <v>4432</v>
      </c>
      <c r="H5392" t="s">
        <v>4516</v>
      </c>
      <c r="I5392" s="28" t="s">
        <v>27</v>
      </c>
    </row>
    <row r="5393" spans="1:9" x14ac:dyDescent="0.3">
      <c r="A5393" s="26">
        <v>45351</v>
      </c>
      <c r="B5393" t="s">
        <v>961</v>
      </c>
      <c r="C5393" t="s">
        <v>753</v>
      </c>
      <c r="D5393">
        <v>0.85</v>
      </c>
      <c r="E5393" t="s">
        <v>655</v>
      </c>
      <c r="F5393" t="s">
        <v>754</v>
      </c>
      <c r="H5393" t="s">
        <v>4516</v>
      </c>
      <c r="I5393" s="28" t="s">
        <v>27</v>
      </c>
    </row>
    <row r="5394" spans="1:9" x14ac:dyDescent="0.3">
      <c r="A5394" s="26">
        <v>45351</v>
      </c>
      <c r="B5394" t="s">
        <v>961</v>
      </c>
      <c r="C5394" t="s">
        <v>753</v>
      </c>
      <c r="D5394">
        <v>4.5199999999999996</v>
      </c>
      <c r="E5394" t="s">
        <v>790</v>
      </c>
      <c r="F5394" t="s">
        <v>754</v>
      </c>
      <c r="H5394" t="s">
        <v>4516</v>
      </c>
      <c r="I5394" s="28" t="s">
        <v>27</v>
      </c>
    </row>
    <row r="5395" spans="1:9" x14ac:dyDescent="0.3">
      <c r="A5395" s="26">
        <v>45351</v>
      </c>
      <c r="B5395" t="s">
        <v>961</v>
      </c>
      <c r="C5395" t="s">
        <v>771</v>
      </c>
      <c r="D5395">
        <v>0.1</v>
      </c>
      <c r="E5395" t="s">
        <v>7</v>
      </c>
      <c r="F5395" t="s">
        <v>772</v>
      </c>
      <c r="G5395" t="s">
        <v>2334</v>
      </c>
      <c r="H5395" t="s">
        <v>4516</v>
      </c>
      <c r="I5395" s="28" t="s">
        <v>27</v>
      </c>
    </row>
    <row r="5396" spans="1:9" x14ac:dyDescent="0.3">
      <c r="A5396" s="26">
        <v>45351</v>
      </c>
      <c r="B5396" t="s">
        <v>961</v>
      </c>
      <c r="C5396" t="s">
        <v>776</v>
      </c>
      <c r="D5396">
        <v>3.17</v>
      </c>
      <c r="E5396" t="s">
        <v>655</v>
      </c>
      <c r="F5396" t="s">
        <v>754</v>
      </c>
      <c r="G5396" t="s">
        <v>4433</v>
      </c>
      <c r="H5396" t="s">
        <v>4516</v>
      </c>
      <c r="I5396" s="28" t="s">
        <v>27</v>
      </c>
    </row>
    <row r="5397" spans="1:9" x14ac:dyDescent="0.3">
      <c r="A5397" s="26">
        <v>45351</v>
      </c>
      <c r="B5397" t="s">
        <v>962</v>
      </c>
      <c r="C5397" t="s">
        <v>1414</v>
      </c>
      <c r="D5397">
        <v>1.5</v>
      </c>
      <c r="E5397" t="s">
        <v>717</v>
      </c>
      <c r="F5397" t="s">
        <v>754</v>
      </c>
      <c r="G5397" t="s">
        <v>4434</v>
      </c>
      <c r="H5397" t="s">
        <v>4516</v>
      </c>
      <c r="I5397" s="28" t="s">
        <v>27</v>
      </c>
    </row>
    <row r="5398" spans="1:9" x14ac:dyDescent="0.3">
      <c r="A5398" s="26">
        <v>45351</v>
      </c>
      <c r="B5398" t="s">
        <v>966</v>
      </c>
      <c r="C5398" t="s">
        <v>970</v>
      </c>
      <c r="D5398">
        <v>2.5</v>
      </c>
      <c r="E5398" t="s">
        <v>790</v>
      </c>
      <c r="F5398" t="s">
        <v>772</v>
      </c>
      <c r="G5398" t="s">
        <v>4435</v>
      </c>
      <c r="H5398" t="s">
        <v>4516</v>
      </c>
      <c r="I5398" s="28" t="s">
        <v>27</v>
      </c>
    </row>
    <row r="5399" spans="1:9" x14ac:dyDescent="0.3">
      <c r="A5399" s="26">
        <v>45351</v>
      </c>
      <c r="B5399" t="s">
        <v>966</v>
      </c>
      <c r="C5399" t="s">
        <v>967</v>
      </c>
      <c r="D5399">
        <v>1.5</v>
      </c>
      <c r="E5399" t="s">
        <v>7</v>
      </c>
      <c r="F5399" t="s">
        <v>772</v>
      </c>
      <c r="H5399" t="s">
        <v>4516</v>
      </c>
      <c r="I5399" s="28" t="s">
        <v>27</v>
      </c>
    </row>
    <row r="5400" spans="1:9" x14ac:dyDescent="0.3">
      <c r="A5400" s="26">
        <v>45351</v>
      </c>
      <c r="B5400" t="s">
        <v>966</v>
      </c>
      <c r="C5400" t="s">
        <v>967</v>
      </c>
      <c r="D5400">
        <v>3.5</v>
      </c>
      <c r="E5400" t="s">
        <v>790</v>
      </c>
      <c r="F5400" t="s">
        <v>754</v>
      </c>
      <c r="H5400" t="s">
        <v>4516</v>
      </c>
      <c r="I5400" s="28" t="s">
        <v>27</v>
      </c>
    </row>
    <row r="5401" spans="1:9" x14ac:dyDescent="0.3">
      <c r="A5401" s="26">
        <v>45351</v>
      </c>
      <c r="B5401" t="s">
        <v>966</v>
      </c>
      <c r="C5401" t="s">
        <v>771</v>
      </c>
      <c r="D5401">
        <v>0.5</v>
      </c>
      <c r="E5401" t="s">
        <v>7</v>
      </c>
      <c r="F5401" t="s">
        <v>772</v>
      </c>
      <c r="G5401" t="s">
        <v>781</v>
      </c>
      <c r="H5401" t="s">
        <v>4516</v>
      </c>
      <c r="I5401" s="28" t="s">
        <v>27</v>
      </c>
    </row>
    <row r="5402" spans="1:9" x14ac:dyDescent="0.3">
      <c r="A5402" s="26">
        <v>45351</v>
      </c>
      <c r="B5402" t="s">
        <v>969</v>
      </c>
      <c r="C5402" t="s">
        <v>784</v>
      </c>
      <c r="D5402">
        <v>8</v>
      </c>
      <c r="E5402" t="s">
        <v>7</v>
      </c>
      <c r="F5402" t="s">
        <v>772</v>
      </c>
      <c r="H5402" t="s">
        <v>4516</v>
      </c>
      <c r="I5402" s="28" t="s">
        <v>27</v>
      </c>
    </row>
    <row r="5403" spans="1:9" x14ac:dyDescent="0.3">
      <c r="A5403" s="26">
        <v>45351</v>
      </c>
      <c r="B5403" t="s">
        <v>977</v>
      </c>
      <c r="C5403" t="s">
        <v>753</v>
      </c>
      <c r="D5403">
        <v>2.92</v>
      </c>
      <c r="E5403" t="s">
        <v>978</v>
      </c>
      <c r="F5403" t="s">
        <v>754</v>
      </c>
      <c r="G5403" t="s">
        <v>4436</v>
      </c>
      <c r="H5403" t="s">
        <v>4516</v>
      </c>
      <c r="I5403" s="28" t="s">
        <v>27</v>
      </c>
    </row>
    <row r="5404" spans="1:9" x14ac:dyDescent="0.3">
      <c r="A5404" s="26">
        <v>45351</v>
      </c>
      <c r="B5404" t="s">
        <v>977</v>
      </c>
      <c r="C5404" t="s">
        <v>753</v>
      </c>
      <c r="D5404">
        <v>4.58</v>
      </c>
      <c r="E5404" t="s">
        <v>978</v>
      </c>
      <c r="F5404" t="s">
        <v>754</v>
      </c>
      <c r="G5404" t="s">
        <v>4437</v>
      </c>
      <c r="H5404" t="s">
        <v>4516</v>
      </c>
      <c r="I5404" s="28" t="s">
        <v>27</v>
      </c>
    </row>
    <row r="5405" spans="1:9" x14ac:dyDescent="0.3">
      <c r="A5405" s="26">
        <v>45351</v>
      </c>
      <c r="B5405" t="s">
        <v>977</v>
      </c>
      <c r="C5405" t="s">
        <v>771</v>
      </c>
      <c r="D5405">
        <v>0.5</v>
      </c>
      <c r="E5405" t="s">
        <v>7</v>
      </c>
      <c r="F5405" t="s">
        <v>772</v>
      </c>
      <c r="G5405" t="s">
        <v>820</v>
      </c>
      <c r="H5405" t="s">
        <v>4516</v>
      </c>
      <c r="I5405" s="28" t="s">
        <v>27</v>
      </c>
    </row>
    <row r="5406" spans="1:9" x14ac:dyDescent="0.3">
      <c r="A5406" s="26">
        <v>45351</v>
      </c>
      <c r="B5406" t="s">
        <v>981</v>
      </c>
      <c r="C5406" t="s">
        <v>982</v>
      </c>
      <c r="D5406">
        <v>9</v>
      </c>
      <c r="E5406" t="s">
        <v>7</v>
      </c>
      <c r="F5406" t="s">
        <v>772</v>
      </c>
      <c r="G5406" t="s">
        <v>4438</v>
      </c>
      <c r="H5406" t="s">
        <v>4516</v>
      </c>
      <c r="I5406" s="28" t="s">
        <v>27</v>
      </c>
    </row>
    <row r="5407" spans="1:9" x14ac:dyDescent="0.3">
      <c r="A5407" s="26">
        <v>45351</v>
      </c>
      <c r="B5407" t="s">
        <v>984</v>
      </c>
      <c r="C5407" t="s">
        <v>753</v>
      </c>
      <c r="D5407">
        <v>0.27</v>
      </c>
      <c r="E5407" t="s">
        <v>602</v>
      </c>
      <c r="F5407" t="s">
        <v>772</v>
      </c>
      <c r="G5407" t="s">
        <v>4439</v>
      </c>
      <c r="H5407" t="s">
        <v>4516</v>
      </c>
      <c r="I5407" s="28" t="s">
        <v>27</v>
      </c>
    </row>
    <row r="5408" spans="1:9" x14ac:dyDescent="0.3">
      <c r="A5408" s="26">
        <v>45351</v>
      </c>
      <c r="B5408" t="s">
        <v>984</v>
      </c>
      <c r="C5408" t="s">
        <v>753</v>
      </c>
      <c r="D5408">
        <v>0.7</v>
      </c>
      <c r="E5408" t="s">
        <v>917</v>
      </c>
      <c r="F5408" t="s">
        <v>754</v>
      </c>
      <c r="G5408" t="s">
        <v>4440</v>
      </c>
      <c r="H5408" t="s">
        <v>4516</v>
      </c>
      <c r="I5408" s="28" t="s">
        <v>27</v>
      </c>
    </row>
    <row r="5409" spans="1:9" x14ac:dyDescent="0.3">
      <c r="A5409" s="26">
        <v>45351</v>
      </c>
      <c r="B5409" t="s">
        <v>984</v>
      </c>
      <c r="C5409" t="s">
        <v>753</v>
      </c>
      <c r="D5409">
        <v>2.62</v>
      </c>
      <c r="E5409" t="s">
        <v>13</v>
      </c>
      <c r="F5409" t="s">
        <v>754</v>
      </c>
      <c r="G5409" t="s">
        <v>4441</v>
      </c>
      <c r="H5409" t="s">
        <v>4516</v>
      </c>
      <c r="I5409" s="28" t="s">
        <v>27</v>
      </c>
    </row>
    <row r="5410" spans="1:9" x14ac:dyDescent="0.3">
      <c r="A5410" s="26">
        <v>45351</v>
      </c>
      <c r="B5410" t="s">
        <v>984</v>
      </c>
      <c r="C5410" t="s">
        <v>753</v>
      </c>
      <c r="D5410">
        <v>2.72</v>
      </c>
      <c r="E5410" t="s">
        <v>985</v>
      </c>
      <c r="F5410" t="s">
        <v>754</v>
      </c>
      <c r="G5410" t="s">
        <v>4442</v>
      </c>
      <c r="H5410" t="s">
        <v>4516</v>
      </c>
      <c r="I5410" s="28" t="s">
        <v>27</v>
      </c>
    </row>
    <row r="5411" spans="1:9" x14ac:dyDescent="0.3">
      <c r="A5411" s="26">
        <v>45351</v>
      </c>
      <c r="B5411" t="s">
        <v>984</v>
      </c>
      <c r="C5411" t="s">
        <v>874</v>
      </c>
      <c r="D5411">
        <v>0.05</v>
      </c>
      <c r="E5411" t="s">
        <v>7</v>
      </c>
      <c r="F5411" t="s">
        <v>772</v>
      </c>
      <c r="G5411" t="s">
        <v>4443</v>
      </c>
      <c r="H5411" t="s">
        <v>4516</v>
      </c>
      <c r="I5411" s="28" t="s">
        <v>27</v>
      </c>
    </row>
    <row r="5412" spans="1:9" x14ac:dyDescent="0.3">
      <c r="A5412" s="26">
        <v>45351</v>
      </c>
      <c r="B5412" t="s">
        <v>984</v>
      </c>
      <c r="C5412" t="s">
        <v>874</v>
      </c>
      <c r="D5412">
        <v>0.67</v>
      </c>
      <c r="E5412" t="s">
        <v>7</v>
      </c>
      <c r="F5412" t="s">
        <v>772</v>
      </c>
      <c r="H5412" t="s">
        <v>4516</v>
      </c>
      <c r="I5412" s="28" t="s">
        <v>27</v>
      </c>
    </row>
    <row r="5413" spans="1:9" x14ac:dyDescent="0.3">
      <c r="A5413" s="26">
        <v>45351</v>
      </c>
      <c r="B5413" t="s">
        <v>984</v>
      </c>
      <c r="C5413" t="s">
        <v>776</v>
      </c>
      <c r="D5413">
        <v>1.05</v>
      </c>
      <c r="E5413" t="s">
        <v>903</v>
      </c>
      <c r="F5413" t="s">
        <v>754</v>
      </c>
      <c r="G5413" t="s">
        <v>4444</v>
      </c>
      <c r="H5413" t="s">
        <v>4516</v>
      </c>
      <c r="I5413" s="28" t="s">
        <v>27</v>
      </c>
    </row>
    <row r="5414" spans="1:9" x14ac:dyDescent="0.3">
      <c r="A5414" s="26">
        <v>45351</v>
      </c>
      <c r="B5414" t="s">
        <v>991</v>
      </c>
      <c r="C5414" t="s">
        <v>992</v>
      </c>
      <c r="D5414">
        <v>0.27</v>
      </c>
      <c r="E5414" t="s">
        <v>7</v>
      </c>
      <c r="F5414" t="s">
        <v>772</v>
      </c>
      <c r="G5414" t="s">
        <v>4445</v>
      </c>
      <c r="H5414" t="s">
        <v>4516</v>
      </c>
      <c r="I5414" s="28" t="s">
        <v>27</v>
      </c>
    </row>
    <row r="5415" spans="1:9" x14ac:dyDescent="0.3">
      <c r="A5415" s="26">
        <v>45351</v>
      </c>
      <c r="B5415" t="s">
        <v>991</v>
      </c>
      <c r="C5415" t="s">
        <v>992</v>
      </c>
      <c r="D5415">
        <v>1.1299999999999999</v>
      </c>
      <c r="E5415" t="s">
        <v>7</v>
      </c>
      <c r="F5415" t="s">
        <v>772</v>
      </c>
      <c r="G5415" t="s">
        <v>4446</v>
      </c>
      <c r="H5415" t="s">
        <v>4516</v>
      </c>
      <c r="I5415" s="28" t="s">
        <v>27</v>
      </c>
    </row>
    <row r="5416" spans="1:9" x14ac:dyDescent="0.3">
      <c r="A5416" s="26">
        <v>45351</v>
      </c>
      <c r="B5416" t="s">
        <v>991</v>
      </c>
      <c r="C5416" t="s">
        <v>992</v>
      </c>
      <c r="D5416">
        <v>1.22</v>
      </c>
      <c r="E5416" t="s">
        <v>7</v>
      </c>
      <c r="F5416" t="s">
        <v>772</v>
      </c>
      <c r="G5416" t="s">
        <v>4447</v>
      </c>
      <c r="H5416" t="s">
        <v>4516</v>
      </c>
      <c r="I5416" s="28" t="s">
        <v>27</v>
      </c>
    </row>
    <row r="5417" spans="1:9" x14ac:dyDescent="0.3">
      <c r="A5417" s="26">
        <v>45351</v>
      </c>
      <c r="B5417" t="s">
        <v>991</v>
      </c>
      <c r="C5417" t="s">
        <v>992</v>
      </c>
      <c r="D5417">
        <v>3.22</v>
      </c>
      <c r="E5417" t="s">
        <v>999</v>
      </c>
      <c r="F5417" t="s">
        <v>772</v>
      </c>
      <c r="G5417" t="s">
        <v>4448</v>
      </c>
      <c r="H5417" t="s">
        <v>4516</v>
      </c>
      <c r="I5417" s="28" t="s">
        <v>27</v>
      </c>
    </row>
    <row r="5418" spans="1:9" x14ac:dyDescent="0.3">
      <c r="A5418" s="26">
        <v>45351</v>
      </c>
      <c r="B5418" t="s">
        <v>991</v>
      </c>
      <c r="C5418" t="s">
        <v>1870</v>
      </c>
      <c r="D5418">
        <v>0.93</v>
      </c>
      <c r="E5418" t="s">
        <v>7</v>
      </c>
      <c r="F5418" t="s">
        <v>772</v>
      </c>
      <c r="G5418" t="s">
        <v>4449</v>
      </c>
      <c r="H5418" t="s">
        <v>4516</v>
      </c>
      <c r="I5418" s="28" t="s">
        <v>27</v>
      </c>
    </row>
    <row r="5419" spans="1:9" x14ac:dyDescent="0.3">
      <c r="A5419" s="26">
        <v>45351</v>
      </c>
      <c r="B5419" t="s">
        <v>991</v>
      </c>
      <c r="C5419" t="s">
        <v>776</v>
      </c>
      <c r="D5419">
        <v>1.45</v>
      </c>
      <c r="E5419" t="s">
        <v>999</v>
      </c>
      <c r="F5419" t="s">
        <v>772</v>
      </c>
      <c r="G5419" t="s">
        <v>4450</v>
      </c>
      <c r="H5419" t="s">
        <v>4516</v>
      </c>
      <c r="I5419" s="28" t="s">
        <v>27</v>
      </c>
    </row>
    <row r="5420" spans="1:9" x14ac:dyDescent="0.3">
      <c r="A5420" s="26">
        <v>45351</v>
      </c>
      <c r="B5420" t="s">
        <v>1002</v>
      </c>
      <c r="C5420" t="s">
        <v>1003</v>
      </c>
      <c r="D5420">
        <v>10</v>
      </c>
      <c r="E5420" t="s">
        <v>7</v>
      </c>
      <c r="F5420" t="s">
        <v>772</v>
      </c>
      <c r="G5420" t="s">
        <v>4451</v>
      </c>
      <c r="H5420" t="s">
        <v>4516</v>
      </c>
      <c r="I5420" s="28" t="s">
        <v>27</v>
      </c>
    </row>
    <row r="5421" spans="1:9" x14ac:dyDescent="0.3">
      <c r="A5421" s="26">
        <v>45351</v>
      </c>
      <c r="B5421" t="s">
        <v>1005</v>
      </c>
      <c r="C5421" t="s">
        <v>753</v>
      </c>
      <c r="D5421">
        <v>0.25</v>
      </c>
      <c r="E5421" t="s">
        <v>161</v>
      </c>
      <c r="F5421" t="s">
        <v>754</v>
      </c>
      <c r="H5421" t="s">
        <v>4516</v>
      </c>
      <c r="I5421" s="28" t="s">
        <v>27</v>
      </c>
    </row>
    <row r="5422" spans="1:9" x14ac:dyDescent="0.3">
      <c r="A5422" s="26">
        <v>45351</v>
      </c>
      <c r="B5422" t="s">
        <v>1005</v>
      </c>
      <c r="C5422" t="s">
        <v>753</v>
      </c>
      <c r="D5422">
        <v>0.5</v>
      </c>
      <c r="E5422" t="s">
        <v>1438</v>
      </c>
      <c r="F5422" t="s">
        <v>754</v>
      </c>
      <c r="G5422" t="s">
        <v>4157</v>
      </c>
      <c r="H5422" t="s">
        <v>4516</v>
      </c>
      <c r="I5422" s="28" t="s">
        <v>27</v>
      </c>
    </row>
    <row r="5423" spans="1:9" x14ac:dyDescent="0.3">
      <c r="A5423" s="26">
        <v>45351</v>
      </c>
      <c r="B5423" t="s">
        <v>1005</v>
      </c>
      <c r="C5423" t="s">
        <v>753</v>
      </c>
      <c r="D5423">
        <v>0.5</v>
      </c>
      <c r="E5423" t="s">
        <v>201</v>
      </c>
      <c r="F5423" t="s">
        <v>754</v>
      </c>
      <c r="H5423" t="s">
        <v>4516</v>
      </c>
      <c r="I5423" s="28" t="s">
        <v>27</v>
      </c>
    </row>
    <row r="5424" spans="1:9" x14ac:dyDescent="0.3">
      <c r="A5424" s="26">
        <v>45351</v>
      </c>
      <c r="B5424" t="s">
        <v>1005</v>
      </c>
      <c r="C5424" t="s">
        <v>753</v>
      </c>
      <c r="D5424">
        <v>0.5</v>
      </c>
      <c r="E5424" t="s">
        <v>471</v>
      </c>
      <c r="F5424" t="s">
        <v>754</v>
      </c>
      <c r="H5424" t="s">
        <v>4516</v>
      </c>
      <c r="I5424" s="28" t="s">
        <v>27</v>
      </c>
    </row>
    <row r="5425" spans="1:9" x14ac:dyDescent="0.3">
      <c r="A5425" s="26">
        <v>45351</v>
      </c>
      <c r="B5425" t="s">
        <v>1005</v>
      </c>
      <c r="C5425" t="s">
        <v>753</v>
      </c>
      <c r="D5425">
        <v>3.5</v>
      </c>
      <c r="E5425" t="s">
        <v>430</v>
      </c>
      <c r="F5425" t="s">
        <v>754</v>
      </c>
      <c r="H5425" t="s">
        <v>4516</v>
      </c>
      <c r="I5425" s="28" t="s">
        <v>27</v>
      </c>
    </row>
    <row r="5426" spans="1:9" x14ac:dyDescent="0.3">
      <c r="A5426" s="26">
        <v>45351</v>
      </c>
      <c r="B5426" t="s">
        <v>1005</v>
      </c>
      <c r="C5426" t="s">
        <v>771</v>
      </c>
      <c r="D5426">
        <v>0.25</v>
      </c>
      <c r="E5426" t="s">
        <v>7</v>
      </c>
      <c r="F5426" t="s">
        <v>772</v>
      </c>
      <c r="H5426" t="s">
        <v>4516</v>
      </c>
      <c r="I5426" s="28" t="s">
        <v>27</v>
      </c>
    </row>
    <row r="5427" spans="1:9" x14ac:dyDescent="0.3">
      <c r="A5427" s="26">
        <v>45351</v>
      </c>
      <c r="B5427" t="s">
        <v>1006</v>
      </c>
      <c r="C5427" t="s">
        <v>909</v>
      </c>
      <c r="D5427">
        <v>0.12</v>
      </c>
      <c r="E5427" t="s">
        <v>151</v>
      </c>
      <c r="F5427" t="s">
        <v>754</v>
      </c>
      <c r="G5427" t="s">
        <v>4452</v>
      </c>
      <c r="H5427" t="s">
        <v>4516</v>
      </c>
      <c r="I5427" s="28" t="s">
        <v>27</v>
      </c>
    </row>
    <row r="5428" spans="1:9" x14ac:dyDescent="0.3">
      <c r="A5428" s="26">
        <v>45351</v>
      </c>
      <c r="B5428" t="s">
        <v>1006</v>
      </c>
      <c r="C5428" t="s">
        <v>909</v>
      </c>
      <c r="D5428">
        <v>0.17</v>
      </c>
      <c r="E5428" t="s">
        <v>757</v>
      </c>
      <c r="F5428" t="s">
        <v>754</v>
      </c>
      <c r="G5428" t="s">
        <v>4453</v>
      </c>
      <c r="H5428" t="s">
        <v>4516</v>
      </c>
      <c r="I5428" s="28" t="s">
        <v>27</v>
      </c>
    </row>
    <row r="5429" spans="1:9" x14ac:dyDescent="0.3">
      <c r="A5429" s="26">
        <v>45351</v>
      </c>
      <c r="B5429" t="s">
        <v>1006</v>
      </c>
      <c r="C5429" t="s">
        <v>909</v>
      </c>
      <c r="D5429">
        <v>0.43</v>
      </c>
      <c r="E5429" t="s">
        <v>757</v>
      </c>
      <c r="F5429" t="s">
        <v>772</v>
      </c>
      <c r="G5429" t="s">
        <v>4454</v>
      </c>
      <c r="H5429" t="s">
        <v>4516</v>
      </c>
      <c r="I5429" s="28" t="s">
        <v>27</v>
      </c>
    </row>
    <row r="5430" spans="1:9" x14ac:dyDescent="0.3">
      <c r="A5430" s="26">
        <v>45351</v>
      </c>
      <c r="B5430" t="s">
        <v>1006</v>
      </c>
      <c r="C5430" t="s">
        <v>909</v>
      </c>
      <c r="D5430">
        <v>0.75</v>
      </c>
      <c r="E5430" t="s">
        <v>151</v>
      </c>
      <c r="F5430" t="s">
        <v>754</v>
      </c>
      <c r="G5430" t="s">
        <v>4455</v>
      </c>
      <c r="H5430" t="s">
        <v>4516</v>
      </c>
      <c r="I5430" s="28" t="s">
        <v>27</v>
      </c>
    </row>
    <row r="5431" spans="1:9" x14ac:dyDescent="0.3">
      <c r="A5431" s="26">
        <v>45351</v>
      </c>
      <c r="B5431" t="s">
        <v>1006</v>
      </c>
      <c r="C5431" t="s">
        <v>771</v>
      </c>
      <c r="D5431">
        <v>1.03</v>
      </c>
      <c r="E5431" t="s">
        <v>7</v>
      </c>
      <c r="F5431" t="s">
        <v>772</v>
      </c>
      <c r="G5431" t="s">
        <v>4456</v>
      </c>
      <c r="H5431" t="s">
        <v>4516</v>
      </c>
      <c r="I5431" s="28" t="s">
        <v>27</v>
      </c>
    </row>
    <row r="5432" spans="1:9" x14ac:dyDescent="0.3">
      <c r="A5432" s="26">
        <v>45351</v>
      </c>
      <c r="B5432" t="s">
        <v>1006</v>
      </c>
      <c r="C5432" t="s">
        <v>771</v>
      </c>
      <c r="D5432">
        <v>2.77</v>
      </c>
      <c r="E5432" t="s">
        <v>7</v>
      </c>
      <c r="F5432" t="s">
        <v>772</v>
      </c>
      <c r="G5432" t="s">
        <v>1010</v>
      </c>
      <c r="H5432" t="s">
        <v>4516</v>
      </c>
      <c r="I5432" s="28" t="s">
        <v>27</v>
      </c>
    </row>
    <row r="5433" spans="1:9" x14ac:dyDescent="0.3">
      <c r="A5433" s="26">
        <v>45351</v>
      </c>
      <c r="B5433" t="s">
        <v>1006</v>
      </c>
      <c r="C5433" t="s">
        <v>874</v>
      </c>
      <c r="D5433">
        <v>0.62</v>
      </c>
      <c r="E5433" t="s">
        <v>7</v>
      </c>
      <c r="F5433" t="s">
        <v>772</v>
      </c>
      <c r="G5433" t="s">
        <v>4457</v>
      </c>
      <c r="H5433" t="s">
        <v>4516</v>
      </c>
      <c r="I5433" s="28" t="s">
        <v>27</v>
      </c>
    </row>
    <row r="5434" spans="1:9" x14ac:dyDescent="0.3">
      <c r="A5434" s="26">
        <v>45351</v>
      </c>
      <c r="B5434" t="s">
        <v>1011</v>
      </c>
      <c r="C5434" t="s">
        <v>753</v>
      </c>
      <c r="D5434">
        <v>7.0000000000000007E-2</v>
      </c>
      <c r="E5434" t="s">
        <v>589</v>
      </c>
      <c r="F5434" t="s">
        <v>754</v>
      </c>
      <c r="G5434" t="s">
        <v>1017</v>
      </c>
      <c r="H5434" t="s">
        <v>4516</v>
      </c>
      <c r="I5434" s="28" t="s">
        <v>27</v>
      </c>
    </row>
    <row r="5435" spans="1:9" x14ac:dyDescent="0.3">
      <c r="A5435" s="26">
        <v>45351</v>
      </c>
      <c r="B5435" t="s">
        <v>1011</v>
      </c>
      <c r="C5435" t="s">
        <v>753</v>
      </c>
      <c r="D5435">
        <v>0.17</v>
      </c>
      <c r="E5435" t="s">
        <v>589</v>
      </c>
      <c r="F5435" t="s">
        <v>754</v>
      </c>
      <c r="G5435" t="s">
        <v>4458</v>
      </c>
      <c r="H5435" t="s">
        <v>4516</v>
      </c>
      <c r="I5435" s="28" t="s">
        <v>27</v>
      </c>
    </row>
    <row r="5436" spans="1:9" x14ac:dyDescent="0.3">
      <c r="A5436" s="26">
        <v>45351</v>
      </c>
      <c r="B5436" t="s">
        <v>1011</v>
      </c>
      <c r="C5436" t="s">
        <v>753</v>
      </c>
      <c r="D5436">
        <v>0.23</v>
      </c>
      <c r="E5436" t="s">
        <v>1013</v>
      </c>
      <c r="F5436" t="s">
        <v>754</v>
      </c>
      <c r="G5436" t="s">
        <v>755</v>
      </c>
      <c r="H5436" t="s">
        <v>4516</v>
      </c>
      <c r="I5436" s="28" t="s">
        <v>27</v>
      </c>
    </row>
    <row r="5437" spans="1:9" x14ac:dyDescent="0.3">
      <c r="A5437" s="26">
        <v>45351</v>
      </c>
      <c r="B5437" t="s">
        <v>1011</v>
      </c>
      <c r="C5437" t="s">
        <v>753</v>
      </c>
      <c r="D5437">
        <v>0.28000000000000003</v>
      </c>
      <c r="E5437" t="s">
        <v>589</v>
      </c>
      <c r="F5437" t="s">
        <v>754</v>
      </c>
      <c r="G5437" t="s">
        <v>4459</v>
      </c>
      <c r="H5437" t="s">
        <v>4516</v>
      </c>
      <c r="I5437" s="28" t="s">
        <v>27</v>
      </c>
    </row>
    <row r="5438" spans="1:9" x14ac:dyDescent="0.3">
      <c r="A5438" s="26">
        <v>45351</v>
      </c>
      <c r="B5438" t="s">
        <v>1011</v>
      </c>
      <c r="C5438" t="s">
        <v>753</v>
      </c>
      <c r="D5438">
        <v>0.38</v>
      </c>
      <c r="E5438" t="s">
        <v>1013</v>
      </c>
      <c r="F5438" t="s">
        <v>754</v>
      </c>
      <c r="G5438" t="s">
        <v>4460</v>
      </c>
      <c r="H5438" t="s">
        <v>4516</v>
      </c>
      <c r="I5438" s="28" t="s">
        <v>27</v>
      </c>
    </row>
    <row r="5439" spans="1:9" x14ac:dyDescent="0.3">
      <c r="A5439" s="26">
        <v>45351</v>
      </c>
      <c r="B5439" t="s">
        <v>1011</v>
      </c>
      <c r="C5439" t="s">
        <v>753</v>
      </c>
      <c r="D5439">
        <v>0.67</v>
      </c>
      <c r="E5439" t="s">
        <v>1013</v>
      </c>
      <c r="F5439" t="s">
        <v>754</v>
      </c>
      <c r="G5439" t="s">
        <v>4461</v>
      </c>
      <c r="H5439" t="s">
        <v>4516</v>
      </c>
      <c r="I5439" s="28" t="s">
        <v>27</v>
      </c>
    </row>
    <row r="5440" spans="1:9" x14ac:dyDescent="0.3">
      <c r="A5440" s="26">
        <v>45351</v>
      </c>
      <c r="B5440" t="s">
        <v>1011</v>
      </c>
      <c r="C5440" t="s">
        <v>753</v>
      </c>
      <c r="D5440">
        <v>0.82</v>
      </c>
      <c r="E5440" t="s">
        <v>1013</v>
      </c>
      <c r="F5440" t="s">
        <v>754</v>
      </c>
      <c r="G5440" t="s">
        <v>4462</v>
      </c>
      <c r="H5440" t="s">
        <v>4516</v>
      </c>
      <c r="I5440" s="28" t="s">
        <v>27</v>
      </c>
    </row>
    <row r="5441" spans="1:9" x14ac:dyDescent="0.3">
      <c r="A5441" s="26">
        <v>45351</v>
      </c>
      <c r="B5441" t="s">
        <v>1011</v>
      </c>
      <c r="C5441" t="s">
        <v>753</v>
      </c>
      <c r="D5441">
        <v>0.82</v>
      </c>
      <c r="E5441" t="s">
        <v>589</v>
      </c>
      <c r="F5441" t="s">
        <v>754</v>
      </c>
      <c r="G5441" t="s">
        <v>4298</v>
      </c>
      <c r="H5441" t="s">
        <v>4516</v>
      </c>
      <c r="I5441" s="28" t="s">
        <v>27</v>
      </c>
    </row>
    <row r="5442" spans="1:9" x14ac:dyDescent="0.3">
      <c r="A5442" s="26">
        <v>45351</v>
      </c>
      <c r="B5442" t="s">
        <v>1011</v>
      </c>
      <c r="C5442" t="s">
        <v>753</v>
      </c>
      <c r="D5442">
        <v>0.82</v>
      </c>
      <c r="E5442" t="s">
        <v>589</v>
      </c>
      <c r="F5442" t="s">
        <v>754</v>
      </c>
      <c r="G5442" t="s">
        <v>4463</v>
      </c>
      <c r="H5442" t="s">
        <v>4516</v>
      </c>
      <c r="I5442" s="28" t="s">
        <v>27</v>
      </c>
    </row>
    <row r="5443" spans="1:9" x14ac:dyDescent="0.3">
      <c r="A5443" s="26">
        <v>45351</v>
      </c>
      <c r="B5443" t="s">
        <v>1011</v>
      </c>
      <c r="C5443" t="s">
        <v>753</v>
      </c>
      <c r="D5443">
        <v>0.88</v>
      </c>
      <c r="E5443" t="s">
        <v>1013</v>
      </c>
      <c r="F5443" t="s">
        <v>754</v>
      </c>
      <c r="G5443" t="s">
        <v>4464</v>
      </c>
      <c r="H5443" t="s">
        <v>4516</v>
      </c>
      <c r="I5443" s="28" t="s">
        <v>27</v>
      </c>
    </row>
    <row r="5444" spans="1:9" x14ac:dyDescent="0.3">
      <c r="A5444" s="26">
        <v>45351</v>
      </c>
      <c r="B5444" t="s">
        <v>1011</v>
      </c>
      <c r="C5444" t="s">
        <v>753</v>
      </c>
      <c r="D5444">
        <v>2.48</v>
      </c>
      <c r="E5444" t="s">
        <v>589</v>
      </c>
      <c r="F5444" t="s">
        <v>754</v>
      </c>
      <c r="G5444" t="s">
        <v>4465</v>
      </c>
      <c r="H5444" t="s">
        <v>4516</v>
      </c>
      <c r="I5444" s="28" t="s">
        <v>27</v>
      </c>
    </row>
    <row r="5445" spans="1:9" x14ac:dyDescent="0.3">
      <c r="A5445" s="26">
        <v>45351</v>
      </c>
      <c r="B5445" t="s">
        <v>1011</v>
      </c>
      <c r="C5445" t="s">
        <v>771</v>
      </c>
      <c r="D5445">
        <v>0.12</v>
      </c>
      <c r="E5445" t="s">
        <v>7</v>
      </c>
      <c r="F5445" t="s">
        <v>772</v>
      </c>
      <c r="G5445" t="s">
        <v>4466</v>
      </c>
      <c r="H5445" t="s">
        <v>4516</v>
      </c>
      <c r="I5445" s="28" t="s">
        <v>27</v>
      </c>
    </row>
    <row r="5446" spans="1:9" x14ac:dyDescent="0.3">
      <c r="A5446" s="26">
        <v>45351</v>
      </c>
      <c r="B5446" t="s">
        <v>1011</v>
      </c>
      <c r="C5446" t="s">
        <v>771</v>
      </c>
      <c r="D5446">
        <v>0.28000000000000003</v>
      </c>
      <c r="E5446" t="s">
        <v>7</v>
      </c>
      <c r="F5446" t="s">
        <v>772</v>
      </c>
      <c r="G5446" t="s">
        <v>4467</v>
      </c>
      <c r="H5446" t="s">
        <v>4516</v>
      </c>
      <c r="I5446" s="28" t="s">
        <v>27</v>
      </c>
    </row>
    <row r="5447" spans="1:9" x14ac:dyDescent="0.3">
      <c r="A5447" s="26">
        <v>45351</v>
      </c>
      <c r="B5447" t="s">
        <v>1020</v>
      </c>
      <c r="C5447" t="s">
        <v>753</v>
      </c>
      <c r="D5447">
        <v>0.7</v>
      </c>
      <c r="E5447" t="s">
        <v>964</v>
      </c>
      <c r="F5447" t="s">
        <v>754</v>
      </c>
      <c r="G5447" t="s">
        <v>4468</v>
      </c>
      <c r="H5447" t="s">
        <v>4516</v>
      </c>
      <c r="I5447" s="28" t="s">
        <v>27</v>
      </c>
    </row>
    <row r="5448" spans="1:9" x14ac:dyDescent="0.3">
      <c r="A5448" s="26">
        <v>45351</v>
      </c>
      <c r="B5448" t="s">
        <v>1020</v>
      </c>
      <c r="C5448" t="s">
        <v>753</v>
      </c>
      <c r="D5448">
        <v>1.2</v>
      </c>
      <c r="E5448" t="s">
        <v>964</v>
      </c>
      <c r="F5448" t="s">
        <v>754</v>
      </c>
      <c r="G5448" t="s">
        <v>4469</v>
      </c>
      <c r="H5448" t="s">
        <v>4516</v>
      </c>
      <c r="I5448" s="28" t="s">
        <v>27</v>
      </c>
    </row>
    <row r="5449" spans="1:9" x14ac:dyDescent="0.3">
      <c r="A5449" s="26">
        <v>45351</v>
      </c>
      <c r="B5449" t="s">
        <v>1020</v>
      </c>
      <c r="C5449" t="s">
        <v>753</v>
      </c>
      <c r="D5449">
        <v>1.22</v>
      </c>
      <c r="E5449" t="s">
        <v>964</v>
      </c>
      <c r="F5449" t="s">
        <v>754</v>
      </c>
      <c r="G5449" t="s">
        <v>4470</v>
      </c>
      <c r="H5449" t="s">
        <v>4516</v>
      </c>
      <c r="I5449" s="28" t="s">
        <v>27</v>
      </c>
    </row>
    <row r="5450" spans="1:9" x14ac:dyDescent="0.3">
      <c r="A5450" s="26">
        <v>45351</v>
      </c>
      <c r="B5450" t="s">
        <v>1020</v>
      </c>
      <c r="C5450" t="s">
        <v>753</v>
      </c>
      <c r="D5450">
        <v>1.52</v>
      </c>
      <c r="E5450" t="s">
        <v>964</v>
      </c>
      <c r="F5450" t="s">
        <v>754</v>
      </c>
      <c r="G5450" t="s">
        <v>4471</v>
      </c>
      <c r="H5450" t="s">
        <v>4516</v>
      </c>
      <c r="I5450" s="28" t="s">
        <v>27</v>
      </c>
    </row>
    <row r="5451" spans="1:9" x14ac:dyDescent="0.3">
      <c r="A5451" s="26">
        <v>45351</v>
      </c>
      <c r="B5451" t="s">
        <v>1020</v>
      </c>
      <c r="C5451" t="s">
        <v>753</v>
      </c>
      <c r="D5451">
        <v>3.92</v>
      </c>
      <c r="E5451" t="s">
        <v>11</v>
      </c>
      <c r="F5451" t="s">
        <v>754</v>
      </c>
      <c r="H5451" t="s">
        <v>4516</v>
      </c>
      <c r="I5451" s="28" t="s">
        <v>27</v>
      </c>
    </row>
    <row r="5452" spans="1:9" x14ac:dyDescent="0.3">
      <c r="A5452" s="26">
        <v>45351</v>
      </c>
      <c r="B5452" t="s">
        <v>1020</v>
      </c>
      <c r="C5452" t="s">
        <v>771</v>
      </c>
      <c r="D5452">
        <v>0.28000000000000003</v>
      </c>
      <c r="E5452" t="s">
        <v>7</v>
      </c>
      <c r="F5452" t="s">
        <v>772</v>
      </c>
      <c r="G5452" t="s">
        <v>1024</v>
      </c>
      <c r="H5452" t="s">
        <v>4516</v>
      </c>
      <c r="I5452" s="28" t="s">
        <v>27</v>
      </c>
    </row>
    <row r="5453" spans="1:9" x14ac:dyDescent="0.3">
      <c r="A5453" s="26">
        <v>45351</v>
      </c>
      <c r="B5453" t="s">
        <v>1020</v>
      </c>
      <c r="C5453" t="s">
        <v>776</v>
      </c>
      <c r="D5453">
        <v>0.5</v>
      </c>
      <c r="E5453" t="s">
        <v>964</v>
      </c>
      <c r="F5453" t="s">
        <v>754</v>
      </c>
      <c r="H5453" t="s">
        <v>4516</v>
      </c>
      <c r="I5453" s="28" t="s">
        <v>27</v>
      </c>
    </row>
    <row r="5454" spans="1:9" x14ac:dyDescent="0.3">
      <c r="A5454" s="26">
        <v>45351</v>
      </c>
      <c r="B5454" t="s">
        <v>1026</v>
      </c>
      <c r="C5454" t="s">
        <v>771</v>
      </c>
      <c r="D5454">
        <v>1.45</v>
      </c>
      <c r="E5454" t="s">
        <v>7</v>
      </c>
      <c r="F5454" t="s">
        <v>772</v>
      </c>
      <c r="G5454" t="s">
        <v>4472</v>
      </c>
      <c r="H5454" t="s">
        <v>4516</v>
      </c>
      <c r="I5454" s="28" t="s">
        <v>27</v>
      </c>
    </row>
    <row r="5455" spans="1:9" x14ac:dyDescent="0.3">
      <c r="A5455" s="26">
        <v>45351</v>
      </c>
      <c r="B5455" t="s">
        <v>1026</v>
      </c>
      <c r="C5455" t="s">
        <v>771</v>
      </c>
      <c r="D5455">
        <v>1.58</v>
      </c>
      <c r="E5455" t="s">
        <v>7</v>
      </c>
      <c r="F5455" t="s">
        <v>772</v>
      </c>
      <c r="G5455" t="s">
        <v>4473</v>
      </c>
      <c r="H5455" t="s">
        <v>4516</v>
      </c>
      <c r="I5455" s="28" t="s">
        <v>27</v>
      </c>
    </row>
    <row r="5456" spans="1:9" x14ac:dyDescent="0.3">
      <c r="A5456" s="26">
        <v>45351</v>
      </c>
      <c r="B5456" t="s">
        <v>1026</v>
      </c>
      <c r="C5456" t="s">
        <v>771</v>
      </c>
      <c r="D5456">
        <v>3.12</v>
      </c>
      <c r="E5456" t="s">
        <v>7</v>
      </c>
      <c r="F5456" t="s">
        <v>772</v>
      </c>
      <c r="G5456" t="s">
        <v>4474</v>
      </c>
      <c r="H5456" t="s">
        <v>4516</v>
      </c>
      <c r="I5456" s="28" t="s">
        <v>27</v>
      </c>
    </row>
    <row r="5457" spans="1:9" x14ac:dyDescent="0.3">
      <c r="A5457" s="26">
        <v>45351</v>
      </c>
      <c r="B5457" t="s">
        <v>1026</v>
      </c>
      <c r="C5457" t="s">
        <v>942</v>
      </c>
      <c r="D5457">
        <v>0.95</v>
      </c>
      <c r="E5457" t="s">
        <v>7</v>
      </c>
      <c r="F5457" t="s">
        <v>772</v>
      </c>
      <c r="G5457" t="s">
        <v>4310</v>
      </c>
      <c r="H5457" t="s">
        <v>4516</v>
      </c>
      <c r="I5457" s="28" t="s">
        <v>27</v>
      </c>
    </row>
    <row r="5458" spans="1:9" x14ac:dyDescent="0.3">
      <c r="A5458" s="26">
        <v>45351</v>
      </c>
      <c r="B5458" t="s">
        <v>1026</v>
      </c>
      <c r="C5458" t="s">
        <v>874</v>
      </c>
      <c r="D5458">
        <v>0.9</v>
      </c>
      <c r="E5458" t="s">
        <v>7</v>
      </c>
      <c r="F5458" t="s">
        <v>772</v>
      </c>
      <c r="G5458" t="s">
        <v>4475</v>
      </c>
      <c r="H5458" t="s">
        <v>4516</v>
      </c>
      <c r="I5458" s="28" t="s">
        <v>27</v>
      </c>
    </row>
    <row r="5459" spans="1:9" x14ac:dyDescent="0.3">
      <c r="A5459" s="26">
        <v>45351</v>
      </c>
      <c r="B5459" t="s">
        <v>1032</v>
      </c>
      <c r="C5459" t="s">
        <v>753</v>
      </c>
      <c r="D5459">
        <v>8.5299999999999994</v>
      </c>
      <c r="E5459" t="s">
        <v>790</v>
      </c>
      <c r="F5459" t="s">
        <v>754</v>
      </c>
      <c r="H5459" t="s">
        <v>4516</v>
      </c>
      <c r="I5459" s="28" t="s">
        <v>27</v>
      </c>
    </row>
    <row r="5460" spans="1:9" x14ac:dyDescent="0.3">
      <c r="A5460" s="26">
        <v>45351</v>
      </c>
      <c r="B5460" t="s">
        <v>1034</v>
      </c>
      <c r="C5460" t="s">
        <v>753</v>
      </c>
      <c r="D5460">
        <v>0.48</v>
      </c>
      <c r="E5460" t="s">
        <v>564</v>
      </c>
      <c r="F5460" t="s">
        <v>754</v>
      </c>
      <c r="G5460" t="s">
        <v>4476</v>
      </c>
      <c r="H5460" t="s">
        <v>4516</v>
      </c>
      <c r="I5460" s="28" t="s">
        <v>27</v>
      </c>
    </row>
    <row r="5461" spans="1:9" x14ac:dyDescent="0.3">
      <c r="A5461" s="26">
        <v>45351</v>
      </c>
      <c r="B5461" t="s">
        <v>1034</v>
      </c>
      <c r="C5461" t="s">
        <v>771</v>
      </c>
      <c r="D5461">
        <v>0.5</v>
      </c>
      <c r="E5461" t="s">
        <v>7</v>
      </c>
      <c r="F5461" t="s">
        <v>772</v>
      </c>
      <c r="G5461" t="s">
        <v>820</v>
      </c>
      <c r="H5461" t="s">
        <v>4516</v>
      </c>
      <c r="I5461" s="28" t="s">
        <v>27</v>
      </c>
    </row>
    <row r="5462" spans="1:9" x14ac:dyDescent="0.3">
      <c r="A5462" s="26">
        <v>45351</v>
      </c>
      <c r="B5462" t="s">
        <v>1034</v>
      </c>
      <c r="C5462" t="s">
        <v>771</v>
      </c>
      <c r="D5462">
        <v>0.5</v>
      </c>
      <c r="E5462" t="s">
        <v>7</v>
      </c>
      <c r="F5462" t="s">
        <v>772</v>
      </c>
      <c r="G5462" t="s">
        <v>4477</v>
      </c>
      <c r="H5462" t="s">
        <v>4516</v>
      </c>
      <c r="I5462" s="28" t="s">
        <v>27</v>
      </c>
    </row>
    <row r="5463" spans="1:9" x14ac:dyDescent="0.3">
      <c r="A5463" s="26">
        <v>45351</v>
      </c>
      <c r="B5463" t="s">
        <v>1034</v>
      </c>
      <c r="C5463" t="s">
        <v>916</v>
      </c>
      <c r="D5463">
        <v>0.55000000000000004</v>
      </c>
      <c r="E5463" t="s">
        <v>626</v>
      </c>
      <c r="F5463" t="s">
        <v>754</v>
      </c>
      <c r="G5463" t="s">
        <v>4478</v>
      </c>
      <c r="H5463" t="s">
        <v>4516</v>
      </c>
      <c r="I5463" s="28" t="s">
        <v>27</v>
      </c>
    </row>
    <row r="5464" spans="1:9" x14ac:dyDescent="0.3">
      <c r="A5464" s="26">
        <v>45351</v>
      </c>
      <c r="B5464" t="s">
        <v>1034</v>
      </c>
      <c r="C5464" t="s">
        <v>916</v>
      </c>
      <c r="D5464">
        <v>1.22</v>
      </c>
      <c r="E5464" t="s">
        <v>479</v>
      </c>
      <c r="F5464" t="s">
        <v>754</v>
      </c>
      <c r="G5464" t="s">
        <v>4479</v>
      </c>
      <c r="H5464" t="s">
        <v>4516</v>
      </c>
      <c r="I5464" s="28" t="s">
        <v>27</v>
      </c>
    </row>
    <row r="5465" spans="1:9" x14ac:dyDescent="0.3">
      <c r="A5465" s="26">
        <v>45351</v>
      </c>
      <c r="B5465" t="s">
        <v>1034</v>
      </c>
      <c r="C5465" t="s">
        <v>776</v>
      </c>
      <c r="D5465">
        <v>0.22</v>
      </c>
      <c r="E5465" t="s">
        <v>790</v>
      </c>
      <c r="F5465" t="s">
        <v>754</v>
      </c>
      <c r="G5465" t="s">
        <v>4480</v>
      </c>
      <c r="H5465" t="s">
        <v>4516</v>
      </c>
      <c r="I5465" s="28" t="s">
        <v>27</v>
      </c>
    </row>
    <row r="5466" spans="1:9" x14ac:dyDescent="0.3">
      <c r="A5466" s="26">
        <v>45351</v>
      </c>
      <c r="B5466" t="s">
        <v>1034</v>
      </c>
      <c r="C5466" t="s">
        <v>776</v>
      </c>
      <c r="D5466">
        <v>0.42</v>
      </c>
      <c r="E5466" t="s">
        <v>879</v>
      </c>
      <c r="F5466" t="s">
        <v>754</v>
      </c>
      <c r="G5466" t="s">
        <v>1999</v>
      </c>
      <c r="H5466" t="s">
        <v>4516</v>
      </c>
      <c r="I5466" s="28" t="s">
        <v>27</v>
      </c>
    </row>
    <row r="5467" spans="1:9" x14ac:dyDescent="0.3">
      <c r="A5467" s="26">
        <v>45351</v>
      </c>
      <c r="B5467" t="s">
        <v>1034</v>
      </c>
      <c r="C5467" t="s">
        <v>776</v>
      </c>
      <c r="D5467">
        <v>0.43</v>
      </c>
      <c r="E5467" t="s">
        <v>655</v>
      </c>
      <c r="F5467" t="s">
        <v>754</v>
      </c>
      <c r="G5467" t="s">
        <v>1466</v>
      </c>
      <c r="H5467" t="s">
        <v>4516</v>
      </c>
      <c r="I5467" s="28" t="s">
        <v>27</v>
      </c>
    </row>
    <row r="5468" spans="1:9" x14ac:dyDescent="0.3">
      <c r="A5468" s="26">
        <v>45351</v>
      </c>
      <c r="B5468" t="s">
        <v>1034</v>
      </c>
      <c r="C5468" t="s">
        <v>776</v>
      </c>
      <c r="D5468">
        <v>0.56999999999999995</v>
      </c>
      <c r="E5468" t="s">
        <v>790</v>
      </c>
      <c r="F5468" t="s">
        <v>754</v>
      </c>
      <c r="G5468" t="s">
        <v>4481</v>
      </c>
      <c r="H5468" t="s">
        <v>4516</v>
      </c>
      <c r="I5468" s="28" t="s">
        <v>27</v>
      </c>
    </row>
    <row r="5469" spans="1:9" x14ac:dyDescent="0.3">
      <c r="A5469" s="26">
        <v>45351</v>
      </c>
      <c r="B5469" t="s">
        <v>1034</v>
      </c>
      <c r="C5469" t="s">
        <v>776</v>
      </c>
      <c r="D5469">
        <v>3.15</v>
      </c>
      <c r="E5469" t="s">
        <v>790</v>
      </c>
      <c r="F5469" t="s">
        <v>754</v>
      </c>
      <c r="G5469" t="s">
        <v>4482</v>
      </c>
      <c r="H5469" t="s">
        <v>4516</v>
      </c>
      <c r="I5469" s="28" t="s">
        <v>27</v>
      </c>
    </row>
    <row r="5470" spans="1:9" x14ac:dyDescent="0.3">
      <c r="A5470" s="26">
        <v>45351</v>
      </c>
      <c r="B5470" t="s">
        <v>1043</v>
      </c>
      <c r="C5470" t="s">
        <v>826</v>
      </c>
      <c r="D5470">
        <v>2.2000000000000002</v>
      </c>
      <c r="E5470" t="s">
        <v>964</v>
      </c>
      <c r="F5470" t="s">
        <v>754</v>
      </c>
      <c r="G5470" t="s">
        <v>4483</v>
      </c>
      <c r="H5470" t="s">
        <v>4516</v>
      </c>
      <c r="I5470" s="28" t="s">
        <v>27</v>
      </c>
    </row>
    <row r="5471" spans="1:9" x14ac:dyDescent="0.3">
      <c r="A5471" s="26">
        <v>45351</v>
      </c>
      <c r="B5471" t="s">
        <v>1049</v>
      </c>
      <c r="C5471" t="s">
        <v>753</v>
      </c>
      <c r="D5471">
        <v>1</v>
      </c>
      <c r="E5471" t="s">
        <v>964</v>
      </c>
      <c r="F5471" t="s">
        <v>754</v>
      </c>
      <c r="G5471" t="s">
        <v>4484</v>
      </c>
      <c r="H5471" t="s">
        <v>4516</v>
      </c>
      <c r="I5471" s="28" t="s">
        <v>27</v>
      </c>
    </row>
    <row r="5472" spans="1:9" x14ac:dyDescent="0.3">
      <c r="A5472" s="26">
        <v>45351</v>
      </c>
      <c r="B5472" t="s">
        <v>1049</v>
      </c>
      <c r="C5472" t="s">
        <v>753</v>
      </c>
      <c r="D5472">
        <v>1.2</v>
      </c>
      <c r="E5472" t="s">
        <v>964</v>
      </c>
      <c r="F5472" t="s">
        <v>754</v>
      </c>
      <c r="G5472" t="s">
        <v>4485</v>
      </c>
      <c r="H5472" t="s">
        <v>4516</v>
      </c>
      <c r="I5472" s="28" t="s">
        <v>27</v>
      </c>
    </row>
    <row r="5473" spans="1:9" x14ac:dyDescent="0.3">
      <c r="A5473" s="26">
        <v>45351</v>
      </c>
      <c r="B5473" t="s">
        <v>1049</v>
      </c>
      <c r="C5473" t="s">
        <v>771</v>
      </c>
      <c r="D5473">
        <v>0.5</v>
      </c>
      <c r="E5473" t="s">
        <v>7</v>
      </c>
      <c r="F5473" t="s">
        <v>772</v>
      </c>
      <c r="G5473" t="s">
        <v>1058</v>
      </c>
      <c r="H5473" t="s">
        <v>4516</v>
      </c>
      <c r="I5473" s="28" t="s">
        <v>27</v>
      </c>
    </row>
    <row r="5474" spans="1:9" x14ac:dyDescent="0.3">
      <c r="A5474" s="26">
        <v>45351</v>
      </c>
      <c r="B5474" t="s">
        <v>1049</v>
      </c>
      <c r="C5474" t="s">
        <v>776</v>
      </c>
      <c r="D5474">
        <v>0.37</v>
      </c>
      <c r="E5474" t="s">
        <v>964</v>
      </c>
      <c r="F5474" t="s">
        <v>754</v>
      </c>
      <c r="G5474" t="s">
        <v>4486</v>
      </c>
      <c r="H5474" t="s">
        <v>4516</v>
      </c>
      <c r="I5474" s="28" t="s">
        <v>27</v>
      </c>
    </row>
    <row r="5475" spans="1:9" x14ac:dyDescent="0.3">
      <c r="A5475" s="26">
        <v>45351</v>
      </c>
      <c r="B5475" t="s">
        <v>1049</v>
      </c>
      <c r="C5475" t="s">
        <v>776</v>
      </c>
      <c r="D5475">
        <v>1.28</v>
      </c>
      <c r="E5475" t="s">
        <v>1273</v>
      </c>
      <c r="F5475" t="s">
        <v>754</v>
      </c>
      <c r="G5475" t="s">
        <v>4487</v>
      </c>
      <c r="H5475" t="s">
        <v>4516</v>
      </c>
      <c r="I5475" s="28" t="s">
        <v>27</v>
      </c>
    </row>
    <row r="5476" spans="1:9" x14ac:dyDescent="0.3">
      <c r="A5476" s="26">
        <v>45351</v>
      </c>
      <c r="B5476" t="s">
        <v>1049</v>
      </c>
      <c r="C5476" t="s">
        <v>776</v>
      </c>
      <c r="D5476">
        <v>3.67</v>
      </c>
      <c r="E5476" t="s">
        <v>1273</v>
      </c>
      <c r="F5476" t="s">
        <v>754</v>
      </c>
      <c r="G5476" t="s">
        <v>1916</v>
      </c>
      <c r="H5476" t="s">
        <v>4516</v>
      </c>
      <c r="I5476" s="28" t="s">
        <v>27</v>
      </c>
    </row>
    <row r="5477" spans="1:9" x14ac:dyDescent="0.3">
      <c r="A5477" s="26">
        <v>45351</v>
      </c>
      <c r="B5477" t="s">
        <v>1060</v>
      </c>
      <c r="C5477" t="s">
        <v>909</v>
      </c>
      <c r="D5477">
        <v>0.5</v>
      </c>
      <c r="E5477" t="s">
        <v>201</v>
      </c>
      <c r="F5477" t="s">
        <v>754</v>
      </c>
      <c r="G5477" t="s">
        <v>4488</v>
      </c>
      <c r="H5477" t="s">
        <v>4516</v>
      </c>
      <c r="I5477" s="28" t="s">
        <v>27</v>
      </c>
    </row>
    <row r="5478" spans="1:9" x14ac:dyDescent="0.3">
      <c r="A5478" s="26">
        <v>45351</v>
      </c>
      <c r="B5478" t="s">
        <v>1060</v>
      </c>
      <c r="C5478" t="s">
        <v>909</v>
      </c>
      <c r="D5478">
        <v>1</v>
      </c>
      <c r="E5478" t="s">
        <v>316</v>
      </c>
      <c r="F5478" t="s">
        <v>754</v>
      </c>
      <c r="G5478" t="s">
        <v>4489</v>
      </c>
      <c r="H5478" t="s">
        <v>4516</v>
      </c>
      <c r="I5478" s="28" t="s">
        <v>27</v>
      </c>
    </row>
    <row r="5479" spans="1:9" x14ac:dyDescent="0.3">
      <c r="A5479" s="26">
        <v>45351</v>
      </c>
      <c r="B5479" t="s">
        <v>1060</v>
      </c>
      <c r="C5479" t="s">
        <v>909</v>
      </c>
      <c r="D5479">
        <v>1</v>
      </c>
      <c r="E5479" t="s">
        <v>815</v>
      </c>
      <c r="F5479" t="s">
        <v>754</v>
      </c>
      <c r="G5479" t="s">
        <v>4490</v>
      </c>
      <c r="H5479" t="s">
        <v>4516</v>
      </c>
      <c r="I5479" s="28" t="s">
        <v>27</v>
      </c>
    </row>
    <row r="5480" spans="1:9" x14ac:dyDescent="0.3">
      <c r="A5480" s="26">
        <v>45351</v>
      </c>
      <c r="B5480" t="s">
        <v>1060</v>
      </c>
      <c r="C5480" t="s">
        <v>909</v>
      </c>
      <c r="D5480">
        <v>1</v>
      </c>
      <c r="E5480" t="s">
        <v>589</v>
      </c>
      <c r="F5480" t="s">
        <v>754</v>
      </c>
      <c r="G5480" t="s">
        <v>4491</v>
      </c>
      <c r="H5480" t="s">
        <v>4516</v>
      </c>
      <c r="I5480" s="28" t="s">
        <v>27</v>
      </c>
    </row>
    <row r="5481" spans="1:9" x14ac:dyDescent="0.3">
      <c r="A5481" s="26">
        <v>45351</v>
      </c>
      <c r="B5481" t="s">
        <v>1060</v>
      </c>
      <c r="C5481" t="s">
        <v>771</v>
      </c>
      <c r="D5481">
        <v>1</v>
      </c>
      <c r="E5481" t="s">
        <v>7</v>
      </c>
      <c r="F5481" t="s">
        <v>772</v>
      </c>
      <c r="G5481" t="s">
        <v>4492</v>
      </c>
      <c r="H5481" t="s">
        <v>4516</v>
      </c>
      <c r="I5481" s="28" t="s">
        <v>27</v>
      </c>
    </row>
    <row r="5482" spans="1:9" x14ac:dyDescent="0.3">
      <c r="A5482" s="26">
        <v>45351</v>
      </c>
      <c r="B5482" t="s">
        <v>1060</v>
      </c>
      <c r="C5482" t="s">
        <v>771</v>
      </c>
      <c r="D5482">
        <v>1.25</v>
      </c>
      <c r="E5482" t="s">
        <v>7</v>
      </c>
      <c r="F5482" t="s">
        <v>772</v>
      </c>
      <c r="G5482" t="s">
        <v>4493</v>
      </c>
      <c r="H5482" t="s">
        <v>4516</v>
      </c>
      <c r="I5482" s="28" t="s">
        <v>27</v>
      </c>
    </row>
    <row r="5483" spans="1:9" x14ac:dyDescent="0.3">
      <c r="A5483" s="26">
        <v>45351</v>
      </c>
      <c r="B5483" t="s">
        <v>1060</v>
      </c>
      <c r="C5483" t="s">
        <v>916</v>
      </c>
      <c r="D5483">
        <v>0.5</v>
      </c>
      <c r="E5483" t="s">
        <v>814</v>
      </c>
      <c r="F5483" t="s">
        <v>754</v>
      </c>
      <c r="G5483" t="s">
        <v>4494</v>
      </c>
      <c r="H5483" t="s">
        <v>4516</v>
      </c>
      <c r="I5483" s="28" t="s">
        <v>27</v>
      </c>
    </row>
    <row r="5484" spans="1:9" x14ac:dyDescent="0.3">
      <c r="A5484" s="26">
        <v>45351</v>
      </c>
      <c r="B5484" t="s">
        <v>1060</v>
      </c>
      <c r="C5484" t="s">
        <v>874</v>
      </c>
      <c r="D5484">
        <v>1.5</v>
      </c>
      <c r="E5484" t="s">
        <v>7</v>
      </c>
      <c r="F5484" t="s">
        <v>772</v>
      </c>
      <c r="G5484" t="s">
        <v>4495</v>
      </c>
      <c r="H5484" t="s">
        <v>4516</v>
      </c>
      <c r="I5484" s="28" t="s">
        <v>27</v>
      </c>
    </row>
    <row r="5485" spans="1:9" x14ac:dyDescent="0.3">
      <c r="A5485" s="26">
        <v>45351</v>
      </c>
      <c r="B5485" t="s">
        <v>2945</v>
      </c>
      <c r="C5485" t="s">
        <v>970</v>
      </c>
      <c r="D5485">
        <v>0.5</v>
      </c>
      <c r="E5485" t="s">
        <v>790</v>
      </c>
      <c r="F5485" t="s">
        <v>754</v>
      </c>
      <c r="G5485" t="s">
        <v>4496</v>
      </c>
      <c r="H5485" t="s">
        <v>4516</v>
      </c>
      <c r="I5485" s="28" t="s">
        <v>27</v>
      </c>
    </row>
    <row r="5486" spans="1:9" x14ac:dyDescent="0.3">
      <c r="A5486" s="26">
        <v>45351</v>
      </c>
      <c r="B5486" t="s">
        <v>2945</v>
      </c>
      <c r="C5486" t="s">
        <v>771</v>
      </c>
      <c r="D5486">
        <v>8.1300000000000008</v>
      </c>
      <c r="E5486" t="s">
        <v>7</v>
      </c>
      <c r="F5486" t="s">
        <v>772</v>
      </c>
      <c r="G5486" t="s">
        <v>4184</v>
      </c>
      <c r="H5486" t="s">
        <v>4516</v>
      </c>
      <c r="I5486" s="28" t="s">
        <v>27</v>
      </c>
    </row>
    <row r="5487" spans="1:9" x14ac:dyDescent="0.3">
      <c r="A5487" s="26">
        <v>45351</v>
      </c>
      <c r="B5487" t="s">
        <v>1074</v>
      </c>
      <c r="C5487" t="s">
        <v>753</v>
      </c>
      <c r="D5487">
        <v>0.5</v>
      </c>
      <c r="E5487" t="s">
        <v>964</v>
      </c>
      <c r="F5487" t="s">
        <v>754</v>
      </c>
      <c r="G5487" t="s">
        <v>4497</v>
      </c>
      <c r="H5487" t="s">
        <v>4516</v>
      </c>
      <c r="I5487" s="28" t="s">
        <v>27</v>
      </c>
    </row>
    <row r="5488" spans="1:9" x14ac:dyDescent="0.3">
      <c r="A5488" s="26">
        <v>45351</v>
      </c>
      <c r="B5488" t="s">
        <v>1074</v>
      </c>
      <c r="C5488" t="s">
        <v>753</v>
      </c>
      <c r="D5488">
        <v>0.56999999999999995</v>
      </c>
      <c r="E5488" t="s">
        <v>964</v>
      </c>
      <c r="F5488" t="s">
        <v>754</v>
      </c>
      <c r="G5488" t="s">
        <v>4498</v>
      </c>
      <c r="H5488" t="s">
        <v>4516</v>
      </c>
      <c r="I5488" s="28" t="s">
        <v>27</v>
      </c>
    </row>
    <row r="5489" spans="1:9" x14ac:dyDescent="0.3">
      <c r="A5489" s="26">
        <v>45351</v>
      </c>
      <c r="B5489" t="s">
        <v>1074</v>
      </c>
      <c r="C5489" t="s">
        <v>753</v>
      </c>
      <c r="D5489">
        <v>0.6</v>
      </c>
      <c r="E5489" t="s">
        <v>1096</v>
      </c>
      <c r="F5489" t="s">
        <v>754</v>
      </c>
      <c r="G5489" t="s">
        <v>4499</v>
      </c>
      <c r="H5489" t="s">
        <v>4516</v>
      </c>
      <c r="I5489" s="28" t="s">
        <v>27</v>
      </c>
    </row>
    <row r="5490" spans="1:9" x14ac:dyDescent="0.3">
      <c r="A5490" s="26">
        <v>45351</v>
      </c>
      <c r="B5490" t="s">
        <v>1074</v>
      </c>
      <c r="C5490" t="s">
        <v>753</v>
      </c>
      <c r="D5490">
        <v>0.7</v>
      </c>
      <c r="E5490" t="s">
        <v>964</v>
      </c>
      <c r="F5490" t="s">
        <v>754</v>
      </c>
      <c r="G5490" t="s">
        <v>4500</v>
      </c>
      <c r="H5490" t="s">
        <v>4516</v>
      </c>
      <c r="I5490" s="28" t="s">
        <v>27</v>
      </c>
    </row>
    <row r="5491" spans="1:9" x14ac:dyDescent="0.3">
      <c r="A5491" s="26">
        <v>45351</v>
      </c>
      <c r="B5491" t="s">
        <v>1074</v>
      </c>
      <c r="C5491" t="s">
        <v>753</v>
      </c>
      <c r="D5491">
        <v>1.2</v>
      </c>
      <c r="E5491" t="s">
        <v>964</v>
      </c>
      <c r="F5491" t="s">
        <v>754</v>
      </c>
      <c r="G5491" t="s">
        <v>4501</v>
      </c>
      <c r="H5491" t="s">
        <v>4516</v>
      </c>
      <c r="I5491" s="28" t="s">
        <v>27</v>
      </c>
    </row>
    <row r="5492" spans="1:9" x14ac:dyDescent="0.3">
      <c r="A5492" s="26">
        <v>45351</v>
      </c>
      <c r="B5492" t="s">
        <v>1074</v>
      </c>
      <c r="C5492" t="s">
        <v>753</v>
      </c>
      <c r="D5492">
        <v>1.6</v>
      </c>
      <c r="E5492" t="s">
        <v>964</v>
      </c>
      <c r="F5492" t="s">
        <v>754</v>
      </c>
      <c r="G5492" t="s">
        <v>4502</v>
      </c>
      <c r="H5492" t="s">
        <v>4516</v>
      </c>
      <c r="I5492" s="28" t="s">
        <v>27</v>
      </c>
    </row>
    <row r="5493" spans="1:9" x14ac:dyDescent="0.3">
      <c r="A5493" s="26">
        <v>45351</v>
      </c>
      <c r="B5493" t="s">
        <v>1074</v>
      </c>
      <c r="C5493" t="s">
        <v>804</v>
      </c>
      <c r="D5493">
        <v>0.7</v>
      </c>
      <c r="E5493" t="s">
        <v>2261</v>
      </c>
      <c r="F5493" t="s">
        <v>772</v>
      </c>
      <c r="G5493" t="s">
        <v>4503</v>
      </c>
      <c r="H5493" t="s">
        <v>4516</v>
      </c>
      <c r="I5493" s="28" t="s">
        <v>27</v>
      </c>
    </row>
    <row r="5494" spans="1:9" x14ac:dyDescent="0.3">
      <c r="A5494" s="26">
        <v>45351</v>
      </c>
      <c r="B5494" t="s">
        <v>1074</v>
      </c>
      <c r="C5494" t="s">
        <v>906</v>
      </c>
      <c r="D5494">
        <v>0.2</v>
      </c>
      <c r="E5494" t="s">
        <v>7</v>
      </c>
      <c r="F5494" t="s">
        <v>772</v>
      </c>
      <c r="G5494" t="s">
        <v>4504</v>
      </c>
      <c r="H5494" t="s">
        <v>4516</v>
      </c>
      <c r="I5494" s="28" t="s">
        <v>27</v>
      </c>
    </row>
    <row r="5495" spans="1:9" x14ac:dyDescent="0.3">
      <c r="A5495" s="26">
        <v>45351</v>
      </c>
      <c r="B5495" t="s">
        <v>1074</v>
      </c>
      <c r="C5495" t="s">
        <v>909</v>
      </c>
      <c r="D5495">
        <v>0.8</v>
      </c>
      <c r="E5495" t="s">
        <v>964</v>
      </c>
      <c r="F5495" t="s">
        <v>754</v>
      </c>
      <c r="G5495" t="s">
        <v>4505</v>
      </c>
      <c r="H5495" t="s">
        <v>4516</v>
      </c>
      <c r="I5495" s="28" t="s">
        <v>27</v>
      </c>
    </row>
    <row r="5496" spans="1:9" x14ac:dyDescent="0.3">
      <c r="A5496" s="26">
        <v>45351</v>
      </c>
      <c r="B5496" t="s">
        <v>1074</v>
      </c>
      <c r="C5496" t="s">
        <v>771</v>
      </c>
      <c r="D5496">
        <v>0.8</v>
      </c>
      <c r="E5496" t="s">
        <v>7</v>
      </c>
      <c r="F5496" t="s">
        <v>772</v>
      </c>
      <c r="G5496" t="s">
        <v>4506</v>
      </c>
      <c r="H5496" t="s">
        <v>4516</v>
      </c>
      <c r="I5496" s="28" t="s">
        <v>27</v>
      </c>
    </row>
    <row r="5497" spans="1:9" x14ac:dyDescent="0.3">
      <c r="A5497" s="26">
        <v>45351</v>
      </c>
      <c r="B5497" t="s">
        <v>1074</v>
      </c>
      <c r="C5497" t="s">
        <v>835</v>
      </c>
      <c r="D5497">
        <v>0.6</v>
      </c>
      <c r="E5497" t="s">
        <v>964</v>
      </c>
      <c r="F5497" t="s">
        <v>754</v>
      </c>
      <c r="G5497" t="s">
        <v>4507</v>
      </c>
      <c r="H5497" t="s">
        <v>4516</v>
      </c>
      <c r="I5497" s="28" t="s">
        <v>27</v>
      </c>
    </row>
    <row r="5498" spans="1:9" x14ac:dyDescent="0.3">
      <c r="A5498" s="26">
        <v>45351</v>
      </c>
      <c r="B5498" t="s">
        <v>1074</v>
      </c>
      <c r="C5498" t="s">
        <v>874</v>
      </c>
      <c r="D5498">
        <v>0.6</v>
      </c>
      <c r="E5498" t="s">
        <v>7</v>
      </c>
      <c r="F5498" t="s">
        <v>772</v>
      </c>
      <c r="G5498" t="s">
        <v>4508</v>
      </c>
      <c r="H5498" t="s">
        <v>4516</v>
      </c>
      <c r="I5498" s="28" t="s">
        <v>27</v>
      </c>
    </row>
    <row r="5499" spans="1:9" x14ac:dyDescent="0.3">
      <c r="A5499" s="26">
        <v>45351</v>
      </c>
      <c r="B5499" t="s">
        <v>1074</v>
      </c>
      <c r="C5499" t="s">
        <v>776</v>
      </c>
      <c r="D5499">
        <v>0.7</v>
      </c>
      <c r="E5499" t="s">
        <v>964</v>
      </c>
      <c r="F5499" t="s">
        <v>754</v>
      </c>
      <c r="G5499" t="s">
        <v>4509</v>
      </c>
      <c r="H5499" t="s">
        <v>4516</v>
      </c>
      <c r="I5499" s="28" t="s">
        <v>27</v>
      </c>
    </row>
    <row r="5500" spans="1:9" x14ac:dyDescent="0.3">
      <c r="A5500" s="26">
        <v>45351</v>
      </c>
      <c r="B5500" t="s">
        <v>1081</v>
      </c>
      <c r="C5500" t="s">
        <v>771</v>
      </c>
      <c r="D5500">
        <v>4</v>
      </c>
      <c r="E5500" t="s">
        <v>7</v>
      </c>
      <c r="F5500" t="s">
        <v>772</v>
      </c>
      <c r="G5500" t="e">
        <f>- coordinate with Intellicare - coordinate payment for NIU - finalize Clearance of resigned employees for Finance processing - draft technical assessment for payroll Specialist Applicants</f>
        <v>#NAME?</v>
      </c>
      <c r="H5500" t="s">
        <v>4516</v>
      </c>
      <c r="I5500" s="28" t="s">
        <v>27</v>
      </c>
    </row>
    <row r="5501" spans="1:9" x14ac:dyDescent="0.3">
      <c r="A5501" s="26">
        <v>45351</v>
      </c>
      <c r="B5501" t="s">
        <v>1081</v>
      </c>
      <c r="C5501" t="s">
        <v>942</v>
      </c>
      <c r="D5501">
        <v>2</v>
      </c>
      <c r="E5501" t="s">
        <v>7</v>
      </c>
      <c r="F5501" t="s">
        <v>772</v>
      </c>
      <c r="G5501" t="e">
        <f>- coordinate list of requirements to AP Specialist - process Background check - send out application rejection letters</f>
        <v>#NAME?</v>
      </c>
      <c r="H5501" t="s">
        <v>4516</v>
      </c>
      <c r="I5501" s="28" t="s">
        <v>27</v>
      </c>
    </row>
    <row r="5502" spans="1:9" x14ac:dyDescent="0.3">
      <c r="A5502" s="26">
        <v>45351</v>
      </c>
      <c r="B5502" t="s">
        <v>1081</v>
      </c>
      <c r="C5502" t="s">
        <v>874</v>
      </c>
      <c r="D5502">
        <v>1</v>
      </c>
      <c r="E5502" t="s">
        <v>7</v>
      </c>
      <c r="F5502" t="s">
        <v>772</v>
      </c>
      <c r="G5502" t="s">
        <v>4510</v>
      </c>
      <c r="H5502" t="s">
        <v>4516</v>
      </c>
      <c r="I5502" s="28" t="s">
        <v>27</v>
      </c>
    </row>
    <row r="5503" spans="1:9" x14ac:dyDescent="0.3">
      <c r="A5503" s="26">
        <v>45351</v>
      </c>
      <c r="B5503" t="s">
        <v>1081</v>
      </c>
      <c r="C5503" t="s">
        <v>874</v>
      </c>
      <c r="D5503">
        <v>1</v>
      </c>
      <c r="E5503" t="s">
        <v>7</v>
      </c>
      <c r="F5503" t="s">
        <v>772</v>
      </c>
      <c r="G5503" t="s">
        <v>4511</v>
      </c>
      <c r="H5503" t="s">
        <v>4516</v>
      </c>
      <c r="I5503" s="28" t="s">
        <v>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478"/>
  <sheetViews>
    <sheetView workbookViewId="0">
      <selection activeCell="D92" sqref="D92"/>
    </sheetView>
  </sheetViews>
  <sheetFormatPr defaultRowHeight="14.4" x14ac:dyDescent="0.3"/>
  <cols>
    <col min="1" max="1" width="22.44140625" bestFit="1" customWidth="1"/>
    <col min="2" max="2" width="44.5546875" bestFit="1" customWidth="1"/>
  </cols>
  <sheetData>
    <row r="1" spans="1:2" x14ac:dyDescent="0.3">
      <c r="A1" t="s">
        <v>746</v>
      </c>
      <c r="B1" t="s">
        <v>749</v>
      </c>
    </row>
    <row r="2" spans="1:2" x14ac:dyDescent="0.3">
      <c r="A2" t="s">
        <v>752</v>
      </c>
      <c r="B2" t="s">
        <v>417</v>
      </c>
    </row>
    <row r="3" spans="1:2" x14ac:dyDescent="0.3">
      <c r="A3" t="s">
        <v>752</v>
      </c>
      <c r="B3" t="s">
        <v>630</v>
      </c>
    </row>
    <row r="4" spans="1:2" x14ac:dyDescent="0.3">
      <c r="A4" t="s">
        <v>752</v>
      </c>
      <c r="B4" t="s">
        <v>757</v>
      </c>
    </row>
    <row r="5" spans="1:2" x14ac:dyDescent="0.3">
      <c r="A5" t="s">
        <v>752</v>
      </c>
      <c r="B5" t="s">
        <v>664</v>
      </c>
    </row>
    <row r="6" spans="1:2" x14ac:dyDescent="0.3">
      <c r="A6" t="s">
        <v>752</v>
      </c>
      <c r="B6" t="s">
        <v>561</v>
      </c>
    </row>
    <row r="7" spans="1:2" x14ac:dyDescent="0.3">
      <c r="A7" t="s">
        <v>752</v>
      </c>
      <c r="B7" t="s">
        <v>210</v>
      </c>
    </row>
    <row r="8" spans="1:2" x14ac:dyDescent="0.3">
      <c r="A8" t="s">
        <v>752</v>
      </c>
      <c r="B8" t="s">
        <v>602</v>
      </c>
    </row>
    <row r="9" spans="1:2" x14ac:dyDescent="0.3">
      <c r="A9" t="s">
        <v>752</v>
      </c>
      <c r="B9" t="s">
        <v>767</v>
      </c>
    </row>
    <row r="10" spans="1:2" x14ac:dyDescent="0.3">
      <c r="A10" t="s">
        <v>752</v>
      </c>
      <c r="B10" t="s">
        <v>553</v>
      </c>
    </row>
    <row r="11" spans="1:2" x14ac:dyDescent="0.3">
      <c r="A11" t="s">
        <v>752</v>
      </c>
      <c r="B11" t="s">
        <v>770</v>
      </c>
    </row>
    <row r="12" spans="1:2" x14ac:dyDescent="0.3">
      <c r="A12" t="s">
        <v>752</v>
      </c>
      <c r="B12" t="s">
        <v>373</v>
      </c>
    </row>
    <row r="13" spans="1:2" x14ac:dyDescent="0.3">
      <c r="A13" t="s">
        <v>752</v>
      </c>
      <c r="B13" t="s">
        <v>659</v>
      </c>
    </row>
    <row r="14" spans="1:2" x14ac:dyDescent="0.3">
      <c r="A14" t="s">
        <v>752</v>
      </c>
      <c r="B14" t="s">
        <v>7</v>
      </c>
    </row>
    <row r="15" spans="1:2" x14ac:dyDescent="0.3">
      <c r="A15" t="s">
        <v>752</v>
      </c>
      <c r="B15" t="s">
        <v>458</v>
      </c>
    </row>
    <row r="16" spans="1:2" x14ac:dyDescent="0.3">
      <c r="A16" t="s">
        <v>752</v>
      </c>
      <c r="B16" t="s">
        <v>1084</v>
      </c>
    </row>
    <row r="17" spans="1:2" x14ac:dyDescent="0.3">
      <c r="A17" t="s">
        <v>752</v>
      </c>
      <c r="B17" t="s">
        <v>430</v>
      </c>
    </row>
    <row r="18" spans="1:2" x14ac:dyDescent="0.3">
      <c r="A18" t="s">
        <v>752</v>
      </c>
      <c r="B18" t="s">
        <v>1096</v>
      </c>
    </row>
    <row r="19" spans="1:2" x14ac:dyDescent="0.3">
      <c r="A19" t="s">
        <v>752</v>
      </c>
      <c r="B19" t="s">
        <v>727</v>
      </c>
    </row>
    <row r="20" spans="1:2" x14ac:dyDescent="0.3">
      <c r="A20" t="s">
        <v>1093</v>
      </c>
      <c r="B20" t="s">
        <v>455</v>
      </c>
    </row>
    <row r="21" spans="1:2" x14ac:dyDescent="0.3">
      <c r="A21" t="s">
        <v>1093</v>
      </c>
      <c r="B21" t="s">
        <v>562</v>
      </c>
    </row>
    <row r="22" spans="1:2" x14ac:dyDescent="0.3">
      <c r="A22" t="s">
        <v>21</v>
      </c>
      <c r="B22" t="s">
        <v>589</v>
      </c>
    </row>
    <row r="23" spans="1:2" x14ac:dyDescent="0.3">
      <c r="A23" t="s">
        <v>21</v>
      </c>
      <c r="B23" t="s">
        <v>7</v>
      </c>
    </row>
    <row r="24" spans="1:2" x14ac:dyDescent="0.3">
      <c r="A24" t="s">
        <v>21</v>
      </c>
      <c r="B24" t="s">
        <v>13</v>
      </c>
    </row>
    <row r="25" spans="1:2" x14ac:dyDescent="0.3">
      <c r="A25" t="s">
        <v>21</v>
      </c>
      <c r="B25" t="s">
        <v>1096</v>
      </c>
    </row>
    <row r="26" spans="1:2" x14ac:dyDescent="0.3">
      <c r="A26" t="s">
        <v>21</v>
      </c>
      <c r="B26" t="s">
        <v>757</v>
      </c>
    </row>
    <row r="27" spans="1:2" x14ac:dyDescent="0.3">
      <c r="A27" t="s">
        <v>21</v>
      </c>
      <c r="B27" t="s">
        <v>602</v>
      </c>
    </row>
    <row r="28" spans="1:2" x14ac:dyDescent="0.3">
      <c r="A28" t="s">
        <v>21</v>
      </c>
      <c r="B28" t="s">
        <v>999</v>
      </c>
    </row>
    <row r="29" spans="1:2" x14ac:dyDescent="0.3">
      <c r="A29" t="s">
        <v>783</v>
      </c>
      <c r="B29" t="s">
        <v>7</v>
      </c>
    </row>
    <row r="30" spans="1:2" x14ac:dyDescent="0.3">
      <c r="A30" t="s">
        <v>783</v>
      </c>
      <c r="B30" t="s">
        <v>288</v>
      </c>
    </row>
    <row r="31" spans="1:2" x14ac:dyDescent="0.3">
      <c r="A31" t="s">
        <v>783</v>
      </c>
      <c r="B31" t="s">
        <v>690</v>
      </c>
    </row>
    <row r="32" spans="1:2" x14ac:dyDescent="0.3">
      <c r="A32" t="s">
        <v>783</v>
      </c>
      <c r="B32" t="s">
        <v>170</v>
      </c>
    </row>
    <row r="33" spans="1:2" x14ac:dyDescent="0.3">
      <c r="A33" t="s">
        <v>783</v>
      </c>
      <c r="B33" t="s">
        <v>564</v>
      </c>
    </row>
    <row r="34" spans="1:2" x14ac:dyDescent="0.3">
      <c r="A34" t="s">
        <v>785</v>
      </c>
      <c r="B34" t="s">
        <v>7</v>
      </c>
    </row>
    <row r="35" spans="1:2" x14ac:dyDescent="0.3">
      <c r="A35" t="s">
        <v>788</v>
      </c>
      <c r="B35" t="s">
        <v>790</v>
      </c>
    </row>
    <row r="36" spans="1:2" x14ac:dyDescent="0.3">
      <c r="A36" t="s">
        <v>788</v>
      </c>
      <c r="B36" t="s">
        <v>7</v>
      </c>
    </row>
    <row r="37" spans="1:2" x14ac:dyDescent="0.3">
      <c r="A37" t="s">
        <v>788</v>
      </c>
      <c r="B37" t="s">
        <v>857</v>
      </c>
    </row>
    <row r="38" spans="1:2" x14ac:dyDescent="0.3">
      <c r="A38" t="s">
        <v>792</v>
      </c>
      <c r="B38" t="s">
        <v>790</v>
      </c>
    </row>
    <row r="39" spans="1:2" x14ac:dyDescent="0.3">
      <c r="A39" t="s">
        <v>792</v>
      </c>
      <c r="B39" t="s">
        <v>7</v>
      </c>
    </row>
    <row r="40" spans="1:2" x14ac:dyDescent="0.3">
      <c r="A40" t="s">
        <v>796</v>
      </c>
      <c r="B40" t="s">
        <v>585</v>
      </c>
    </row>
    <row r="41" spans="1:2" x14ac:dyDescent="0.3">
      <c r="A41" t="s">
        <v>796</v>
      </c>
      <c r="B41" t="s">
        <v>655</v>
      </c>
    </row>
    <row r="42" spans="1:2" x14ac:dyDescent="0.3">
      <c r="A42" t="s">
        <v>796</v>
      </c>
      <c r="B42" t="s">
        <v>430</v>
      </c>
    </row>
    <row r="43" spans="1:2" x14ac:dyDescent="0.3">
      <c r="A43" t="s">
        <v>796</v>
      </c>
      <c r="B43" t="s">
        <v>7</v>
      </c>
    </row>
    <row r="44" spans="1:2" x14ac:dyDescent="0.3">
      <c r="A44" t="s">
        <v>796</v>
      </c>
      <c r="B44" t="s">
        <v>1543</v>
      </c>
    </row>
    <row r="45" spans="1:2" x14ac:dyDescent="0.3">
      <c r="A45" t="s">
        <v>796</v>
      </c>
      <c r="B45" t="s">
        <v>727</v>
      </c>
    </row>
    <row r="46" spans="1:2" x14ac:dyDescent="0.3">
      <c r="A46" t="s">
        <v>801</v>
      </c>
      <c r="B46" t="s">
        <v>7</v>
      </c>
    </row>
    <row r="47" spans="1:2" x14ac:dyDescent="0.3">
      <c r="A47" t="s">
        <v>803</v>
      </c>
      <c r="B47" t="s">
        <v>805</v>
      </c>
    </row>
    <row r="48" spans="1:2" x14ac:dyDescent="0.3">
      <c r="A48" t="s">
        <v>803</v>
      </c>
      <c r="B48" t="s">
        <v>2261</v>
      </c>
    </row>
    <row r="49" spans="1:2" x14ac:dyDescent="0.3">
      <c r="A49" t="s">
        <v>803</v>
      </c>
      <c r="B49" t="s">
        <v>2604</v>
      </c>
    </row>
    <row r="50" spans="1:2" x14ac:dyDescent="0.3">
      <c r="A50" t="s">
        <v>803</v>
      </c>
      <c r="B50" t="s">
        <v>2605</v>
      </c>
    </row>
    <row r="51" spans="1:2" x14ac:dyDescent="0.3">
      <c r="A51" t="s">
        <v>803</v>
      </c>
      <c r="B51" t="s">
        <v>2792</v>
      </c>
    </row>
    <row r="52" spans="1:2" x14ac:dyDescent="0.3">
      <c r="A52" t="s">
        <v>803</v>
      </c>
      <c r="B52" t="s">
        <v>640</v>
      </c>
    </row>
    <row r="53" spans="1:2" x14ac:dyDescent="0.3">
      <c r="A53" t="s">
        <v>803</v>
      </c>
      <c r="B53" t="s">
        <v>3920</v>
      </c>
    </row>
    <row r="54" spans="1:2" x14ac:dyDescent="0.3">
      <c r="A54" t="s">
        <v>803</v>
      </c>
      <c r="B54" t="s">
        <v>4201</v>
      </c>
    </row>
    <row r="55" spans="1:2" x14ac:dyDescent="0.3">
      <c r="A55" t="s">
        <v>803</v>
      </c>
      <c r="B55" t="s">
        <v>4202</v>
      </c>
    </row>
    <row r="56" spans="1:2" x14ac:dyDescent="0.3">
      <c r="A56" t="s">
        <v>806</v>
      </c>
      <c r="B56" t="s">
        <v>7</v>
      </c>
    </row>
    <row r="57" spans="1:2" x14ac:dyDescent="0.3">
      <c r="A57" t="s">
        <v>808</v>
      </c>
      <c r="B57" t="s">
        <v>7</v>
      </c>
    </row>
    <row r="58" spans="1:2" x14ac:dyDescent="0.3">
      <c r="A58" t="s">
        <v>810</v>
      </c>
      <c r="B58" t="s">
        <v>811</v>
      </c>
    </row>
    <row r="59" spans="1:2" x14ac:dyDescent="0.3">
      <c r="A59" t="s">
        <v>810</v>
      </c>
      <c r="B59" t="s">
        <v>813</v>
      </c>
    </row>
    <row r="60" spans="1:2" x14ac:dyDescent="0.3">
      <c r="A60" t="s">
        <v>810</v>
      </c>
      <c r="B60" t="s">
        <v>814</v>
      </c>
    </row>
    <row r="61" spans="1:2" x14ac:dyDescent="0.3">
      <c r="A61" t="s">
        <v>810</v>
      </c>
      <c r="B61" t="s">
        <v>815</v>
      </c>
    </row>
    <row r="62" spans="1:2" x14ac:dyDescent="0.3">
      <c r="A62" t="s">
        <v>810</v>
      </c>
      <c r="B62" t="s">
        <v>516</v>
      </c>
    </row>
    <row r="63" spans="1:2" x14ac:dyDescent="0.3">
      <c r="A63" t="s">
        <v>810</v>
      </c>
      <c r="B63" t="s">
        <v>817</v>
      </c>
    </row>
    <row r="64" spans="1:2" x14ac:dyDescent="0.3">
      <c r="A64" t="s">
        <v>810</v>
      </c>
      <c r="B64" t="s">
        <v>7</v>
      </c>
    </row>
    <row r="65" spans="1:2" x14ac:dyDescent="0.3">
      <c r="A65" t="s">
        <v>810</v>
      </c>
      <c r="B65" t="s">
        <v>898</v>
      </c>
    </row>
    <row r="66" spans="1:2" x14ac:dyDescent="0.3">
      <c r="A66" t="s">
        <v>810</v>
      </c>
      <c r="B66" t="s">
        <v>1340</v>
      </c>
    </row>
    <row r="67" spans="1:2" x14ac:dyDescent="0.3">
      <c r="A67" t="s">
        <v>810</v>
      </c>
      <c r="B67" t="s">
        <v>1342</v>
      </c>
    </row>
    <row r="68" spans="1:2" x14ac:dyDescent="0.3">
      <c r="A68" t="s">
        <v>810</v>
      </c>
      <c r="B68" t="s">
        <v>1343</v>
      </c>
    </row>
    <row r="69" spans="1:2" x14ac:dyDescent="0.3">
      <c r="A69" t="s">
        <v>810</v>
      </c>
      <c r="B69" t="s">
        <v>1069</v>
      </c>
    </row>
    <row r="70" spans="1:2" x14ac:dyDescent="0.3">
      <c r="A70" t="s">
        <v>810</v>
      </c>
      <c r="B70" t="s">
        <v>910</v>
      </c>
    </row>
    <row r="71" spans="1:2" x14ac:dyDescent="0.3">
      <c r="A71" t="s">
        <v>810</v>
      </c>
      <c r="B71" t="s">
        <v>563</v>
      </c>
    </row>
    <row r="72" spans="1:2" x14ac:dyDescent="0.3">
      <c r="A72" t="s">
        <v>810</v>
      </c>
      <c r="B72" t="s">
        <v>2435</v>
      </c>
    </row>
    <row r="73" spans="1:2" x14ac:dyDescent="0.3">
      <c r="A73" t="s">
        <v>810</v>
      </c>
      <c r="B73" t="s">
        <v>687</v>
      </c>
    </row>
    <row r="74" spans="1:2" x14ac:dyDescent="0.3">
      <c r="A74" t="s">
        <v>810</v>
      </c>
      <c r="B74" t="s">
        <v>2797</v>
      </c>
    </row>
    <row r="75" spans="1:2" x14ac:dyDescent="0.3">
      <c r="A75" t="s">
        <v>810</v>
      </c>
      <c r="B75" t="s">
        <v>2987</v>
      </c>
    </row>
    <row r="76" spans="1:2" x14ac:dyDescent="0.3">
      <c r="A76" t="s">
        <v>810</v>
      </c>
      <c r="B76" t="s">
        <v>628</v>
      </c>
    </row>
    <row r="77" spans="1:2" x14ac:dyDescent="0.3">
      <c r="A77" t="s">
        <v>810</v>
      </c>
      <c r="B77" t="s">
        <v>1631</v>
      </c>
    </row>
    <row r="78" spans="1:2" x14ac:dyDescent="0.3">
      <c r="A78" t="s">
        <v>225</v>
      </c>
      <c r="B78" t="s">
        <v>630</v>
      </c>
    </row>
    <row r="79" spans="1:2" x14ac:dyDescent="0.3">
      <c r="A79" t="s">
        <v>225</v>
      </c>
      <c r="B79" t="s">
        <v>602</v>
      </c>
    </row>
    <row r="80" spans="1:2" x14ac:dyDescent="0.3">
      <c r="A80" t="s">
        <v>225</v>
      </c>
      <c r="B80" t="s">
        <v>857</v>
      </c>
    </row>
    <row r="81" spans="1:2" x14ac:dyDescent="0.3">
      <c r="A81" t="s">
        <v>225</v>
      </c>
      <c r="B81" t="s">
        <v>7</v>
      </c>
    </row>
    <row r="82" spans="1:2" x14ac:dyDescent="0.3">
      <c r="A82" t="s">
        <v>825</v>
      </c>
      <c r="B82" t="s">
        <v>827</v>
      </c>
    </row>
    <row r="83" spans="1:2" x14ac:dyDescent="0.3">
      <c r="A83" t="s">
        <v>825</v>
      </c>
      <c r="B83" t="s">
        <v>47</v>
      </c>
    </row>
    <row r="84" spans="1:2" x14ac:dyDescent="0.3">
      <c r="A84" t="s">
        <v>825</v>
      </c>
      <c r="B84" t="s">
        <v>297</v>
      </c>
    </row>
    <row r="85" spans="1:2" x14ac:dyDescent="0.3">
      <c r="A85" t="s">
        <v>825</v>
      </c>
      <c r="B85" t="s">
        <v>531</v>
      </c>
    </row>
    <row r="86" spans="1:2" x14ac:dyDescent="0.3">
      <c r="A86" t="s">
        <v>825</v>
      </c>
      <c r="B86" t="s">
        <v>250</v>
      </c>
    </row>
    <row r="87" spans="1:2" x14ac:dyDescent="0.3">
      <c r="A87" t="s">
        <v>825</v>
      </c>
      <c r="B87" t="s">
        <v>296</v>
      </c>
    </row>
    <row r="88" spans="1:2" x14ac:dyDescent="0.3">
      <c r="A88" t="s">
        <v>825</v>
      </c>
      <c r="B88" t="s">
        <v>529</v>
      </c>
    </row>
    <row r="89" spans="1:2" x14ac:dyDescent="0.3">
      <c r="A89" t="s">
        <v>825</v>
      </c>
      <c r="B89" t="s">
        <v>235</v>
      </c>
    </row>
    <row r="90" spans="1:2" x14ac:dyDescent="0.3">
      <c r="A90" t="s">
        <v>825</v>
      </c>
      <c r="B90" t="s">
        <v>71</v>
      </c>
    </row>
    <row r="91" spans="1:2" x14ac:dyDescent="0.3">
      <c r="A91" t="s">
        <v>825</v>
      </c>
      <c r="B91" t="s">
        <v>372</v>
      </c>
    </row>
    <row r="92" spans="1:2" x14ac:dyDescent="0.3">
      <c r="A92" t="s">
        <v>829</v>
      </c>
      <c r="B92" t="s">
        <v>375</v>
      </c>
    </row>
    <row r="93" spans="1:2" x14ac:dyDescent="0.3">
      <c r="A93" t="s">
        <v>829</v>
      </c>
      <c r="B93" t="s">
        <v>7</v>
      </c>
    </row>
    <row r="94" spans="1:2" x14ac:dyDescent="0.3">
      <c r="A94" t="s">
        <v>829</v>
      </c>
      <c r="B94" t="s">
        <v>790</v>
      </c>
    </row>
    <row r="95" spans="1:2" x14ac:dyDescent="0.3">
      <c r="A95" t="s">
        <v>829</v>
      </c>
      <c r="B95" t="s">
        <v>845</v>
      </c>
    </row>
    <row r="96" spans="1:2" x14ac:dyDescent="0.3">
      <c r="A96" t="s">
        <v>829</v>
      </c>
      <c r="B96" t="s">
        <v>857</v>
      </c>
    </row>
    <row r="97" spans="1:2" x14ac:dyDescent="0.3">
      <c r="A97" t="s">
        <v>829</v>
      </c>
      <c r="B97" t="s">
        <v>898</v>
      </c>
    </row>
    <row r="98" spans="1:2" x14ac:dyDescent="0.3">
      <c r="A98" t="s">
        <v>829</v>
      </c>
      <c r="B98" t="s">
        <v>248</v>
      </c>
    </row>
    <row r="99" spans="1:2" x14ac:dyDescent="0.3">
      <c r="A99" t="s">
        <v>829</v>
      </c>
      <c r="B99" t="s">
        <v>226</v>
      </c>
    </row>
    <row r="100" spans="1:2" x14ac:dyDescent="0.3">
      <c r="A100" t="s">
        <v>829</v>
      </c>
      <c r="B100" t="s">
        <v>458</v>
      </c>
    </row>
    <row r="101" spans="1:2" x14ac:dyDescent="0.3">
      <c r="A101" t="s">
        <v>829</v>
      </c>
      <c r="B101" t="s">
        <v>659</v>
      </c>
    </row>
    <row r="102" spans="1:2" x14ac:dyDescent="0.3">
      <c r="A102" t="s">
        <v>829</v>
      </c>
      <c r="B102" t="s">
        <v>259</v>
      </c>
    </row>
    <row r="103" spans="1:2" x14ac:dyDescent="0.3">
      <c r="A103" t="s">
        <v>829</v>
      </c>
      <c r="B103" t="s">
        <v>553</v>
      </c>
    </row>
    <row r="104" spans="1:2" x14ac:dyDescent="0.3">
      <c r="A104" t="s">
        <v>829</v>
      </c>
      <c r="B104" t="s">
        <v>1438</v>
      </c>
    </row>
    <row r="105" spans="1:2" x14ac:dyDescent="0.3">
      <c r="A105" t="s">
        <v>829</v>
      </c>
      <c r="B105" t="s">
        <v>2613</v>
      </c>
    </row>
    <row r="106" spans="1:2" x14ac:dyDescent="0.3">
      <c r="A106" t="s">
        <v>829</v>
      </c>
      <c r="B106" t="s">
        <v>210</v>
      </c>
    </row>
    <row r="107" spans="1:2" x14ac:dyDescent="0.3">
      <c r="A107" t="s">
        <v>829</v>
      </c>
      <c r="B107" t="s">
        <v>985</v>
      </c>
    </row>
    <row r="108" spans="1:2" x14ac:dyDescent="0.3">
      <c r="A108" t="s">
        <v>829</v>
      </c>
      <c r="B108" t="s">
        <v>628</v>
      </c>
    </row>
    <row r="109" spans="1:2" x14ac:dyDescent="0.3">
      <c r="A109" t="s">
        <v>840</v>
      </c>
      <c r="B109" t="s">
        <v>790</v>
      </c>
    </row>
    <row r="110" spans="1:2" x14ac:dyDescent="0.3">
      <c r="A110" t="s">
        <v>840</v>
      </c>
      <c r="B110" t="s">
        <v>7</v>
      </c>
    </row>
    <row r="111" spans="1:2" x14ac:dyDescent="0.3">
      <c r="A111" t="s">
        <v>840</v>
      </c>
      <c r="B111" t="s">
        <v>1631</v>
      </c>
    </row>
    <row r="112" spans="1:2" x14ac:dyDescent="0.3">
      <c r="A112" t="s">
        <v>843</v>
      </c>
      <c r="B112" t="s">
        <v>563</v>
      </c>
    </row>
    <row r="113" spans="1:2" x14ac:dyDescent="0.3">
      <c r="A113" t="s">
        <v>843</v>
      </c>
      <c r="B113" t="s">
        <v>845</v>
      </c>
    </row>
    <row r="114" spans="1:2" x14ac:dyDescent="0.3">
      <c r="A114" t="s">
        <v>843</v>
      </c>
      <c r="B114" t="s">
        <v>628</v>
      </c>
    </row>
    <row r="115" spans="1:2" x14ac:dyDescent="0.3">
      <c r="A115" t="s">
        <v>843</v>
      </c>
      <c r="B115" t="s">
        <v>234</v>
      </c>
    </row>
    <row r="116" spans="1:2" x14ac:dyDescent="0.3">
      <c r="A116" t="s">
        <v>843</v>
      </c>
      <c r="B116" t="s">
        <v>259</v>
      </c>
    </row>
    <row r="117" spans="1:2" x14ac:dyDescent="0.3">
      <c r="A117" t="s">
        <v>843</v>
      </c>
      <c r="B117" t="s">
        <v>7</v>
      </c>
    </row>
    <row r="118" spans="1:2" x14ac:dyDescent="0.3">
      <c r="A118" t="s">
        <v>843</v>
      </c>
      <c r="B118" t="s">
        <v>999</v>
      </c>
    </row>
    <row r="119" spans="1:2" x14ac:dyDescent="0.3">
      <c r="A119" t="s">
        <v>843</v>
      </c>
      <c r="B119" t="s">
        <v>170</v>
      </c>
    </row>
    <row r="120" spans="1:2" x14ac:dyDescent="0.3">
      <c r="A120" t="s">
        <v>843</v>
      </c>
      <c r="B120" t="s">
        <v>690</v>
      </c>
    </row>
    <row r="121" spans="1:2" x14ac:dyDescent="0.3">
      <c r="A121" t="s">
        <v>843</v>
      </c>
      <c r="B121" t="s">
        <v>564</v>
      </c>
    </row>
    <row r="122" spans="1:2" x14ac:dyDescent="0.3">
      <c r="A122" t="s">
        <v>856</v>
      </c>
      <c r="B122" t="s">
        <v>857</v>
      </c>
    </row>
    <row r="123" spans="1:2" x14ac:dyDescent="0.3">
      <c r="A123" t="s">
        <v>856</v>
      </c>
      <c r="B123" t="s">
        <v>173</v>
      </c>
    </row>
    <row r="124" spans="1:2" x14ac:dyDescent="0.3">
      <c r="A124" t="s">
        <v>856</v>
      </c>
      <c r="B124" t="s">
        <v>589</v>
      </c>
    </row>
    <row r="125" spans="1:2" x14ac:dyDescent="0.3">
      <c r="A125" t="s">
        <v>856</v>
      </c>
      <c r="B125" t="s">
        <v>7</v>
      </c>
    </row>
    <row r="126" spans="1:2" x14ac:dyDescent="0.3">
      <c r="A126" t="s">
        <v>856</v>
      </c>
      <c r="B126" t="s">
        <v>879</v>
      </c>
    </row>
    <row r="127" spans="1:2" x14ac:dyDescent="0.3">
      <c r="A127" t="s">
        <v>856</v>
      </c>
      <c r="B127" t="s">
        <v>583</v>
      </c>
    </row>
    <row r="128" spans="1:2" x14ac:dyDescent="0.3">
      <c r="A128" t="s">
        <v>856</v>
      </c>
      <c r="B128" t="s">
        <v>1989</v>
      </c>
    </row>
    <row r="129" spans="1:2" x14ac:dyDescent="0.3">
      <c r="A129" t="s">
        <v>856</v>
      </c>
      <c r="B129" t="s">
        <v>226</v>
      </c>
    </row>
    <row r="130" spans="1:2" x14ac:dyDescent="0.3">
      <c r="A130" t="s">
        <v>33</v>
      </c>
      <c r="B130" t="s">
        <v>817</v>
      </c>
    </row>
    <row r="131" spans="1:2" x14ac:dyDescent="0.3">
      <c r="A131" t="s">
        <v>33</v>
      </c>
      <c r="B131" t="s">
        <v>7</v>
      </c>
    </row>
    <row r="132" spans="1:2" x14ac:dyDescent="0.3">
      <c r="A132" t="s">
        <v>33</v>
      </c>
      <c r="B132" t="s">
        <v>11</v>
      </c>
    </row>
    <row r="133" spans="1:2" x14ac:dyDescent="0.3">
      <c r="A133" t="s">
        <v>33</v>
      </c>
      <c r="B133" t="s">
        <v>1150</v>
      </c>
    </row>
    <row r="134" spans="1:2" x14ac:dyDescent="0.3">
      <c r="A134" t="s">
        <v>33</v>
      </c>
      <c r="B134" t="s">
        <v>898</v>
      </c>
    </row>
    <row r="135" spans="1:2" x14ac:dyDescent="0.3">
      <c r="A135" t="s">
        <v>33</v>
      </c>
      <c r="B135" t="s">
        <v>375</v>
      </c>
    </row>
    <row r="136" spans="1:2" x14ac:dyDescent="0.3">
      <c r="A136" t="s">
        <v>33</v>
      </c>
      <c r="B136" t="s">
        <v>770</v>
      </c>
    </row>
    <row r="137" spans="1:2" x14ac:dyDescent="0.3">
      <c r="A137" t="s">
        <v>33</v>
      </c>
      <c r="B137" t="s">
        <v>654</v>
      </c>
    </row>
    <row r="138" spans="1:2" x14ac:dyDescent="0.3">
      <c r="A138" t="s">
        <v>33</v>
      </c>
      <c r="B138" t="s">
        <v>813</v>
      </c>
    </row>
    <row r="139" spans="1:2" x14ac:dyDescent="0.3">
      <c r="A139" t="s">
        <v>33</v>
      </c>
      <c r="B139" t="s">
        <v>811</v>
      </c>
    </row>
    <row r="140" spans="1:2" x14ac:dyDescent="0.3">
      <c r="A140" t="s">
        <v>33</v>
      </c>
      <c r="B140" t="s">
        <v>2496</v>
      </c>
    </row>
    <row r="141" spans="1:2" x14ac:dyDescent="0.3">
      <c r="A141" t="s">
        <v>33</v>
      </c>
      <c r="B141" t="s">
        <v>2525</v>
      </c>
    </row>
    <row r="142" spans="1:2" x14ac:dyDescent="0.3">
      <c r="A142" t="s">
        <v>33</v>
      </c>
      <c r="B142" t="s">
        <v>646</v>
      </c>
    </row>
    <row r="143" spans="1:2" x14ac:dyDescent="0.3">
      <c r="A143" t="s">
        <v>33</v>
      </c>
      <c r="B143" t="s">
        <v>336</v>
      </c>
    </row>
    <row r="144" spans="1:2" x14ac:dyDescent="0.3">
      <c r="A144" t="s">
        <v>33</v>
      </c>
      <c r="B144" t="s">
        <v>563</v>
      </c>
    </row>
    <row r="145" spans="1:2" x14ac:dyDescent="0.3">
      <c r="A145" t="s">
        <v>33</v>
      </c>
      <c r="B145" t="s">
        <v>978</v>
      </c>
    </row>
    <row r="146" spans="1:2" x14ac:dyDescent="0.3">
      <c r="A146" t="s">
        <v>33</v>
      </c>
      <c r="B146" t="s">
        <v>2604</v>
      </c>
    </row>
    <row r="147" spans="1:2" x14ac:dyDescent="0.3">
      <c r="A147" t="s">
        <v>876</v>
      </c>
      <c r="B147" t="s">
        <v>11</v>
      </c>
    </row>
    <row r="148" spans="1:2" x14ac:dyDescent="0.3">
      <c r="A148" t="s">
        <v>876</v>
      </c>
      <c r="B148" t="s">
        <v>664</v>
      </c>
    </row>
    <row r="149" spans="1:2" x14ac:dyDescent="0.3">
      <c r="A149" t="s">
        <v>876</v>
      </c>
      <c r="B149" t="s">
        <v>7</v>
      </c>
    </row>
    <row r="150" spans="1:2" x14ac:dyDescent="0.3">
      <c r="A150" t="s">
        <v>876</v>
      </c>
      <c r="B150" t="s">
        <v>657</v>
      </c>
    </row>
    <row r="151" spans="1:2" x14ac:dyDescent="0.3">
      <c r="A151" t="s">
        <v>876</v>
      </c>
      <c r="B151" t="s">
        <v>151</v>
      </c>
    </row>
    <row r="152" spans="1:2" x14ac:dyDescent="0.3">
      <c r="A152" t="s">
        <v>877</v>
      </c>
      <c r="B152" t="s">
        <v>879</v>
      </c>
    </row>
    <row r="153" spans="1:2" x14ac:dyDescent="0.3">
      <c r="A153" t="s">
        <v>877</v>
      </c>
      <c r="B153" t="s">
        <v>882</v>
      </c>
    </row>
    <row r="154" spans="1:2" x14ac:dyDescent="0.3">
      <c r="A154" t="s">
        <v>877</v>
      </c>
      <c r="B154" t="s">
        <v>7</v>
      </c>
    </row>
    <row r="155" spans="1:2" x14ac:dyDescent="0.3">
      <c r="A155" t="s">
        <v>884</v>
      </c>
      <c r="B155" t="s">
        <v>885</v>
      </c>
    </row>
    <row r="156" spans="1:2" x14ac:dyDescent="0.3">
      <c r="A156" t="s">
        <v>884</v>
      </c>
      <c r="B156" t="s">
        <v>248</v>
      </c>
    </row>
    <row r="157" spans="1:2" x14ac:dyDescent="0.3">
      <c r="A157" t="s">
        <v>884</v>
      </c>
      <c r="B157" t="s">
        <v>562</v>
      </c>
    </row>
    <row r="158" spans="1:2" x14ac:dyDescent="0.3">
      <c r="A158" t="s">
        <v>884</v>
      </c>
      <c r="B158" t="s">
        <v>375</v>
      </c>
    </row>
    <row r="159" spans="1:2" x14ac:dyDescent="0.3">
      <c r="A159" t="s">
        <v>884</v>
      </c>
      <c r="B159" t="s">
        <v>11</v>
      </c>
    </row>
    <row r="160" spans="1:2" x14ac:dyDescent="0.3">
      <c r="A160" t="s">
        <v>884</v>
      </c>
      <c r="B160" t="s">
        <v>7</v>
      </c>
    </row>
    <row r="161" spans="1:2" x14ac:dyDescent="0.3">
      <c r="A161" t="s">
        <v>884</v>
      </c>
      <c r="B161" t="s">
        <v>646</v>
      </c>
    </row>
    <row r="162" spans="1:2" x14ac:dyDescent="0.3">
      <c r="A162" t="s">
        <v>884</v>
      </c>
      <c r="B162" t="s">
        <v>316</v>
      </c>
    </row>
    <row r="163" spans="1:2" x14ac:dyDescent="0.3">
      <c r="A163" t="s">
        <v>884</v>
      </c>
      <c r="B163" t="s">
        <v>288</v>
      </c>
    </row>
    <row r="164" spans="1:2" x14ac:dyDescent="0.3">
      <c r="A164" t="s">
        <v>884</v>
      </c>
      <c r="B164" t="s">
        <v>151</v>
      </c>
    </row>
    <row r="165" spans="1:2" x14ac:dyDescent="0.3">
      <c r="A165" t="s">
        <v>891</v>
      </c>
      <c r="B165" t="s">
        <v>7</v>
      </c>
    </row>
    <row r="166" spans="1:2" x14ac:dyDescent="0.3">
      <c r="A166" t="s">
        <v>34</v>
      </c>
      <c r="B166" t="s">
        <v>7</v>
      </c>
    </row>
    <row r="167" spans="1:2" x14ac:dyDescent="0.3">
      <c r="A167" t="s">
        <v>893</v>
      </c>
      <c r="B167" t="s">
        <v>7</v>
      </c>
    </row>
    <row r="168" spans="1:2" x14ac:dyDescent="0.3">
      <c r="A168" t="s">
        <v>895</v>
      </c>
      <c r="B168" t="s">
        <v>813</v>
      </c>
    </row>
    <row r="169" spans="1:2" x14ac:dyDescent="0.3">
      <c r="A169" t="s">
        <v>895</v>
      </c>
      <c r="B169" t="s">
        <v>811</v>
      </c>
    </row>
    <row r="170" spans="1:2" x14ac:dyDescent="0.3">
      <c r="A170" t="s">
        <v>895</v>
      </c>
      <c r="B170" t="s">
        <v>898</v>
      </c>
    </row>
    <row r="171" spans="1:2" x14ac:dyDescent="0.3">
      <c r="A171" t="s">
        <v>895</v>
      </c>
      <c r="B171" t="s">
        <v>817</v>
      </c>
    </row>
    <row r="172" spans="1:2" x14ac:dyDescent="0.3">
      <c r="A172" t="s">
        <v>895</v>
      </c>
      <c r="B172" t="s">
        <v>815</v>
      </c>
    </row>
    <row r="173" spans="1:2" x14ac:dyDescent="0.3">
      <c r="A173" t="s">
        <v>895</v>
      </c>
      <c r="B173" t="s">
        <v>903</v>
      </c>
    </row>
    <row r="174" spans="1:2" x14ac:dyDescent="0.3">
      <c r="A174" t="s">
        <v>895</v>
      </c>
      <c r="B174" t="s">
        <v>7</v>
      </c>
    </row>
    <row r="175" spans="1:2" x14ac:dyDescent="0.3">
      <c r="A175" t="s">
        <v>895</v>
      </c>
      <c r="B175" t="s">
        <v>910</v>
      </c>
    </row>
    <row r="176" spans="1:2" x14ac:dyDescent="0.3">
      <c r="A176" t="s">
        <v>895</v>
      </c>
      <c r="B176" t="s">
        <v>917</v>
      </c>
    </row>
    <row r="177" spans="1:2" x14ac:dyDescent="0.3">
      <c r="A177" t="s">
        <v>895</v>
      </c>
      <c r="B177" t="s">
        <v>814</v>
      </c>
    </row>
    <row r="178" spans="1:2" x14ac:dyDescent="0.3">
      <c r="A178" t="s">
        <v>895</v>
      </c>
      <c r="B178" t="s">
        <v>922</v>
      </c>
    </row>
    <row r="179" spans="1:2" x14ac:dyDescent="0.3">
      <c r="A179" t="s">
        <v>895</v>
      </c>
      <c r="B179" t="s">
        <v>879</v>
      </c>
    </row>
    <row r="180" spans="1:2" x14ac:dyDescent="0.3">
      <c r="A180" t="s">
        <v>895</v>
      </c>
      <c r="B180" t="s">
        <v>1172</v>
      </c>
    </row>
    <row r="181" spans="1:2" x14ac:dyDescent="0.3">
      <c r="A181" t="s">
        <v>895</v>
      </c>
      <c r="B181" t="s">
        <v>13</v>
      </c>
    </row>
    <row r="182" spans="1:2" x14ac:dyDescent="0.3">
      <c r="A182" t="s">
        <v>895</v>
      </c>
      <c r="B182" t="s">
        <v>234</v>
      </c>
    </row>
    <row r="183" spans="1:2" x14ac:dyDescent="0.3">
      <c r="A183" t="s">
        <v>895</v>
      </c>
      <c r="B183" t="s">
        <v>1150</v>
      </c>
    </row>
    <row r="184" spans="1:2" x14ac:dyDescent="0.3">
      <c r="A184" t="s">
        <v>895</v>
      </c>
      <c r="B184" t="s">
        <v>985</v>
      </c>
    </row>
    <row r="185" spans="1:2" x14ac:dyDescent="0.3">
      <c r="A185" t="s">
        <v>895</v>
      </c>
      <c r="B185" t="s">
        <v>516</v>
      </c>
    </row>
    <row r="186" spans="1:2" x14ac:dyDescent="0.3">
      <c r="A186" t="s">
        <v>895</v>
      </c>
      <c r="B186" t="s">
        <v>1069</v>
      </c>
    </row>
    <row r="187" spans="1:2" x14ac:dyDescent="0.3">
      <c r="A187" t="s">
        <v>895</v>
      </c>
      <c r="B187" t="s">
        <v>770</v>
      </c>
    </row>
    <row r="188" spans="1:2" x14ac:dyDescent="0.3">
      <c r="A188" t="s">
        <v>895</v>
      </c>
      <c r="B188" t="s">
        <v>2435</v>
      </c>
    </row>
    <row r="189" spans="1:2" x14ac:dyDescent="0.3">
      <c r="A189" t="s">
        <v>895</v>
      </c>
      <c r="B189" t="s">
        <v>757</v>
      </c>
    </row>
    <row r="190" spans="1:2" x14ac:dyDescent="0.3">
      <c r="A190" t="s">
        <v>895</v>
      </c>
      <c r="B190" t="s">
        <v>2605</v>
      </c>
    </row>
    <row r="191" spans="1:2" x14ac:dyDescent="0.3">
      <c r="A191" t="s">
        <v>895</v>
      </c>
      <c r="B191" t="s">
        <v>2792</v>
      </c>
    </row>
    <row r="192" spans="1:2" x14ac:dyDescent="0.3">
      <c r="A192" t="s">
        <v>895</v>
      </c>
      <c r="B192" t="s">
        <v>790</v>
      </c>
    </row>
    <row r="193" spans="1:2" x14ac:dyDescent="0.3">
      <c r="A193" t="s">
        <v>895</v>
      </c>
      <c r="B193" t="s">
        <v>2797</v>
      </c>
    </row>
    <row r="194" spans="1:2" x14ac:dyDescent="0.3">
      <c r="A194" t="s">
        <v>895</v>
      </c>
      <c r="B194" t="s">
        <v>602</v>
      </c>
    </row>
    <row r="195" spans="1:2" x14ac:dyDescent="0.3">
      <c r="A195" t="s">
        <v>1391</v>
      </c>
      <c r="B195" t="s">
        <v>7</v>
      </c>
    </row>
    <row r="196" spans="1:2" x14ac:dyDescent="0.3">
      <c r="A196" t="s">
        <v>1391</v>
      </c>
      <c r="B196" t="s">
        <v>455</v>
      </c>
    </row>
    <row r="197" spans="1:2" x14ac:dyDescent="0.3">
      <c r="A197" t="s">
        <v>929</v>
      </c>
      <c r="B197" t="s">
        <v>7</v>
      </c>
    </row>
    <row r="198" spans="1:2" x14ac:dyDescent="0.3">
      <c r="A198" t="s">
        <v>929</v>
      </c>
      <c r="B198" t="s">
        <v>934</v>
      </c>
    </row>
    <row r="199" spans="1:2" x14ac:dyDescent="0.3">
      <c r="A199" t="s">
        <v>929</v>
      </c>
      <c r="B199" t="s">
        <v>589</v>
      </c>
    </row>
    <row r="200" spans="1:2" x14ac:dyDescent="0.3">
      <c r="A200" t="s">
        <v>929</v>
      </c>
      <c r="B200" t="s">
        <v>944</v>
      </c>
    </row>
    <row r="201" spans="1:2" x14ac:dyDescent="0.3">
      <c r="A201" t="s">
        <v>929</v>
      </c>
      <c r="B201" t="s">
        <v>553</v>
      </c>
    </row>
    <row r="202" spans="1:2" x14ac:dyDescent="0.3">
      <c r="A202" t="s">
        <v>929</v>
      </c>
      <c r="B202" t="s">
        <v>917</v>
      </c>
    </row>
    <row r="203" spans="1:2" x14ac:dyDescent="0.3">
      <c r="A203" t="s">
        <v>929</v>
      </c>
      <c r="B203" t="s">
        <v>790</v>
      </c>
    </row>
    <row r="204" spans="1:2" x14ac:dyDescent="0.3">
      <c r="A204" t="s">
        <v>929</v>
      </c>
      <c r="B204" t="s">
        <v>717</v>
      </c>
    </row>
    <row r="205" spans="1:2" x14ac:dyDescent="0.3">
      <c r="A205" t="s">
        <v>929</v>
      </c>
      <c r="B205" t="s">
        <v>1046</v>
      </c>
    </row>
    <row r="206" spans="1:2" x14ac:dyDescent="0.3">
      <c r="A206" t="s">
        <v>929</v>
      </c>
      <c r="B206" t="s">
        <v>644</v>
      </c>
    </row>
    <row r="207" spans="1:2" x14ac:dyDescent="0.3">
      <c r="A207" t="s">
        <v>929</v>
      </c>
      <c r="B207" t="s">
        <v>173</v>
      </c>
    </row>
    <row r="208" spans="1:2" x14ac:dyDescent="0.3">
      <c r="A208" t="s">
        <v>929</v>
      </c>
      <c r="B208" t="s">
        <v>1069</v>
      </c>
    </row>
    <row r="209" spans="1:2" x14ac:dyDescent="0.3">
      <c r="A209" t="s">
        <v>929</v>
      </c>
      <c r="B209" t="s">
        <v>1150</v>
      </c>
    </row>
    <row r="210" spans="1:2" x14ac:dyDescent="0.3">
      <c r="A210" t="s">
        <v>929</v>
      </c>
      <c r="B210" t="s">
        <v>1096</v>
      </c>
    </row>
    <row r="211" spans="1:2" x14ac:dyDescent="0.3">
      <c r="A211" t="s">
        <v>929</v>
      </c>
      <c r="B211" t="s">
        <v>288</v>
      </c>
    </row>
    <row r="212" spans="1:2" x14ac:dyDescent="0.3">
      <c r="A212" t="s">
        <v>929</v>
      </c>
      <c r="B212" t="s">
        <v>1172</v>
      </c>
    </row>
    <row r="213" spans="1:2" x14ac:dyDescent="0.3">
      <c r="A213" t="s">
        <v>929</v>
      </c>
      <c r="B213" t="s">
        <v>234</v>
      </c>
    </row>
    <row r="214" spans="1:2" x14ac:dyDescent="0.3">
      <c r="A214" t="s">
        <v>929</v>
      </c>
      <c r="B214" t="s">
        <v>898</v>
      </c>
    </row>
    <row r="215" spans="1:2" x14ac:dyDescent="0.3">
      <c r="A215" t="s">
        <v>929</v>
      </c>
      <c r="B215" t="s">
        <v>79</v>
      </c>
    </row>
    <row r="216" spans="1:2" x14ac:dyDescent="0.3">
      <c r="A216" t="s">
        <v>929</v>
      </c>
      <c r="B216" t="s">
        <v>161</v>
      </c>
    </row>
    <row r="217" spans="1:2" x14ac:dyDescent="0.3">
      <c r="A217" t="s">
        <v>929</v>
      </c>
      <c r="B217" t="s">
        <v>226</v>
      </c>
    </row>
    <row r="218" spans="1:2" x14ac:dyDescent="0.3">
      <c r="A218" t="s">
        <v>929</v>
      </c>
      <c r="B218" t="s">
        <v>516</v>
      </c>
    </row>
    <row r="219" spans="1:2" x14ac:dyDescent="0.3">
      <c r="A219" t="s">
        <v>929</v>
      </c>
      <c r="B219" t="s">
        <v>623</v>
      </c>
    </row>
    <row r="220" spans="1:2" x14ac:dyDescent="0.3">
      <c r="A220" t="s">
        <v>929</v>
      </c>
      <c r="B220" t="s">
        <v>655</v>
      </c>
    </row>
    <row r="221" spans="1:2" x14ac:dyDescent="0.3">
      <c r="A221" t="s">
        <v>929</v>
      </c>
      <c r="B221" t="s">
        <v>1013</v>
      </c>
    </row>
    <row r="222" spans="1:2" x14ac:dyDescent="0.3">
      <c r="A222" t="s">
        <v>929</v>
      </c>
      <c r="B222" t="s">
        <v>201</v>
      </c>
    </row>
    <row r="223" spans="1:2" x14ac:dyDescent="0.3">
      <c r="A223" t="s">
        <v>929</v>
      </c>
      <c r="B223" t="s">
        <v>561</v>
      </c>
    </row>
    <row r="224" spans="1:2" x14ac:dyDescent="0.3">
      <c r="A224" t="s">
        <v>929</v>
      </c>
      <c r="B224" t="s">
        <v>659</v>
      </c>
    </row>
    <row r="225" spans="1:2" x14ac:dyDescent="0.3">
      <c r="A225" t="s">
        <v>929</v>
      </c>
      <c r="B225" t="s">
        <v>375</v>
      </c>
    </row>
    <row r="226" spans="1:2" x14ac:dyDescent="0.3">
      <c r="A226" t="s">
        <v>929</v>
      </c>
      <c r="B226" t="s">
        <v>1084</v>
      </c>
    </row>
    <row r="227" spans="1:2" x14ac:dyDescent="0.3">
      <c r="A227" t="s">
        <v>929</v>
      </c>
      <c r="B227" t="s">
        <v>519</v>
      </c>
    </row>
    <row r="228" spans="1:2" x14ac:dyDescent="0.3">
      <c r="A228" t="s">
        <v>929</v>
      </c>
      <c r="B228" t="s">
        <v>811</v>
      </c>
    </row>
    <row r="229" spans="1:2" x14ac:dyDescent="0.3">
      <c r="A229" t="s">
        <v>929</v>
      </c>
      <c r="B229" t="s">
        <v>1631</v>
      </c>
    </row>
    <row r="230" spans="1:2" x14ac:dyDescent="0.3">
      <c r="A230" t="s">
        <v>929</v>
      </c>
      <c r="B230" t="s">
        <v>815</v>
      </c>
    </row>
    <row r="231" spans="1:2" x14ac:dyDescent="0.3">
      <c r="A231" t="s">
        <v>929</v>
      </c>
      <c r="B231" t="s">
        <v>583</v>
      </c>
    </row>
    <row r="232" spans="1:2" x14ac:dyDescent="0.3">
      <c r="A232" t="s">
        <v>929</v>
      </c>
      <c r="B232" t="s">
        <v>237</v>
      </c>
    </row>
    <row r="233" spans="1:2" x14ac:dyDescent="0.3">
      <c r="A233" t="s">
        <v>929</v>
      </c>
      <c r="B233" t="s">
        <v>316</v>
      </c>
    </row>
    <row r="234" spans="1:2" x14ac:dyDescent="0.3">
      <c r="A234" t="s">
        <v>929</v>
      </c>
      <c r="B234" t="s">
        <v>814</v>
      </c>
    </row>
    <row r="235" spans="1:2" x14ac:dyDescent="0.3">
      <c r="A235" t="s">
        <v>929</v>
      </c>
      <c r="B235" t="s">
        <v>985</v>
      </c>
    </row>
    <row r="236" spans="1:2" x14ac:dyDescent="0.3">
      <c r="A236" t="s">
        <v>929</v>
      </c>
      <c r="B236" t="s">
        <v>885</v>
      </c>
    </row>
    <row r="237" spans="1:2" x14ac:dyDescent="0.3">
      <c r="A237" t="s">
        <v>929</v>
      </c>
      <c r="B237" t="s">
        <v>813</v>
      </c>
    </row>
    <row r="238" spans="1:2" x14ac:dyDescent="0.3">
      <c r="A238" t="s">
        <v>929</v>
      </c>
      <c r="B238" t="s">
        <v>1273</v>
      </c>
    </row>
    <row r="239" spans="1:2" x14ac:dyDescent="0.3">
      <c r="A239" t="s">
        <v>929</v>
      </c>
      <c r="B239" t="s">
        <v>964</v>
      </c>
    </row>
    <row r="240" spans="1:2" x14ac:dyDescent="0.3">
      <c r="A240" t="s">
        <v>929</v>
      </c>
      <c r="B240" t="s">
        <v>715</v>
      </c>
    </row>
    <row r="241" spans="1:2" x14ac:dyDescent="0.3">
      <c r="A241" t="s">
        <v>929</v>
      </c>
      <c r="B241" t="s">
        <v>713</v>
      </c>
    </row>
    <row r="242" spans="1:2" x14ac:dyDescent="0.3">
      <c r="A242" t="s">
        <v>929</v>
      </c>
      <c r="B242" t="s">
        <v>1709</v>
      </c>
    </row>
    <row r="243" spans="1:2" x14ac:dyDescent="0.3">
      <c r="A243" t="s">
        <v>929</v>
      </c>
      <c r="B243" t="s">
        <v>479</v>
      </c>
    </row>
    <row r="244" spans="1:2" x14ac:dyDescent="0.3">
      <c r="A244" t="s">
        <v>929</v>
      </c>
      <c r="B244" t="s">
        <v>602</v>
      </c>
    </row>
    <row r="245" spans="1:2" x14ac:dyDescent="0.3">
      <c r="A245" t="s">
        <v>929</v>
      </c>
      <c r="B245" t="s">
        <v>626</v>
      </c>
    </row>
    <row r="246" spans="1:2" x14ac:dyDescent="0.3">
      <c r="A246" t="s">
        <v>929</v>
      </c>
      <c r="B246" t="s">
        <v>657</v>
      </c>
    </row>
    <row r="247" spans="1:2" x14ac:dyDescent="0.3">
      <c r="A247" t="s">
        <v>929</v>
      </c>
      <c r="B247" t="s">
        <v>714</v>
      </c>
    </row>
    <row r="248" spans="1:2" x14ac:dyDescent="0.3">
      <c r="A248" t="s">
        <v>929</v>
      </c>
      <c r="B248" t="s">
        <v>1852</v>
      </c>
    </row>
    <row r="249" spans="1:2" x14ac:dyDescent="0.3">
      <c r="A249" t="s">
        <v>929</v>
      </c>
      <c r="B249" t="s">
        <v>1989</v>
      </c>
    </row>
    <row r="250" spans="1:2" x14ac:dyDescent="0.3">
      <c r="A250" t="s">
        <v>929</v>
      </c>
      <c r="B250" t="s">
        <v>857</v>
      </c>
    </row>
    <row r="251" spans="1:2" x14ac:dyDescent="0.3">
      <c r="A251" t="s">
        <v>929</v>
      </c>
      <c r="B251" t="s">
        <v>458</v>
      </c>
    </row>
    <row r="252" spans="1:2" x14ac:dyDescent="0.3">
      <c r="A252" t="s">
        <v>929</v>
      </c>
      <c r="B252" t="s">
        <v>630</v>
      </c>
    </row>
    <row r="253" spans="1:2" x14ac:dyDescent="0.3">
      <c r="A253" t="s">
        <v>929</v>
      </c>
      <c r="B253" t="s">
        <v>827</v>
      </c>
    </row>
    <row r="254" spans="1:2" x14ac:dyDescent="0.3">
      <c r="A254" t="s">
        <v>929</v>
      </c>
      <c r="B254" t="s">
        <v>2496</v>
      </c>
    </row>
    <row r="255" spans="1:2" x14ac:dyDescent="0.3">
      <c r="A255" t="s">
        <v>929</v>
      </c>
      <c r="B255" t="s">
        <v>2435</v>
      </c>
    </row>
    <row r="256" spans="1:2" x14ac:dyDescent="0.3">
      <c r="A256" t="s">
        <v>929</v>
      </c>
      <c r="B256" t="s">
        <v>131</v>
      </c>
    </row>
    <row r="257" spans="1:2" x14ac:dyDescent="0.3">
      <c r="A257" t="s">
        <v>929</v>
      </c>
      <c r="B257" t="s">
        <v>999</v>
      </c>
    </row>
    <row r="258" spans="1:2" x14ac:dyDescent="0.3">
      <c r="A258" t="s">
        <v>929</v>
      </c>
      <c r="B258" t="s">
        <v>2867</v>
      </c>
    </row>
    <row r="259" spans="1:2" x14ac:dyDescent="0.3">
      <c r="A259" t="s">
        <v>929</v>
      </c>
      <c r="B259" t="s">
        <v>628</v>
      </c>
    </row>
    <row r="260" spans="1:2" x14ac:dyDescent="0.3">
      <c r="A260" t="s">
        <v>929</v>
      </c>
      <c r="B260" t="s">
        <v>646</v>
      </c>
    </row>
    <row r="261" spans="1:2" x14ac:dyDescent="0.3">
      <c r="A261" t="s">
        <v>929</v>
      </c>
      <c r="B261" t="s">
        <v>507</v>
      </c>
    </row>
    <row r="262" spans="1:2" x14ac:dyDescent="0.3">
      <c r="A262" t="s">
        <v>929</v>
      </c>
      <c r="B262" t="s">
        <v>10</v>
      </c>
    </row>
    <row r="263" spans="1:2" x14ac:dyDescent="0.3">
      <c r="A263" t="s">
        <v>929</v>
      </c>
      <c r="B263" t="s">
        <v>757</v>
      </c>
    </row>
    <row r="264" spans="1:2" x14ac:dyDescent="0.3">
      <c r="A264" t="s">
        <v>929</v>
      </c>
      <c r="B264" t="s">
        <v>210</v>
      </c>
    </row>
    <row r="265" spans="1:2" x14ac:dyDescent="0.3">
      <c r="A265" t="s">
        <v>929</v>
      </c>
      <c r="B265" t="s">
        <v>632</v>
      </c>
    </row>
    <row r="266" spans="1:2" x14ac:dyDescent="0.3">
      <c r="A266" t="s">
        <v>929</v>
      </c>
      <c r="B266" t="s">
        <v>770</v>
      </c>
    </row>
    <row r="267" spans="1:2" x14ac:dyDescent="0.3">
      <c r="A267" t="s">
        <v>929</v>
      </c>
      <c r="B267" t="s">
        <v>3357</v>
      </c>
    </row>
    <row r="268" spans="1:2" x14ac:dyDescent="0.3">
      <c r="A268" t="s">
        <v>929</v>
      </c>
      <c r="B268" t="s">
        <v>1543</v>
      </c>
    </row>
    <row r="269" spans="1:2" x14ac:dyDescent="0.3">
      <c r="A269" t="s">
        <v>929</v>
      </c>
      <c r="B269" t="s">
        <v>508</v>
      </c>
    </row>
    <row r="270" spans="1:2" x14ac:dyDescent="0.3">
      <c r="A270" t="s">
        <v>929</v>
      </c>
      <c r="B270" t="s">
        <v>624</v>
      </c>
    </row>
    <row r="271" spans="1:2" x14ac:dyDescent="0.3">
      <c r="A271" t="s">
        <v>929</v>
      </c>
      <c r="B271" t="s">
        <v>2797</v>
      </c>
    </row>
    <row r="272" spans="1:2" x14ac:dyDescent="0.3">
      <c r="A272" t="s">
        <v>929</v>
      </c>
      <c r="B272" t="s">
        <v>169</v>
      </c>
    </row>
    <row r="273" spans="1:2" x14ac:dyDescent="0.3">
      <c r="A273" t="s">
        <v>929</v>
      </c>
      <c r="B273" t="s">
        <v>606</v>
      </c>
    </row>
    <row r="274" spans="1:2" x14ac:dyDescent="0.3">
      <c r="A274" t="s">
        <v>929</v>
      </c>
      <c r="B274" t="s">
        <v>910</v>
      </c>
    </row>
    <row r="275" spans="1:2" x14ac:dyDescent="0.3">
      <c r="A275" t="s">
        <v>929</v>
      </c>
      <c r="B275" t="s">
        <v>303</v>
      </c>
    </row>
    <row r="276" spans="1:2" x14ac:dyDescent="0.3">
      <c r="A276" t="s">
        <v>929</v>
      </c>
      <c r="B276" t="s">
        <v>511</v>
      </c>
    </row>
    <row r="277" spans="1:2" x14ac:dyDescent="0.3">
      <c r="A277" t="s">
        <v>929</v>
      </c>
      <c r="B277" t="s">
        <v>817</v>
      </c>
    </row>
    <row r="278" spans="1:2" x14ac:dyDescent="0.3">
      <c r="A278" t="s">
        <v>959</v>
      </c>
      <c r="B278" t="s">
        <v>430</v>
      </c>
    </row>
    <row r="279" spans="1:2" x14ac:dyDescent="0.3">
      <c r="A279" t="s">
        <v>959</v>
      </c>
      <c r="B279" t="s">
        <v>7</v>
      </c>
    </row>
    <row r="280" spans="1:2" x14ac:dyDescent="0.3">
      <c r="A280" t="s">
        <v>959</v>
      </c>
      <c r="B280" t="s">
        <v>1409</v>
      </c>
    </row>
    <row r="281" spans="1:2" x14ac:dyDescent="0.3">
      <c r="A281" t="s">
        <v>961</v>
      </c>
      <c r="B281" t="s">
        <v>7</v>
      </c>
    </row>
    <row r="282" spans="1:2" x14ac:dyDescent="0.3">
      <c r="A282" t="s">
        <v>961</v>
      </c>
      <c r="B282" t="s">
        <v>1013</v>
      </c>
    </row>
    <row r="283" spans="1:2" x14ac:dyDescent="0.3">
      <c r="A283" t="s">
        <v>961</v>
      </c>
      <c r="B283" t="s">
        <v>790</v>
      </c>
    </row>
    <row r="284" spans="1:2" x14ac:dyDescent="0.3">
      <c r="A284" t="s">
        <v>961</v>
      </c>
      <c r="B284" t="s">
        <v>234</v>
      </c>
    </row>
    <row r="285" spans="1:2" x14ac:dyDescent="0.3">
      <c r="A285" t="s">
        <v>961</v>
      </c>
      <c r="B285" t="s">
        <v>717</v>
      </c>
    </row>
    <row r="286" spans="1:2" x14ac:dyDescent="0.3">
      <c r="A286" t="s">
        <v>961</v>
      </c>
      <c r="B286" t="s">
        <v>655</v>
      </c>
    </row>
    <row r="287" spans="1:2" x14ac:dyDescent="0.3">
      <c r="A287" t="s">
        <v>961</v>
      </c>
      <c r="B287" t="s">
        <v>585</v>
      </c>
    </row>
    <row r="288" spans="1:2" x14ac:dyDescent="0.3">
      <c r="A288" t="s">
        <v>962</v>
      </c>
      <c r="B288" t="s">
        <v>717</v>
      </c>
    </row>
    <row r="289" spans="1:2" x14ac:dyDescent="0.3">
      <c r="A289" t="s">
        <v>962</v>
      </c>
      <c r="B289" t="s">
        <v>964</v>
      </c>
    </row>
    <row r="290" spans="1:2" x14ac:dyDescent="0.3">
      <c r="A290" t="s">
        <v>966</v>
      </c>
      <c r="B290" t="s">
        <v>790</v>
      </c>
    </row>
    <row r="291" spans="1:2" x14ac:dyDescent="0.3">
      <c r="A291" t="s">
        <v>966</v>
      </c>
      <c r="B291" t="s">
        <v>11</v>
      </c>
    </row>
    <row r="292" spans="1:2" x14ac:dyDescent="0.3">
      <c r="A292" t="s">
        <v>966</v>
      </c>
      <c r="B292" t="s">
        <v>7</v>
      </c>
    </row>
    <row r="293" spans="1:2" x14ac:dyDescent="0.3">
      <c r="A293" t="s">
        <v>969</v>
      </c>
      <c r="B293" t="s">
        <v>790</v>
      </c>
    </row>
    <row r="294" spans="1:2" x14ac:dyDescent="0.3">
      <c r="A294" t="s">
        <v>969</v>
      </c>
      <c r="B294" t="s">
        <v>7</v>
      </c>
    </row>
    <row r="295" spans="1:2" x14ac:dyDescent="0.3">
      <c r="A295" t="s">
        <v>969</v>
      </c>
      <c r="B295" t="s">
        <v>206</v>
      </c>
    </row>
    <row r="296" spans="1:2" x14ac:dyDescent="0.3">
      <c r="A296" t="s">
        <v>977</v>
      </c>
      <c r="B296" t="s">
        <v>978</v>
      </c>
    </row>
    <row r="297" spans="1:2" x14ac:dyDescent="0.3">
      <c r="A297" t="s">
        <v>977</v>
      </c>
      <c r="B297" t="s">
        <v>7</v>
      </c>
    </row>
    <row r="298" spans="1:2" x14ac:dyDescent="0.3">
      <c r="A298" t="s">
        <v>977</v>
      </c>
      <c r="B298" t="s">
        <v>654</v>
      </c>
    </row>
    <row r="299" spans="1:2" x14ac:dyDescent="0.3">
      <c r="A299" t="s">
        <v>981</v>
      </c>
      <c r="B299" t="s">
        <v>7</v>
      </c>
    </row>
    <row r="300" spans="1:2" x14ac:dyDescent="0.3">
      <c r="A300" t="s">
        <v>984</v>
      </c>
      <c r="B300" t="s">
        <v>985</v>
      </c>
    </row>
    <row r="301" spans="1:2" x14ac:dyDescent="0.3">
      <c r="A301" t="s">
        <v>984</v>
      </c>
      <c r="B301" t="s">
        <v>903</v>
      </c>
    </row>
    <row r="302" spans="1:2" x14ac:dyDescent="0.3">
      <c r="A302" t="s">
        <v>984</v>
      </c>
      <c r="B302" t="s">
        <v>602</v>
      </c>
    </row>
    <row r="303" spans="1:2" x14ac:dyDescent="0.3">
      <c r="A303" t="s">
        <v>984</v>
      </c>
      <c r="B303" t="s">
        <v>13</v>
      </c>
    </row>
    <row r="304" spans="1:2" x14ac:dyDescent="0.3">
      <c r="A304" t="s">
        <v>984</v>
      </c>
      <c r="B304" t="s">
        <v>7</v>
      </c>
    </row>
    <row r="305" spans="1:2" x14ac:dyDescent="0.3">
      <c r="A305" t="s">
        <v>984</v>
      </c>
      <c r="B305" t="s">
        <v>917</v>
      </c>
    </row>
    <row r="306" spans="1:2" x14ac:dyDescent="0.3">
      <c r="A306" t="s">
        <v>984</v>
      </c>
      <c r="B306" t="s">
        <v>630</v>
      </c>
    </row>
    <row r="307" spans="1:2" x14ac:dyDescent="0.3">
      <c r="A307" t="s">
        <v>991</v>
      </c>
      <c r="B307" t="s">
        <v>7</v>
      </c>
    </row>
    <row r="308" spans="1:2" x14ac:dyDescent="0.3">
      <c r="A308" t="s">
        <v>991</v>
      </c>
      <c r="B308" t="s">
        <v>999</v>
      </c>
    </row>
    <row r="309" spans="1:2" x14ac:dyDescent="0.3">
      <c r="A309" t="s">
        <v>991</v>
      </c>
      <c r="B309" t="s">
        <v>206</v>
      </c>
    </row>
    <row r="310" spans="1:2" x14ac:dyDescent="0.3">
      <c r="A310" t="s">
        <v>1002</v>
      </c>
      <c r="B310" t="s">
        <v>7</v>
      </c>
    </row>
    <row r="311" spans="1:2" x14ac:dyDescent="0.3">
      <c r="A311" t="s">
        <v>1005</v>
      </c>
      <c r="B311" t="s">
        <v>7</v>
      </c>
    </row>
    <row r="312" spans="1:2" x14ac:dyDescent="0.3">
      <c r="A312" t="s">
        <v>1005</v>
      </c>
      <c r="B312" t="s">
        <v>161</v>
      </c>
    </row>
    <row r="313" spans="1:2" x14ac:dyDescent="0.3">
      <c r="A313" t="s">
        <v>1005</v>
      </c>
      <c r="B313" t="s">
        <v>1438</v>
      </c>
    </row>
    <row r="314" spans="1:2" x14ac:dyDescent="0.3">
      <c r="A314" t="s">
        <v>1005</v>
      </c>
      <c r="B314" t="s">
        <v>471</v>
      </c>
    </row>
    <row r="315" spans="1:2" x14ac:dyDescent="0.3">
      <c r="A315" t="s">
        <v>1005</v>
      </c>
      <c r="B315" t="s">
        <v>141</v>
      </c>
    </row>
    <row r="316" spans="1:2" x14ac:dyDescent="0.3">
      <c r="A316" t="s">
        <v>1005</v>
      </c>
      <c r="B316" t="s">
        <v>430</v>
      </c>
    </row>
    <row r="317" spans="1:2" x14ac:dyDescent="0.3">
      <c r="A317" t="s">
        <v>1005</v>
      </c>
      <c r="B317" t="s">
        <v>201</v>
      </c>
    </row>
    <row r="318" spans="1:2" x14ac:dyDescent="0.3">
      <c r="A318" t="s">
        <v>1005</v>
      </c>
      <c r="B318" t="s">
        <v>1876</v>
      </c>
    </row>
    <row r="319" spans="1:2" x14ac:dyDescent="0.3">
      <c r="A319" t="s">
        <v>1005</v>
      </c>
      <c r="B319" t="s">
        <v>671</v>
      </c>
    </row>
    <row r="320" spans="1:2" x14ac:dyDescent="0.3">
      <c r="A320" t="s">
        <v>1006</v>
      </c>
      <c r="B320" t="s">
        <v>757</v>
      </c>
    </row>
    <row r="321" spans="1:2" x14ac:dyDescent="0.3">
      <c r="A321" t="s">
        <v>1006</v>
      </c>
      <c r="B321" t="s">
        <v>151</v>
      </c>
    </row>
    <row r="322" spans="1:2" x14ac:dyDescent="0.3">
      <c r="A322" t="s">
        <v>1006</v>
      </c>
      <c r="B322" t="s">
        <v>7</v>
      </c>
    </row>
    <row r="323" spans="1:2" x14ac:dyDescent="0.3">
      <c r="A323" t="s">
        <v>1006</v>
      </c>
      <c r="B323" t="s">
        <v>583</v>
      </c>
    </row>
    <row r="324" spans="1:2" x14ac:dyDescent="0.3">
      <c r="A324" t="s">
        <v>1006</v>
      </c>
      <c r="B324" t="s">
        <v>2525</v>
      </c>
    </row>
    <row r="325" spans="1:2" x14ac:dyDescent="0.3">
      <c r="A325" t="s">
        <v>1006</v>
      </c>
      <c r="B325" t="s">
        <v>922</v>
      </c>
    </row>
    <row r="326" spans="1:2" x14ac:dyDescent="0.3">
      <c r="A326" t="s">
        <v>1006</v>
      </c>
      <c r="B326" t="s">
        <v>964</v>
      </c>
    </row>
    <row r="327" spans="1:2" x14ac:dyDescent="0.3">
      <c r="A327" t="s">
        <v>1011</v>
      </c>
      <c r="B327" t="s">
        <v>589</v>
      </c>
    </row>
    <row r="328" spans="1:2" x14ac:dyDescent="0.3">
      <c r="A328" t="s">
        <v>1011</v>
      </c>
      <c r="B328" t="s">
        <v>1013</v>
      </c>
    </row>
    <row r="329" spans="1:2" x14ac:dyDescent="0.3">
      <c r="A329" t="s">
        <v>1011</v>
      </c>
      <c r="B329" t="s">
        <v>7</v>
      </c>
    </row>
    <row r="330" spans="1:2" x14ac:dyDescent="0.3">
      <c r="A330" t="s">
        <v>1011</v>
      </c>
      <c r="B330" t="s">
        <v>173</v>
      </c>
    </row>
    <row r="331" spans="1:2" x14ac:dyDescent="0.3">
      <c r="A331" t="s">
        <v>1011</v>
      </c>
      <c r="B331" t="s">
        <v>845</v>
      </c>
    </row>
    <row r="332" spans="1:2" x14ac:dyDescent="0.3">
      <c r="A332" t="s">
        <v>1011</v>
      </c>
      <c r="B332" t="s">
        <v>259</v>
      </c>
    </row>
    <row r="333" spans="1:2" x14ac:dyDescent="0.3">
      <c r="A333" t="s">
        <v>1011</v>
      </c>
      <c r="B333" t="s">
        <v>857</v>
      </c>
    </row>
    <row r="334" spans="1:2" x14ac:dyDescent="0.3">
      <c r="A334" t="s">
        <v>1020</v>
      </c>
      <c r="B334" t="s">
        <v>964</v>
      </c>
    </row>
    <row r="335" spans="1:2" x14ac:dyDescent="0.3">
      <c r="A335" t="s">
        <v>1020</v>
      </c>
      <c r="B335" t="s">
        <v>11</v>
      </c>
    </row>
    <row r="336" spans="1:2" x14ac:dyDescent="0.3">
      <c r="A336" t="s">
        <v>1020</v>
      </c>
      <c r="B336" t="s">
        <v>7</v>
      </c>
    </row>
    <row r="337" spans="1:2" x14ac:dyDescent="0.3">
      <c r="A337" t="s">
        <v>1020</v>
      </c>
      <c r="B337" t="s">
        <v>664</v>
      </c>
    </row>
    <row r="338" spans="1:2" x14ac:dyDescent="0.3">
      <c r="A338" t="s">
        <v>1020</v>
      </c>
      <c r="B338" t="s">
        <v>583</v>
      </c>
    </row>
    <row r="339" spans="1:2" x14ac:dyDescent="0.3">
      <c r="A339" t="s">
        <v>1026</v>
      </c>
      <c r="B339" t="s">
        <v>7</v>
      </c>
    </row>
    <row r="340" spans="1:2" x14ac:dyDescent="0.3">
      <c r="A340" t="s">
        <v>1032</v>
      </c>
      <c r="B340" t="s">
        <v>7</v>
      </c>
    </row>
    <row r="341" spans="1:2" x14ac:dyDescent="0.3">
      <c r="A341" t="s">
        <v>1032</v>
      </c>
      <c r="B341" t="s">
        <v>790</v>
      </c>
    </row>
    <row r="342" spans="1:2" x14ac:dyDescent="0.3">
      <c r="A342" t="s">
        <v>1034</v>
      </c>
      <c r="B342" t="s">
        <v>978</v>
      </c>
    </row>
    <row r="343" spans="1:2" x14ac:dyDescent="0.3">
      <c r="A343" t="s">
        <v>1034</v>
      </c>
      <c r="B343" t="s">
        <v>7</v>
      </c>
    </row>
    <row r="344" spans="1:2" x14ac:dyDescent="0.3">
      <c r="A344" t="s">
        <v>1034</v>
      </c>
      <c r="B344" t="s">
        <v>655</v>
      </c>
    </row>
    <row r="345" spans="1:2" x14ac:dyDescent="0.3">
      <c r="A345" t="s">
        <v>1034</v>
      </c>
      <c r="B345" t="s">
        <v>790</v>
      </c>
    </row>
    <row r="346" spans="1:2" x14ac:dyDescent="0.3">
      <c r="A346" t="s">
        <v>1034</v>
      </c>
      <c r="B346" t="s">
        <v>879</v>
      </c>
    </row>
    <row r="347" spans="1:2" x14ac:dyDescent="0.3">
      <c r="A347" t="s">
        <v>1034</v>
      </c>
      <c r="B347" t="s">
        <v>151</v>
      </c>
    </row>
    <row r="348" spans="1:2" x14ac:dyDescent="0.3">
      <c r="A348" t="s">
        <v>1034</v>
      </c>
      <c r="B348" t="s">
        <v>1695</v>
      </c>
    </row>
    <row r="349" spans="1:2" x14ac:dyDescent="0.3">
      <c r="A349" t="s">
        <v>1034</v>
      </c>
      <c r="B349" t="s">
        <v>1543</v>
      </c>
    </row>
    <row r="350" spans="1:2" x14ac:dyDescent="0.3">
      <c r="A350" t="s">
        <v>1034</v>
      </c>
      <c r="B350" t="s">
        <v>170</v>
      </c>
    </row>
    <row r="351" spans="1:2" x14ac:dyDescent="0.3">
      <c r="A351" t="s">
        <v>1034</v>
      </c>
      <c r="B351" t="s">
        <v>430</v>
      </c>
    </row>
    <row r="352" spans="1:2" x14ac:dyDescent="0.3">
      <c r="A352" t="s">
        <v>1034</v>
      </c>
      <c r="B352" t="s">
        <v>288</v>
      </c>
    </row>
    <row r="353" spans="1:2" x14ac:dyDescent="0.3">
      <c r="A353" t="s">
        <v>1034</v>
      </c>
      <c r="B353" t="s">
        <v>564</v>
      </c>
    </row>
    <row r="354" spans="1:2" x14ac:dyDescent="0.3">
      <c r="A354" t="s">
        <v>1034</v>
      </c>
      <c r="B354" t="s">
        <v>690</v>
      </c>
    </row>
    <row r="355" spans="1:2" x14ac:dyDescent="0.3">
      <c r="A355" t="s">
        <v>1034</v>
      </c>
      <c r="B355" t="s">
        <v>237</v>
      </c>
    </row>
    <row r="356" spans="1:2" x14ac:dyDescent="0.3">
      <c r="A356" t="s">
        <v>1034</v>
      </c>
      <c r="B356" t="s">
        <v>234</v>
      </c>
    </row>
    <row r="357" spans="1:2" x14ac:dyDescent="0.3">
      <c r="A357" t="s">
        <v>1034</v>
      </c>
      <c r="B357" t="s">
        <v>141</v>
      </c>
    </row>
    <row r="358" spans="1:2" x14ac:dyDescent="0.3">
      <c r="A358" t="s">
        <v>1034</v>
      </c>
      <c r="B358" t="s">
        <v>1013</v>
      </c>
    </row>
    <row r="359" spans="1:2" x14ac:dyDescent="0.3">
      <c r="A359" t="s">
        <v>1034</v>
      </c>
      <c r="B359" t="s">
        <v>657</v>
      </c>
    </row>
    <row r="360" spans="1:2" x14ac:dyDescent="0.3">
      <c r="A360" t="s">
        <v>1034</v>
      </c>
      <c r="B360" t="s">
        <v>727</v>
      </c>
    </row>
    <row r="361" spans="1:2" x14ac:dyDescent="0.3">
      <c r="A361" t="s">
        <v>1034</v>
      </c>
      <c r="B361" t="s">
        <v>999</v>
      </c>
    </row>
    <row r="362" spans="1:2" x14ac:dyDescent="0.3">
      <c r="A362" t="s">
        <v>1034</v>
      </c>
      <c r="B362" t="s">
        <v>626</v>
      </c>
    </row>
    <row r="363" spans="1:2" x14ac:dyDescent="0.3">
      <c r="A363" t="s">
        <v>1034</v>
      </c>
      <c r="B363" t="s">
        <v>479</v>
      </c>
    </row>
    <row r="364" spans="1:2" x14ac:dyDescent="0.3">
      <c r="A364" t="s">
        <v>1043</v>
      </c>
      <c r="B364" t="s">
        <v>373</v>
      </c>
    </row>
    <row r="365" spans="1:2" x14ac:dyDescent="0.3">
      <c r="A365" t="s">
        <v>1043</v>
      </c>
      <c r="B365" t="s">
        <v>1046</v>
      </c>
    </row>
    <row r="366" spans="1:2" x14ac:dyDescent="0.3">
      <c r="A366" t="s">
        <v>1043</v>
      </c>
      <c r="B366" t="s">
        <v>7</v>
      </c>
    </row>
    <row r="367" spans="1:2" x14ac:dyDescent="0.3">
      <c r="A367" t="s">
        <v>1043</v>
      </c>
      <c r="B367" t="s">
        <v>964</v>
      </c>
    </row>
    <row r="368" spans="1:2" x14ac:dyDescent="0.3">
      <c r="A368" t="s">
        <v>1043</v>
      </c>
      <c r="B368" t="s">
        <v>248</v>
      </c>
    </row>
    <row r="369" spans="1:2" x14ac:dyDescent="0.3">
      <c r="A369" t="s">
        <v>1043</v>
      </c>
      <c r="B369" t="s">
        <v>1709</v>
      </c>
    </row>
    <row r="370" spans="1:2" x14ac:dyDescent="0.3">
      <c r="A370" t="s">
        <v>1043</v>
      </c>
      <c r="B370" t="s">
        <v>161</v>
      </c>
    </row>
    <row r="371" spans="1:2" x14ac:dyDescent="0.3">
      <c r="A371" t="s">
        <v>1043</v>
      </c>
      <c r="B371" t="s">
        <v>640</v>
      </c>
    </row>
    <row r="372" spans="1:2" x14ac:dyDescent="0.3">
      <c r="A372" t="s">
        <v>1043</v>
      </c>
      <c r="B372" t="s">
        <v>917</v>
      </c>
    </row>
    <row r="373" spans="1:2" x14ac:dyDescent="0.3">
      <c r="A373" t="s">
        <v>1049</v>
      </c>
      <c r="B373" t="s">
        <v>817</v>
      </c>
    </row>
    <row r="374" spans="1:2" x14ac:dyDescent="0.3">
      <c r="A374" t="s">
        <v>1049</v>
      </c>
      <c r="B374" t="s">
        <v>316</v>
      </c>
    </row>
    <row r="375" spans="1:2" x14ac:dyDescent="0.3">
      <c r="A375" t="s">
        <v>1049</v>
      </c>
      <c r="B375" t="s">
        <v>814</v>
      </c>
    </row>
    <row r="376" spans="1:2" x14ac:dyDescent="0.3">
      <c r="A376" t="s">
        <v>1049</v>
      </c>
      <c r="B376" t="s">
        <v>964</v>
      </c>
    </row>
    <row r="377" spans="1:2" x14ac:dyDescent="0.3">
      <c r="A377" t="s">
        <v>1049</v>
      </c>
      <c r="B377" t="s">
        <v>10</v>
      </c>
    </row>
    <row r="378" spans="1:2" x14ac:dyDescent="0.3">
      <c r="A378" t="s">
        <v>1049</v>
      </c>
      <c r="B378" t="s">
        <v>7</v>
      </c>
    </row>
    <row r="379" spans="1:2" x14ac:dyDescent="0.3">
      <c r="A379" t="s">
        <v>1049</v>
      </c>
      <c r="B379" t="s">
        <v>1273</v>
      </c>
    </row>
    <row r="380" spans="1:2" x14ac:dyDescent="0.3">
      <c r="A380" t="s">
        <v>1049</v>
      </c>
      <c r="B380" t="s">
        <v>507</v>
      </c>
    </row>
    <row r="381" spans="1:2" x14ac:dyDescent="0.3">
      <c r="A381" t="s">
        <v>1049</v>
      </c>
      <c r="B381" t="s">
        <v>562</v>
      </c>
    </row>
    <row r="382" spans="1:2" x14ac:dyDescent="0.3">
      <c r="A382" t="s">
        <v>1049</v>
      </c>
      <c r="B382" t="s">
        <v>659</v>
      </c>
    </row>
    <row r="383" spans="1:2" x14ac:dyDescent="0.3">
      <c r="A383" t="s">
        <v>1049</v>
      </c>
      <c r="B383" t="s">
        <v>1069</v>
      </c>
    </row>
    <row r="384" spans="1:2" x14ac:dyDescent="0.3">
      <c r="A384" t="s">
        <v>1049</v>
      </c>
      <c r="B384" t="s">
        <v>1709</v>
      </c>
    </row>
    <row r="385" spans="1:2" x14ac:dyDescent="0.3">
      <c r="A385" t="s">
        <v>1049</v>
      </c>
      <c r="B385" t="s">
        <v>815</v>
      </c>
    </row>
    <row r="386" spans="1:2" x14ac:dyDescent="0.3">
      <c r="A386" t="s">
        <v>1049</v>
      </c>
      <c r="B386" t="s">
        <v>811</v>
      </c>
    </row>
    <row r="387" spans="1:2" x14ac:dyDescent="0.3">
      <c r="A387" t="s">
        <v>1049</v>
      </c>
      <c r="B387" t="s">
        <v>813</v>
      </c>
    </row>
    <row r="388" spans="1:2" x14ac:dyDescent="0.3">
      <c r="A388" t="s">
        <v>1049</v>
      </c>
      <c r="B388" t="s">
        <v>944</v>
      </c>
    </row>
    <row r="389" spans="1:2" x14ac:dyDescent="0.3">
      <c r="A389" t="s">
        <v>1049</v>
      </c>
      <c r="B389" t="s">
        <v>519</v>
      </c>
    </row>
    <row r="390" spans="1:2" x14ac:dyDescent="0.3">
      <c r="A390" t="s">
        <v>1060</v>
      </c>
      <c r="B390" t="s">
        <v>563</v>
      </c>
    </row>
    <row r="391" spans="1:2" x14ac:dyDescent="0.3">
      <c r="A391" t="s">
        <v>1060</v>
      </c>
      <c r="B391" t="s">
        <v>589</v>
      </c>
    </row>
    <row r="392" spans="1:2" x14ac:dyDescent="0.3">
      <c r="A392" t="s">
        <v>1060</v>
      </c>
      <c r="B392" t="s">
        <v>201</v>
      </c>
    </row>
    <row r="393" spans="1:2" x14ac:dyDescent="0.3">
      <c r="A393" t="s">
        <v>1060</v>
      </c>
      <c r="B393" t="s">
        <v>7</v>
      </c>
    </row>
    <row r="394" spans="1:2" x14ac:dyDescent="0.3">
      <c r="A394" t="s">
        <v>1060</v>
      </c>
      <c r="B394" t="s">
        <v>1069</v>
      </c>
    </row>
    <row r="395" spans="1:2" x14ac:dyDescent="0.3">
      <c r="A395" t="s">
        <v>1060</v>
      </c>
      <c r="B395" t="s">
        <v>553</v>
      </c>
    </row>
    <row r="396" spans="1:2" x14ac:dyDescent="0.3">
      <c r="A396" t="s">
        <v>1060</v>
      </c>
      <c r="B396" t="s">
        <v>375</v>
      </c>
    </row>
    <row r="397" spans="1:2" x14ac:dyDescent="0.3">
      <c r="A397" t="s">
        <v>1060</v>
      </c>
      <c r="B397" t="s">
        <v>790</v>
      </c>
    </row>
    <row r="398" spans="1:2" x14ac:dyDescent="0.3">
      <c r="A398" t="s">
        <v>1060</v>
      </c>
      <c r="B398" t="s">
        <v>644</v>
      </c>
    </row>
    <row r="399" spans="1:2" x14ac:dyDescent="0.3">
      <c r="A399" t="s">
        <v>1060</v>
      </c>
      <c r="B399" t="s">
        <v>917</v>
      </c>
    </row>
    <row r="400" spans="1:2" x14ac:dyDescent="0.3">
      <c r="A400" t="s">
        <v>1060</v>
      </c>
      <c r="B400" t="s">
        <v>173</v>
      </c>
    </row>
    <row r="401" spans="1:2" x14ac:dyDescent="0.3">
      <c r="A401" t="s">
        <v>1060</v>
      </c>
      <c r="B401" t="s">
        <v>1013</v>
      </c>
    </row>
    <row r="402" spans="1:2" x14ac:dyDescent="0.3">
      <c r="A402" t="s">
        <v>1060</v>
      </c>
      <c r="B402" t="s">
        <v>288</v>
      </c>
    </row>
    <row r="403" spans="1:2" x14ac:dyDescent="0.3">
      <c r="A403" t="s">
        <v>1060</v>
      </c>
      <c r="B403" t="s">
        <v>623</v>
      </c>
    </row>
    <row r="404" spans="1:2" x14ac:dyDescent="0.3">
      <c r="A404" t="s">
        <v>1060</v>
      </c>
      <c r="B404" t="s">
        <v>1273</v>
      </c>
    </row>
    <row r="405" spans="1:2" x14ac:dyDescent="0.3">
      <c r="A405" t="s">
        <v>1060</v>
      </c>
      <c r="B405" t="s">
        <v>770</v>
      </c>
    </row>
    <row r="406" spans="1:2" x14ac:dyDescent="0.3">
      <c r="A406" t="s">
        <v>1060</v>
      </c>
      <c r="B406" t="s">
        <v>161</v>
      </c>
    </row>
    <row r="407" spans="1:2" x14ac:dyDescent="0.3">
      <c r="A407" t="s">
        <v>1060</v>
      </c>
      <c r="B407" t="s">
        <v>1631</v>
      </c>
    </row>
    <row r="408" spans="1:2" x14ac:dyDescent="0.3">
      <c r="A408" t="s">
        <v>1060</v>
      </c>
      <c r="B408" t="s">
        <v>1150</v>
      </c>
    </row>
    <row r="409" spans="1:2" x14ac:dyDescent="0.3">
      <c r="A409" t="s">
        <v>1060</v>
      </c>
      <c r="B409" t="s">
        <v>944</v>
      </c>
    </row>
    <row r="410" spans="1:2" x14ac:dyDescent="0.3">
      <c r="A410" t="s">
        <v>1060</v>
      </c>
      <c r="B410" t="s">
        <v>1876</v>
      </c>
    </row>
    <row r="411" spans="1:2" x14ac:dyDescent="0.3">
      <c r="A411" t="s">
        <v>1060</v>
      </c>
      <c r="B411" t="s">
        <v>79</v>
      </c>
    </row>
    <row r="412" spans="1:2" x14ac:dyDescent="0.3">
      <c r="A412" t="s">
        <v>1060</v>
      </c>
      <c r="B412" t="s">
        <v>226</v>
      </c>
    </row>
    <row r="413" spans="1:2" x14ac:dyDescent="0.3">
      <c r="A413" t="s">
        <v>1060</v>
      </c>
      <c r="B413" t="s">
        <v>516</v>
      </c>
    </row>
    <row r="414" spans="1:2" x14ac:dyDescent="0.3">
      <c r="A414" t="s">
        <v>1060</v>
      </c>
      <c r="B414" t="s">
        <v>655</v>
      </c>
    </row>
    <row r="415" spans="1:2" x14ac:dyDescent="0.3">
      <c r="A415" t="s">
        <v>1060</v>
      </c>
      <c r="B415" t="s">
        <v>717</v>
      </c>
    </row>
    <row r="416" spans="1:2" x14ac:dyDescent="0.3">
      <c r="A416" t="s">
        <v>1060</v>
      </c>
      <c r="B416" t="s">
        <v>715</v>
      </c>
    </row>
    <row r="417" spans="1:2" x14ac:dyDescent="0.3">
      <c r="A417" t="s">
        <v>1060</v>
      </c>
      <c r="B417" t="s">
        <v>964</v>
      </c>
    </row>
    <row r="418" spans="1:2" x14ac:dyDescent="0.3">
      <c r="A418" t="s">
        <v>1060</v>
      </c>
      <c r="B418" t="s">
        <v>1709</v>
      </c>
    </row>
    <row r="419" spans="1:2" x14ac:dyDescent="0.3">
      <c r="A419" t="s">
        <v>1060</v>
      </c>
      <c r="B419" t="s">
        <v>1096</v>
      </c>
    </row>
    <row r="420" spans="1:2" x14ac:dyDescent="0.3">
      <c r="A420" t="s">
        <v>1060</v>
      </c>
      <c r="B420" t="s">
        <v>234</v>
      </c>
    </row>
    <row r="421" spans="1:2" x14ac:dyDescent="0.3">
      <c r="A421" t="s">
        <v>1060</v>
      </c>
      <c r="B421" t="s">
        <v>237</v>
      </c>
    </row>
    <row r="422" spans="1:2" x14ac:dyDescent="0.3">
      <c r="A422" t="s">
        <v>1060</v>
      </c>
      <c r="B422" t="s">
        <v>857</v>
      </c>
    </row>
    <row r="423" spans="1:2" x14ac:dyDescent="0.3">
      <c r="A423" t="s">
        <v>1060</v>
      </c>
      <c r="B423" t="s">
        <v>316</v>
      </c>
    </row>
    <row r="424" spans="1:2" x14ac:dyDescent="0.3">
      <c r="A424" t="s">
        <v>1060</v>
      </c>
      <c r="B424" t="s">
        <v>479</v>
      </c>
    </row>
    <row r="425" spans="1:2" x14ac:dyDescent="0.3">
      <c r="A425" t="s">
        <v>1060</v>
      </c>
      <c r="B425" t="s">
        <v>814</v>
      </c>
    </row>
    <row r="426" spans="1:2" x14ac:dyDescent="0.3">
      <c r="A426" t="s">
        <v>1060</v>
      </c>
      <c r="B426" t="s">
        <v>815</v>
      </c>
    </row>
    <row r="427" spans="1:2" x14ac:dyDescent="0.3">
      <c r="A427" t="s">
        <v>1060</v>
      </c>
      <c r="B427" t="s">
        <v>811</v>
      </c>
    </row>
    <row r="428" spans="1:2" x14ac:dyDescent="0.3">
      <c r="A428" t="s">
        <v>1060</v>
      </c>
      <c r="B428" t="s">
        <v>813</v>
      </c>
    </row>
    <row r="429" spans="1:2" x14ac:dyDescent="0.3">
      <c r="A429" t="s">
        <v>1060</v>
      </c>
      <c r="B429" t="s">
        <v>985</v>
      </c>
    </row>
    <row r="430" spans="1:2" x14ac:dyDescent="0.3">
      <c r="A430" t="s">
        <v>1060</v>
      </c>
      <c r="B430" t="s">
        <v>519</v>
      </c>
    </row>
    <row r="431" spans="1:2" x14ac:dyDescent="0.3">
      <c r="A431" t="s">
        <v>1060</v>
      </c>
      <c r="B431" t="s">
        <v>885</v>
      </c>
    </row>
    <row r="432" spans="1:2" x14ac:dyDescent="0.3">
      <c r="A432" t="s">
        <v>1060</v>
      </c>
      <c r="B432" t="s">
        <v>910</v>
      </c>
    </row>
    <row r="433" spans="1:2" x14ac:dyDescent="0.3">
      <c r="A433" t="s">
        <v>1060</v>
      </c>
      <c r="B433" t="s">
        <v>626</v>
      </c>
    </row>
    <row r="434" spans="1:2" x14ac:dyDescent="0.3">
      <c r="A434" t="s">
        <v>1060</v>
      </c>
      <c r="B434" t="s">
        <v>630</v>
      </c>
    </row>
    <row r="435" spans="1:2" x14ac:dyDescent="0.3">
      <c r="A435" t="s">
        <v>1060</v>
      </c>
      <c r="B435" t="s">
        <v>657</v>
      </c>
    </row>
    <row r="436" spans="1:2" x14ac:dyDescent="0.3">
      <c r="A436" t="s">
        <v>1060</v>
      </c>
      <c r="B436" t="s">
        <v>659</v>
      </c>
    </row>
    <row r="437" spans="1:2" x14ac:dyDescent="0.3">
      <c r="A437" t="s">
        <v>1060</v>
      </c>
      <c r="B437" t="s">
        <v>713</v>
      </c>
    </row>
    <row r="438" spans="1:2" x14ac:dyDescent="0.3">
      <c r="A438" t="s">
        <v>1060</v>
      </c>
      <c r="B438" t="s">
        <v>141</v>
      </c>
    </row>
    <row r="439" spans="1:2" x14ac:dyDescent="0.3">
      <c r="A439" t="s">
        <v>1060</v>
      </c>
      <c r="B439" t="s">
        <v>562</v>
      </c>
    </row>
    <row r="440" spans="1:2" x14ac:dyDescent="0.3">
      <c r="A440" t="s">
        <v>1060</v>
      </c>
      <c r="B440" t="s">
        <v>248</v>
      </c>
    </row>
    <row r="441" spans="1:2" x14ac:dyDescent="0.3">
      <c r="A441" t="s">
        <v>1060</v>
      </c>
      <c r="B441" t="s">
        <v>898</v>
      </c>
    </row>
    <row r="442" spans="1:2" x14ac:dyDescent="0.3">
      <c r="A442" t="s">
        <v>1060</v>
      </c>
      <c r="B442" t="s">
        <v>1852</v>
      </c>
    </row>
    <row r="443" spans="1:2" x14ac:dyDescent="0.3">
      <c r="A443" t="s">
        <v>1060</v>
      </c>
      <c r="B443" t="s">
        <v>757</v>
      </c>
    </row>
    <row r="444" spans="1:2" x14ac:dyDescent="0.3">
      <c r="A444" t="s">
        <v>1060</v>
      </c>
      <c r="B444" t="s">
        <v>458</v>
      </c>
    </row>
    <row r="445" spans="1:2" x14ac:dyDescent="0.3">
      <c r="A445" t="s">
        <v>1060</v>
      </c>
      <c r="B445" t="s">
        <v>2604</v>
      </c>
    </row>
    <row r="446" spans="1:2" x14ac:dyDescent="0.3">
      <c r="A446" t="s">
        <v>1060</v>
      </c>
      <c r="B446" t="s">
        <v>2613</v>
      </c>
    </row>
    <row r="447" spans="1:2" x14ac:dyDescent="0.3">
      <c r="A447" t="s">
        <v>1060</v>
      </c>
      <c r="B447" t="s">
        <v>827</v>
      </c>
    </row>
    <row r="448" spans="1:2" x14ac:dyDescent="0.3">
      <c r="A448" t="s">
        <v>1060</v>
      </c>
      <c r="B448" t="s">
        <v>1046</v>
      </c>
    </row>
    <row r="449" spans="1:2" x14ac:dyDescent="0.3">
      <c r="A449" t="s">
        <v>1060</v>
      </c>
      <c r="B449" t="s">
        <v>2435</v>
      </c>
    </row>
    <row r="450" spans="1:2" x14ac:dyDescent="0.3">
      <c r="A450" t="s">
        <v>1060</v>
      </c>
      <c r="B450" t="s">
        <v>2867</v>
      </c>
    </row>
    <row r="451" spans="1:2" x14ac:dyDescent="0.3">
      <c r="A451" t="s">
        <v>1060</v>
      </c>
      <c r="B451" t="s">
        <v>646</v>
      </c>
    </row>
    <row r="452" spans="1:2" x14ac:dyDescent="0.3">
      <c r="A452" t="s">
        <v>1060</v>
      </c>
      <c r="B452" t="s">
        <v>2496</v>
      </c>
    </row>
    <row r="453" spans="1:2" x14ac:dyDescent="0.3">
      <c r="A453" t="s">
        <v>1060</v>
      </c>
      <c r="B453" t="s">
        <v>602</v>
      </c>
    </row>
    <row r="454" spans="1:2" x14ac:dyDescent="0.3">
      <c r="A454" t="s">
        <v>1060</v>
      </c>
      <c r="B454" t="s">
        <v>507</v>
      </c>
    </row>
    <row r="455" spans="1:2" x14ac:dyDescent="0.3">
      <c r="A455" t="s">
        <v>1060</v>
      </c>
      <c r="B455" t="s">
        <v>10</v>
      </c>
    </row>
    <row r="456" spans="1:2" x14ac:dyDescent="0.3">
      <c r="A456" t="s">
        <v>1060</v>
      </c>
      <c r="B456" t="s">
        <v>628</v>
      </c>
    </row>
    <row r="457" spans="1:2" x14ac:dyDescent="0.3">
      <c r="A457" t="s">
        <v>1060</v>
      </c>
      <c r="B457" t="s">
        <v>508</v>
      </c>
    </row>
    <row r="458" spans="1:2" x14ac:dyDescent="0.3">
      <c r="A458" t="s">
        <v>1060</v>
      </c>
      <c r="B458" t="s">
        <v>1543</v>
      </c>
    </row>
    <row r="459" spans="1:2" x14ac:dyDescent="0.3">
      <c r="A459" t="s">
        <v>1060</v>
      </c>
      <c r="B459" t="s">
        <v>210</v>
      </c>
    </row>
    <row r="460" spans="1:2" x14ac:dyDescent="0.3">
      <c r="A460" t="s">
        <v>1060</v>
      </c>
      <c r="B460" t="s">
        <v>3357</v>
      </c>
    </row>
    <row r="461" spans="1:2" x14ac:dyDescent="0.3">
      <c r="A461" t="s">
        <v>1060</v>
      </c>
      <c r="B461" t="s">
        <v>632</v>
      </c>
    </row>
    <row r="462" spans="1:2" x14ac:dyDescent="0.3">
      <c r="A462" t="s">
        <v>1060</v>
      </c>
      <c r="B462" t="s">
        <v>169</v>
      </c>
    </row>
    <row r="463" spans="1:2" x14ac:dyDescent="0.3">
      <c r="A463" t="s">
        <v>1060</v>
      </c>
      <c r="B463" t="s">
        <v>2797</v>
      </c>
    </row>
    <row r="464" spans="1:2" x14ac:dyDescent="0.3">
      <c r="A464" t="s">
        <v>1060</v>
      </c>
      <c r="B464" t="s">
        <v>624</v>
      </c>
    </row>
    <row r="465" spans="1:2" x14ac:dyDescent="0.3">
      <c r="A465" t="s">
        <v>1060</v>
      </c>
      <c r="B465" t="s">
        <v>606</v>
      </c>
    </row>
    <row r="466" spans="1:2" x14ac:dyDescent="0.3">
      <c r="A466" t="s">
        <v>2945</v>
      </c>
      <c r="B466" t="s">
        <v>7</v>
      </c>
    </row>
    <row r="467" spans="1:2" x14ac:dyDescent="0.3">
      <c r="A467" t="s">
        <v>2945</v>
      </c>
      <c r="B467" t="s">
        <v>790</v>
      </c>
    </row>
    <row r="468" spans="1:2" x14ac:dyDescent="0.3">
      <c r="A468" t="s">
        <v>1288</v>
      </c>
      <c r="B468" t="s">
        <v>845</v>
      </c>
    </row>
    <row r="469" spans="1:2" x14ac:dyDescent="0.3">
      <c r="A469" t="s">
        <v>1074</v>
      </c>
      <c r="B469" t="s">
        <v>964</v>
      </c>
    </row>
    <row r="470" spans="1:2" x14ac:dyDescent="0.3">
      <c r="A470" t="s">
        <v>1074</v>
      </c>
      <c r="B470" t="s">
        <v>7</v>
      </c>
    </row>
    <row r="471" spans="1:2" x14ac:dyDescent="0.3">
      <c r="A471" t="s">
        <v>1074</v>
      </c>
      <c r="B471" t="s">
        <v>570</v>
      </c>
    </row>
    <row r="472" spans="1:2" x14ac:dyDescent="0.3">
      <c r="A472" t="s">
        <v>1074</v>
      </c>
      <c r="B472" t="s">
        <v>1096</v>
      </c>
    </row>
    <row r="473" spans="1:2" x14ac:dyDescent="0.3">
      <c r="A473" t="s">
        <v>1074</v>
      </c>
      <c r="B473" t="s">
        <v>885</v>
      </c>
    </row>
    <row r="474" spans="1:2" x14ac:dyDescent="0.3">
      <c r="A474" t="s">
        <v>1074</v>
      </c>
      <c r="B474" t="s">
        <v>561</v>
      </c>
    </row>
    <row r="475" spans="1:2" x14ac:dyDescent="0.3">
      <c r="A475" t="s">
        <v>1074</v>
      </c>
      <c r="B475" t="s">
        <v>2261</v>
      </c>
    </row>
    <row r="476" spans="1:2" x14ac:dyDescent="0.3">
      <c r="A476" t="s">
        <v>1074</v>
      </c>
      <c r="B476" t="s">
        <v>336</v>
      </c>
    </row>
    <row r="477" spans="1:2" x14ac:dyDescent="0.3">
      <c r="A477" t="s">
        <v>1505</v>
      </c>
      <c r="B477" t="s">
        <v>7</v>
      </c>
    </row>
    <row r="478" spans="1:2" x14ac:dyDescent="0.3">
      <c r="A478" t="s">
        <v>1081</v>
      </c>
      <c r="B478" t="s">
        <v>7</v>
      </c>
    </row>
  </sheetData>
  <sortState xmlns:xlrd2="http://schemas.microsoft.com/office/spreadsheetml/2017/richdata2" ref="A2:B478">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B1:B15"/>
  <sheetViews>
    <sheetView workbookViewId="0">
      <selection activeCell="A29" sqref="A29"/>
    </sheetView>
  </sheetViews>
  <sheetFormatPr defaultRowHeight="14.4" x14ac:dyDescent="0.3"/>
  <cols>
    <col min="1" max="1" width="60.88671875" customWidth="1"/>
    <col min="2" max="2" width="39.21875" customWidth="1"/>
  </cols>
  <sheetData>
    <row r="1" spans="2:2" x14ac:dyDescent="0.3">
      <c r="B1" t="s">
        <v>2525</v>
      </c>
    </row>
    <row r="2" spans="2:2" x14ac:dyDescent="0.3">
      <c r="B2" t="s">
        <v>827</v>
      </c>
    </row>
    <row r="3" spans="2:2" x14ac:dyDescent="0.3">
      <c r="B3" t="s">
        <v>47</v>
      </c>
    </row>
    <row r="4" spans="2:2" x14ac:dyDescent="0.3">
      <c r="B4" t="s">
        <v>714</v>
      </c>
    </row>
    <row r="5" spans="2:2" x14ac:dyDescent="0.3">
      <c r="B5" t="s">
        <v>2792</v>
      </c>
    </row>
    <row r="6" spans="2:2" x14ac:dyDescent="0.3">
      <c r="B6" t="s">
        <v>15</v>
      </c>
    </row>
    <row r="7" spans="2:2" x14ac:dyDescent="0.3">
      <c r="B7" t="s">
        <v>7</v>
      </c>
    </row>
    <row r="8" spans="2:2" x14ac:dyDescent="0.3">
      <c r="B8" t="s">
        <v>13</v>
      </c>
    </row>
    <row r="9" spans="2:2" x14ac:dyDescent="0.3">
      <c r="B9" t="s">
        <v>11</v>
      </c>
    </row>
    <row r="10" spans="2:2" x14ac:dyDescent="0.3">
      <c r="B10" t="s">
        <v>8</v>
      </c>
    </row>
    <row r="11" spans="2:2" x14ac:dyDescent="0.3">
      <c r="B11" t="s">
        <v>10</v>
      </c>
    </row>
    <row r="12" spans="2:2" x14ac:dyDescent="0.3">
      <c r="B12" t="s">
        <v>9</v>
      </c>
    </row>
    <row r="13" spans="2:2" x14ac:dyDescent="0.3">
      <c r="B13" t="s">
        <v>12</v>
      </c>
    </row>
    <row r="14" spans="2:2" x14ac:dyDescent="0.3">
      <c r="B14" t="s">
        <v>14</v>
      </c>
    </row>
    <row r="15" spans="2:2" x14ac:dyDescent="0.3">
      <c r="B15" t="s">
        <v>694</v>
      </c>
    </row>
  </sheetData>
  <sortState xmlns:xlrd2="http://schemas.microsoft.com/office/spreadsheetml/2017/richdata2" ref="B1:B15">
    <sortCondition ref="B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42"/>
  <sheetViews>
    <sheetView workbookViewId="0">
      <selection activeCell="AB19" sqref="AB19"/>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2.5546875" customWidth="1"/>
    <col min="16" max="16" width="12.5546875" style="17" bestFit="1" customWidth="1"/>
    <col min="17" max="17" width="8.88671875" style="17"/>
    <col min="25" max="25" width="23.21875" customWidth="1"/>
    <col min="26" max="26" width="15.44140625" customWidth="1"/>
    <col min="28" max="28" width="10.5546875" customWidth="1"/>
    <col min="29" max="29" width="14.77734375" customWidth="1"/>
    <col min="31" max="31" width="14.6640625" customWidth="1"/>
  </cols>
  <sheetData>
    <row r="1" spans="1:32" x14ac:dyDescent="0.3">
      <c r="A1" s="14" t="s">
        <v>20</v>
      </c>
      <c r="B1" s="14" t="s">
        <v>876</v>
      </c>
      <c r="C1" s="14"/>
      <c r="D1" s="14"/>
      <c r="E1" s="14"/>
      <c r="F1" s="14"/>
      <c r="G1" s="14"/>
      <c r="H1" s="14"/>
      <c r="I1" s="14"/>
      <c r="J1" s="14"/>
      <c r="K1" s="14"/>
      <c r="L1" s="1" t="s">
        <v>22</v>
      </c>
      <c r="M1" s="1" cm="1">
        <f t="array" ref="M1">SUM(C:C+E:E+G:G+I:I+K:K)</f>
        <v>113.5</v>
      </c>
      <c r="O1" s="1" t="s">
        <v>0</v>
      </c>
      <c r="P1" s="21" t="s">
        <v>23</v>
      </c>
      <c r="R1" s="17" t="s">
        <v>2</v>
      </c>
      <c r="S1" s="17" t="s">
        <v>3</v>
      </c>
      <c r="T1" s="17" t="s">
        <v>4</v>
      </c>
      <c r="U1" s="17" t="s">
        <v>5</v>
      </c>
      <c r="Y1" s="1" t="s">
        <v>0</v>
      </c>
      <c r="Z1" s="21" t="s">
        <v>4842</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2525</v>
      </c>
      <c r="P2" s="17">
        <v>10</v>
      </c>
      <c r="R2">
        <v>5</v>
      </c>
      <c r="S2">
        <v>0</v>
      </c>
      <c r="T2">
        <v>5</v>
      </c>
      <c r="U2">
        <v>0</v>
      </c>
      <c r="Y2" t="s">
        <v>151</v>
      </c>
      <c r="Z2">
        <v>9.7600000000000016</v>
      </c>
      <c r="AB2">
        <v>0</v>
      </c>
      <c r="AC2">
        <v>3.4</v>
      </c>
      <c r="AD2">
        <v>3.41</v>
      </c>
      <c r="AE2">
        <v>0</v>
      </c>
      <c r="AF2">
        <v>2.95</v>
      </c>
    </row>
    <row r="3" spans="1:32" x14ac:dyDescent="0.3">
      <c r="A3" s="3"/>
      <c r="B3" s="2" t="s">
        <v>24</v>
      </c>
      <c r="C3" s="2"/>
      <c r="D3" s="2" t="s">
        <v>25</v>
      </c>
      <c r="E3" s="2"/>
      <c r="F3" s="2" t="s">
        <v>26</v>
      </c>
      <c r="G3" s="2"/>
      <c r="H3" s="2" t="s">
        <v>27</v>
      </c>
      <c r="I3" s="2"/>
      <c r="J3" s="2" t="s">
        <v>28</v>
      </c>
      <c r="O3" t="s">
        <v>7</v>
      </c>
      <c r="P3" s="17">
        <v>27</v>
      </c>
      <c r="R3">
        <v>9</v>
      </c>
      <c r="S3">
        <v>0</v>
      </c>
      <c r="T3">
        <v>6</v>
      </c>
      <c r="U3">
        <v>12</v>
      </c>
      <c r="Y3" t="s">
        <v>7</v>
      </c>
      <c r="Z3">
        <v>31.68</v>
      </c>
      <c r="AB3">
        <v>0.97</v>
      </c>
      <c r="AC3">
        <v>9.09</v>
      </c>
      <c r="AD3">
        <v>5.42</v>
      </c>
      <c r="AE3">
        <v>16</v>
      </c>
      <c r="AF3">
        <v>0.2</v>
      </c>
    </row>
    <row r="4" spans="1:32" x14ac:dyDescent="0.3">
      <c r="A4" s="2" t="s">
        <v>29</v>
      </c>
      <c r="B4" s="15" t="s">
        <v>2525</v>
      </c>
      <c r="C4" s="3">
        <v>5</v>
      </c>
      <c r="D4" s="16" t="s">
        <v>7</v>
      </c>
      <c r="E4" s="3">
        <v>8</v>
      </c>
      <c r="F4" s="15" t="s">
        <v>15</v>
      </c>
      <c r="G4" s="3">
        <v>3.5</v>
      </c>
      <c r="H4" s="15" t="s">
        <v>14</v>
      </c>
      <c r="I4" s="3">
        <v>4</v>
      </c>
      <c r="J4" s="15" t="s">
        <v>12</v>
      </c>
      <c r="K4">
        <v>5</v>
      </c>
      <c r="O4" t="s">
        <v>15</v>
      </c>
      <c r="P4" s="17">
        <v>10.5</v>
      </c>
      <c r="R4">
        <v>5.5</v>
      </c>
      <c r="S4">
        <v>0</v>
      </c>
      <c r="T4">
        <v>3</v>
      </c>
      <c r="U4">
        <v>2</v>
      </c>
      <c r="Y4" t="s">
        <v>11</v>
      </c>
      <c r="Z4">
        <v>99.919999999999987</v>
      </c>
      <c r="AB4">
        <v>14.670000000000002</v>
      </c>
      <c r="AC4">
        <v>20.29</v>
      </c>
      <c r="AD4">
        <v>24.81</v>
      </c>
      <c r="AE4">
        <v>17.28</v>
      </c>
      <c r="AF4">
        <v>22.869999999999997</v>
      </c>
    </row>
    <row r="5" spans="1:32" x14ac:dyDescent="0.3">
      <c r="A5" s="2" t="s">
        <v>29</v>
      </c>
      <c r="B5" s="15" t="s">
        <v>15</v>
      </c>
      <c r="C5" s="3">
        <v>2</v>
      </c>
      <c r="D5" s="3"/>
      <c r="E5" s="3"/>
      <c r="F5" s="15" t="s">
        <v>14</v>
      </c>
      <c r="G5" s="3">
        <v>1</v>
      </c>
      <c r="H5" s="15" t="s">
        <v>12</v>
      </c>
      <c r="I5" s="3">
        <v>1</v>
      </c>
      <c r="J5" s="15"/>
      <c r="O5" t="s">
        <v>14</v>
      </c>
      <c r="P5" s="17">
        <v>18</v>
      </c>
      <c r="R5">
        <v>6</v>
      </c>
      <c r="S5">
        <v>1</v>
      </c>
      <c r="T5">
        <v>7</v>
      </c>
      <c r="U5">
        <v>4</v>
      </c>
      <c r="Y5" t="s">
        <v>657</v>
      </c>
      <c r="Z5">
        <v>0.80999999999999994</v>
      </c>
      <c r="AB5">
        <v>0</v>
      </c>
      <c r="AC5">
        <v>0.80999999999999994</v>
      </c>
      <c r="AD5">
        <v>0</v>
      </c>
      <c r="AE5">
        <v>0</v>
      </c>
      <c r="AF5">
        <v>0</v>
      </c>
    </row>
    <row r="6" spans="1:32" x14ac:dyDescent="0.3">
      <c r="A6" s="2" t="s">
        <v>29</v>
      </c>
      <c r="B6" s="15" t="s">
        <v>14</v>
      </c>
      <c r="C6" s="3">
        <v>1</v>
      </c>
      <c r="D6" s="3"/>
      <c r="E6" s="3"/>
      <c r="F6" s="3"/>
      <c r="G6" s="3"/>
      <c r="H6" s="16" t="s">
        <v>7</v>
      </c>
      <c r="I6" s="3">
        <v>1</v>
      </c>
      <c r="J6" s="3"/>
      <c r="O6" t="s">
        <v>12</v>
      </c>
      <c r="P6" s="17">
        <v>13</v>
      </c>
      <c r="R6">
        <v>6</v>
      </c>
      <c r="S6">
        <v>0</v>
      </c>
      <c r="T6">
        <v>6</v>
      </c>
      <c r="U6">
        <v>1</v>
      </c>
      <c r="Y6" t="s">
        <v>664</v>
      </c>
      <c r="Z6">
        <v>26.349999999999998</v>
      </c>
      <c r="AB6">
        <v>0.25</v>
      </c>
      <c r="AC6">
        <v>6.53</v>
      </c>
      <c r="AD6">
        <v>6.55</v>
      </c>
      <c r="AE6">
        <v>6.82</v>
      </c>
      <c r="AF6">
        <v>6.2</v>
      </c>
    </row>
    <row r="7" spans="1:32" x14ac:dyDescent="0.3">
      <c r="A7" s="2"/>
      <c r="B7" s="15"/>
      <c r="C7" s="3"/>
      <c r="D7" s="3"/>
      <c r="E7" s="3"/>
      <c r="F7" s="3"/>
      <c r="G7" s="3"/>
      <c r="H7" s="3"/>
      <c r="I7" s="3"/>
      <c r="J7" s="3"/>
      <c r="O7" t="s">
        <v>827</v>
      </c>
      <c r="P7" s="17">
        <v>2</v>
      </c>
      <c r="R7">
        <v>0</v>
      </c>
      <c r="S7">
        <v>2</v>
      </c>
      <c r="T7">
        <v>0</v>
      </c>
      <c r="U7">
        <v>0</v>
      </c>
    </row>
    <row r="8" spans="1:32" x14ac:dyDescent="0.3">
      <c r="A8" s="2"/>
      <c r="B8" s="3"/>
      <c r="C8" s="3"/>
      <c r="D8" s="3"/>
      <c r="E8" s="3"/>
      <c r="F8" s="3"/>
      <c r="G8" s="3"/>
      <c r="H8" s="3"/>
      <c r="I8" s="3"/>
      <c r="J8" s="3"/>
      <c r="O8" t="s">
        <v>694</v>
      </c>
      <c r="P8" s="17">
        <v>8</v>
      </c>
      <c r="R8">
        <v>0</v>
      </c>
      <c r="S8">
        <v>8</v>
      </c>
      <c r="T8">
        <v>0</v>
      </c>
      <c r="U8">
        <v>0</v>
      </c>
    </row>
    <row r="9" spans="1:32" x14ac:dyDescent="0.3">
      <c r="A9" s="2" t="s">
        <v>30</v>
      </c>
      <c r="B9" s="15" t="s">
        <v>827</v>
      </c>
      <c r="C9" s="3">
        <v>2</v>
      </c>
      <c r="D9" s="16" t="s">
        <v>694</v>
      </c>
      <c r="E9" s="3">
        <v>8</v>
      </c>
      <c r="F9" s="15" t="s">
        <v>14</v>
      </c>
      <c r="G9" s="3">
        <v>1</v>
      </c>
      <c r="H9" t="s">
        <v>47</v>
      </c>
      <c r="I9" s="3">
        <v>1</v>
      </c>
      <c r="J9" s="15" t="s">
        <v>13</v>
      </c>
      <c r="K9">
        <v>3</v>
      </c>
      <c r="O9" t="s">
        <v>47</v>
      </c>
      <c r="P9" s="17">
        <v>1</v>
      </c>
      <c r="R9">
        <v>0</v>
      </c>
      <c r="S9">
        <v>1</v>
      </c>
      <c r="T9">
        <v>0</v>
      </c>
      <c r="U9">
        <v>0</v>
      </c>
    </row>
    <row r="10" spans="1:32" x14ac:dyDescent="0.3">
      <c r="A10" s="2"/>
      <c r="B10" s="3"/>
      <c r="C10" s="3"/>
      <c r="D10" s="3"/>
      <c r="E10" s="3"/>
      <c r="F10" s="3"/>
      <c r="G10" s="3"/>
      <c r="H10" s="3"/>
      <c r="I10" s="3"/>
      <c r="J10" s="3"/>
      <c r="O10" t="s">
        <v>13</v>
      </c>
      <c r="P10" s="17">
        <v>14</v>
      </c>
      <c r="R10">
        <v>0</v>
      </c>
      <c r="S10">
        <v>3</v>
      </c>
      <c r="T10">
        <v>3</v>
      </c>
      <c r="U10">
        <v>8</v>
      </c>
    </row>
    <row r="11" spans="1:32" x14ac:dyDescent="0.3">
      <c r="A11" s="2"/>
      <c r="B11" s="3"/>
      <c r="C11" s="3"/>
      <c r="D11" s="3"/>
      <c r="E11" s="3"/>
      <c r="F11" s="3"/>
      <c r="G11" s="3"/>
      <c r="H11" s="3"/>
      <c r="I11" s="3"/>
      <c r="J11" s="3"/>
      <c r="O11" t="s">
        <v>714</v>
      </c>
      <c r="P11" s="17">
        <v>7</v>
      </c>
      <c r="R11">
        <v>0</v>
      </c>
      <c r="S11">
        <v>0</v>
      </c>
      <c r="T11">
        <v>0</v>
      </c>
      <c r="U11">
        <v>7</v>
      </c>
    </row>
    <row r="12" spans="1:32" x14ac:dyDescent="0.3">
      <c r="A12" s="2" t="s">
        <v>31</v>
      </c>
      <c r="B12" s="15" t="s">
        <v>2525</v>
      </c>
      <c r="C12" s="3">
        <v>5</v>
      </c>
      <c r="D12" s="16" t="s">
        <v>7</v>
      </c>
      <c r="E12" s="3">
        <v>2</v>
      </c>
      <c r="F12" s="15" t="s">
        <v>15</v>
      </c>
      <c r="G12" s="3">
        <v>1</v>
      </c>
      <c r="H12" s="15" t="s">
        <v>14</v>
      </c>
      <c r="I12" s="3">
        <v>3</v>
      </c>
      <c r="J12" s="15" t="s">
        <v>12</v>
      </c>
      <c r="K12">
        <v>5</v>
      </c>
      <c r="O12" t="s">
        <v>8</v>
      </c>
      <c r="P12" s="17">
        <v>2</v>
      </c>
      <c r="R12">
        <v>0</v>
      </c>
      <c r="S12">
        <v>0</v>
      </c>
      <c r="T12">
        <v>0</v>
      </c>
      <c r="U12">
        <v>2</v>
      </c>
    </row>
    <row r="13" spans="1:32" x14ac:dyDescent="0.3">
      <c r="A13" s="2" t="s">
        <v>31</v>
      </c>
      <c r="B13" s="15" t="s">
        <v>15</v>
      </c>
      <c r="C13" s="3">
        <v>2</v>
      </c>
      <c r="D13" s="3"/>
      <c r="E13" s="3"/>
      <c r="F13" s="15" t="s">
        <v>14</v>
      </c>
      <c r="G13" s="3">
        <v>3</v>
      </c>
      <c r="H13" s="15" t="s">
        <v>12</v>
      </c>
      <c r="I13" s="3">
        <v>1</v>
      </c>
      <c r="J13" s="15" t="s">
        <v>13</v>
      </c>
      <c r="K13">
        <v>3</v>
      </c>
      <c r="O13" t="s">
        <v>2792</v>
      </c>
      <c r="P13" s="17">
        <v>1</v>
      </c>
      <c r="R13">
        <v>0</v>
      </c>
      <c r="S13">
        <v>0</v>
      </c>
      <c r="T13">
        <v>0</v>
      </c>
      <c r="U13">
        <v>1</v>
      </c>
    </row>
    <row r="14" spans="1:32" x14ac:dyDescent="0.3">
      <c r="A14" s="2" t="s">
        <v>31</v>
      </c>
      <c r="B14" s="15" t="s">
        <v>14</v>
      </c>
      <c r="C14" s="3">
        <v>1</v>
      </c>
      <c r="D14" s="3"/>
      <c r="E14" s="3"/>
      <c r="F14" s="3"/>
      <c r="G14" s="3"/>
      <c r="H14" s="16" t="s">
        <v>7</v>
      </c>
      <c r="I14" s="3">
        <v>4</v>
      </c>
      <c r="J14" s="3"/>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32" x14ac:dyDescent="0.3">
      <c r="A17" s="2" t="s">
        <v>32</v>
      </c>
      <c r="B17" s="15" t="s">
        <v>13</v>
      </c>
      <c r="C17" s="3">
        <v>5</v>
      </c>
      <c r="D17" s="16" t="s">
        <v>7</v>
      </c>
      <c r="E17" s="3">
        <v>8</v>
      </c>
      <c r="F17" t="s">
        <v>714</v>
      </c>
      <c r="G17" s="3">
        <v>7</v>
      </c>
      <c r="H17" s="15" t="s">
        <v>14</v>
      </c>
      <c r="I17" s="3">
        <v>3</v>
      </c>
      <c r="J17" s="19" t="s">
        <v>8</v>
      </c>
      <c r="K17">
        <v>2</v>
      </c>
    </row>
    <row r="18" spans="1:32" x14ac:dyDescent="0.3">
      <c r="A18" s="2" t="s">
        <v>32</v>
      </c>
      <c r="B18" s="15" t="s">
        <v>15</v>
      </c>
      <c r="C18" s="3">
        <v>2</v>
      </c>
      <c r="D18" s="3"/>
      <c r="E18" s="3"/>
      <c r="F18" t="s">
        <v>2792</v>
      </c>
      <c r="G18" s="3">
        <v>1</v>
      </c>
      <c r="H18" s="15" t="s">
        <v>12</v>
      </c>
      <c r="I18" s="3">
        <v>1</v>
      </c>
      <c r="J18" s="15" t="s">
        <v>13</v>
      </c>
      <c r="K18">
        <v>3</v>
      </c>
    </row>
    <row r="19" spans="1:32" x14ac:dyDescent="0.3">
      <c r="A19" s="2" t="s">
        <v>32</v>
      </c>
      <c r="B19" s="15" t="s">
        <v>14</v>
      </c>
      <c r="C19" s="3">
        <v>1</v>
      </c>
      <c r="D19" s="3"/>
      <c r="E19" s="3"/>
      <c r="F19" s="3"/>
      <c r="G19" s="3"/>
      <c r="H19" s="16" t="s">
        <v>7</v>
      </c>
      <c r="I19" s="3">
        <v>4</v>
      </c>
      <c r="J19" s="3"/>
    </row>
    <row r="20" spans="1:32" x14ac:dyDescent="0.3">
      <c r="A20" s="2"/>
      <c r="B20" s="3"/>
      <c r="C20" s="3"/>
      <c r="D20" s="3"/>
      <c r="E20" s="3"/>
      <c r="F20" s="3"/>
      <c r="G20" s="3"/>
      <c r="H20" s="3"/>
      <c r="I20" s="3"/>
      <c r="J20" s="3"/>
    </row>
    <row r="21" spans="1:32" x14ac:dyDescent="0.3">
      <c r="A21" s="2"/>
      <c r="B21" s="3"/>
      <c r="C21" s="3"/>
      <c r="D21" s="3"/>
      <c r="E21" s="3"/>
      <c r="F21" s="3"/>
      <c r="G21" s="3"/>
      <c r="H21" s="3"/>
      <c r="I21" s="3"/>
      <c r="J21" s="3"/>
    </row>
    <row r="22" spans="1:32" x14ac:dyDescent="0.3">
      <c r="A22" s="2"/>
      <c r="B22" s="3"/>
      <c r="C22" s="3"/>
      <c r="D22" s="3"/>
      <c r="E22" s="3"/>
      <c r="F22" s="3"/>
      <c r="G22" s="3"/>
      <c r="H22" s="3"/>
      <c r="I22" s="3"/>
      <c r="J22" s="3"/>
    </row>
    <row r="23" spans="1:32" x14ac:dyDescent="0.3">
      <c r="A23" s="2"/>
      <c r="B23" s="3"/>
      <c r="C23" s="3"/>
      <c r="D23" s="3"/>
      <c r="E23" s="3"/>
      <c r="F23" s="3"/>
      <c r="G23" s="3"/>
      <c r="H23" s="3"/>
      <c r="I23" s="3"/>
      <c r="J23" s="3"/>
    </row>
    <row r="24" spans="1:32" x14ac:dyDescent="0.3">
      <c r="A24" s="14"/>
      <c r="B24" s="14"/>
      <c r="C24" s="14"/>
      <c r="D24" s="14"/>
      <c r="E24" s="14"/>
      <c r="F24" s="14"/>
      <c r="G24" s="14"/>
      <c r="H24" s="14"/>
      <c r="I24" s="14"/>
      <c r="J24" s="14"/>
      <c r="K24" s="14"/>
    </row>
    <row r="25" spans="1:32" x14ac:dyDescent="0.3">
      <c r="A25" s="4"/>
      <c r="B25" s="4"/>
      <c r="C25" s="4"/>
      <c r="D25" s="4"/>
      <c r="E25" s="4"/>
      <c r="F25" s="4"/>
      <c r="G25" s="4"/>
      <c r="H25" s="4"/>
      <c r="I25" s="4"/>
      <c r="J25" s="4"/>
      <c r="K25" s="4"/>
      <c r="O25" t="s">
        <v>744</v>
      </c>
      <c r="P25" s="17">
        <v>113.5</v>
      </c>
      <c r="R25">
        <v>31.5</v>
      </c>
      <c r="S25">
        <v>15</v>
      </c>
      <c r="T25">
        <v>30</v>
      </c>
      <c r="U25">
        <v>37</v>
      </c>
      <c r="Y25" t="s">
        <v>744</v>
      </c>
      <c r="Z25" s="37">
        <v>168.51999999999998</v>
      </c>
      <c r="AA25" s="37"/>
      <c r="AB25" s="37">
        <v>15.890000000000002</v>
      </c>
      <c r="AC25" s="37">
        <v>40.120000000000005</v>
      </c>
      <c r="AD25" s="37">
        <v>40.19</v>
      </c>
      <c r="AE25" s="37">
        <v>40.1</v>
      </c>
      <c r="AF25" s="37">
        <v>32.22</v>
      </c>
    </row>
    <row r="26" spans="1:32" x14ac:dyDescent="0.3">
      <c r="A26" s="3"/>
      <c r="B26" s="2"/>
      <c r="C26" s="2"/>
      <c r="D26" s="2"/>
      <c r="E26" s="2"/>
      <c r="F26" s="2"/>
      <c r="G26" s="2"/>
      <c r="H26" s="2"/>
      <c r="I26" s="2"/>
      <c r="J26" s="2"/>
    </row>
    <row r="27" spans="1:32" x14ac:dyDescent="0.3">
      <c r="A27" s="2"/>
      <c r="B27" s="15"/>
      <c r="C27" s="3"/>
      <c r="D27" s="16"/>
      <c r="E27" s="3"/>
      <c r="F27" s="15"/>
      <c r="G27" s="3"/>
      <c r="H27" s="15"/>
      <c r="I27" s="3"/>
      <c r="J27" s="15"/>
    </row>
    <row r="28" spans="1:32" x14ac:dyDescent="0.3">
      <c r="A28" s="2"/>
      <c r="B28" s="15"/>
      <c r="C28" s="3"/>
      <c r="D28" s="3"/>
      <c r="E28" s="3"/>
      <c r="F28" s="15"/>
      <c r="G28" s="3"/>
      <c r="H28" s="15"/>
      <c r="I28" s="3"/>
      <c r="J28" s="15"/>
    </row>
    <row r="29" spans="1:32" x14ac:dyDescent="0.3">
      <c r="A29" s="2"/>
      <c r="B29" s="15"/>
      <c r="C29" s="3"/>
      <c r="D29" s="3"/>
      <c r="E29" s="3"/>
      <c r="F29" s="3"/>
      <c r="G29" s="3"/>
      <c r="H29" s="16"/>
      <c r="I29" s="3"/>
      <c r="J29" s="3"/>
    </row>
    <row r="30" spans="1:32" x14ac:dyDescent="0.3">
      <c r="A30" s="2"/>
      <c r="B30" s="15"/>
      <c r="C30" s="3"/>
      <c r="D30" s="3"/>
      <c r="E30" s="3"/>
      <c r="F30" s="3"/>
      <c r="G30" s="3"/>
      <c r="H30" s="3"/>
      <c r="I30" s="3"/>
      <c r="J30" s="3"/>
    </row>
    <row r="31" spans="1:32" x14ac:dyDescent="0.3">
      <c r="A31" s="2"/>
      <c r="B31" s="3"/>
      <c r="C31" s="3"/>
      <c r="D31" s="3"/>
      <c r="E31" s="3"/>
      <c r="F31" s="3"/>
      <c r="G31" s="3"/>
      <c r="H31" s="3"/>
      <c r="I31" s="3"/>
      <c r="J31" s="3"/>
    </row>
    <row r="32" spans="1:32" x14ac:dyDescent="0.3">
      <c r="A32" s="2"/>
      <c r="B32" s="15"/>
      <c r="C32" s="3"/>
      <c r="D32" s="16"/>
      <c r="E32" s="3"/>
      <c r="F32" s="15"/>
      <c r="G32" s="3"/>
      <c r="I32" s="3"/>
      <c r="J32" s="15"/>
    </row>
    <row r="33" spans="1:10" x14ac:dyDescent="0.3">
      <c r="A33" s="2"/>
      <c r="B33" s="3"/>
      <c r="C33" s="3"/>
      <c r="D33" s="3"/>
      <c r="E33" s="3"/>
      <c r="F33" s="3"/>
      <c r="G33" s="3"/>
      <c r="H33" s="3"/>
      <c r="I33" s="3"/>
      <c r="J33" s="3"/>
    </row>
    <row r="34" spans="1:10" x14ac:dyDescent="0.3">
      <c r="A34" s="2"/>
      <c r="B34" s="3"/>
      <c r="C34" s="3"/>
      <c r="D34" s="3"/>
      <c r="E34" s="3"/>
      <c r="F34" s="3"/>
      <c r="G34" s="3"/>
      <c r="H34" s="3"/>
      <c r="I34" s="3"/>
      <c r="J34" s="3"/>
    </row>
    <row r="35" spans="1:10" x14ac:dyDescent="0.3">
      <c r="A35" s="2"/>
      <c r="B35" s="15"/>
      <c r="C35" s="3"/>
      <c r="D35" s="16"/>
      <c r="E35" s="3"/>
      <c r="F35" s="15"/>
      <c r="G35" s="3"/>
      <c r="H35" s="15"/>
      <c r="I35" s="3"/>
      <c r="J35" s="15"/>
    </row>
    <row r="36" spans="1:10" x14ac:dyDescent="0.3">
      <c r="A36" s="2"/>
      <c r="B36" s="15"/>
      <c r="C36" s="3"/>
      <c r="D36" s="3"/>
      <c r="E36" s="3"/>
      <c r="F36" s="15"/>
      <c r="G36" s="3"/>
      <c r="H36" s="15"/>
      <c r="I36" s="3"/>
      <c r="J36" s="15"/>
    </row>
    <row r="37" spans="1:10" x14ac:dyDescent="0.3">
      <c r="A37" s="2"/>
      <c r="B37" s="15"/>
      <c r="C37" s="3"/>
      <c r="D37" s="3"/>
      <c r="E37" s="3"/>
      <c r="F37" s="3"/>
      <c r="G37" s="3"/>
      <c r="H37" s="16"/>
      <c r="I37" s="3"/>
      <c r="J37" s="3"/>
    </row>
    <row r="38" spans="1:10" x14ac:dyDescent="0.3">
      <c r="A38" s="2"/>
      <c r="B38" s="3"/>
      <c r="C38" s="3"/>
      <c r="D38" s="3"/>
      <c r="E38" s="3"/>
      <c r="F38" s="3"/>
      <c r="G38" s="3"/>
      <c r="H38" s="3"/>
      <c r="I38" s="3"/>
      <c r="J38" s="3"/>
    </row>
    <row r="39" spans="1:10" x14ac:dyDescent="0.3">
      <c r="A39" s="2"/>
      <c r="B39" s="3"/>
      <c r="C39" s="3"/>
      <c r="D39" s="3"/>
      <c r="E39" s="3"/>
      <c r="F39" s="3"/>
      <c r="G39" s="3"/>
      <c r="H39" s="3"/>
      <c r="I39" s="3"/>
      <c r="J39" s="3"/>
    </row>
    <row r="40" spans="1:10" x14ac:dyDescent="0.3">
      <c r="A40" s="2"/>
      <c r="B40" s="15"/>
      <c r="C40" s="3"/>
      <c r="D40" s="16"/>
      <c r="E40" s="3"/>
      <c r="G40" s="3"/>
      <c r="H40" s="15"/>
      <c r="I40" s="3"/>
      <c r="J40" s="19"/>
    </row>
    <row r="41" spans="1:10" x14ac:dyDescent="0.3">
      <c r="A41" s="2"/>
      <c r="B41" s="15"/>
      <c r="C41" s="3"/>
      <c r="D41" s="3"/>
      <c r="E41" s="3"/>
      <c r="G41" s="3"/>
      <c r="H41" s="15"/>
      <c r="I41" s="3"/>
      <c r="J41" s="15"/>
    </row>
    <row r="42" spans="1:10" x14ac:dyDescent="0.3">
      <c r="A42" s="2"/>
      <c r="B42" s="15"/>
      <c r="C42" s="3"/>
      <c r="D42" s="3"/>
      <c r="E42" s="3"/>
      <c r="F42" s="3"/>
      <c r="G42" s="3"/>
      <c r="H42" s="16"/>
      <c r="I42" s="3"/>
      <c r="J42"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O2:O7 H4:H23 F4:F23 J4:J23 B4:B23 D4:D23 H27:H42 F27:F42 J27:J42 B27:B42 D27:D42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37"/>
  <sheetViews>
    <sheetView workbookViewId="0">
      <selection activeCell="AB4" sqref="AB4:AF4"/>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23" bestFit="1" customWidth="1"/>
    <col min="16" max="16" width="12.5546875" style="17" bestFit="1" customWidth="1"/>
    <col min="17" max="17" width="9.109375" style="17"/>
    <col min="25" max="25" width="24.21875" customWidth="1"/>
    <col min="26" max="26" width="18.88671875" customWidth="1"/>
  </cols>
  <sheetData>
    <row r="1" spans="1:32" x14ac:dyDescent="0.3">
      <c r="A1" s="14" t="s">
        <v>20</v>
      </c>
      <c r="B1" s="14" t="s">
        <v>21</v>
      </c>
      <c r="C1" s="14"/>
      <c r="D1" s="14"/>
      <c r="E1" s="14"/>
      <c r="F1" s="14"/>
      <c r="G1" s="14"/>
      <c r="H1" s="14"/>
      <c r="I1" s="14"/>
      <c r="J1" s="14"/>
      <c r="K1" s="14"/>
      <c r="L1" s="1" t="s">
        <v>22</v>
      </c>
      <c r="M1" s="1" cm="1">
        <f t="array" ref="M1">SUM(C:C+E:E+G:G+I:I+K:K)</f>
        <v>138.5</v>
      </c>
      <c r="O1" s="1" t="s">
        <v>0</v>
      </c>
      <c r="P1" s="21" t="s">
        <v>23</v>
      </c>
      <c r="R1" s="17" t="s">
        <v>2</v>
      </c>
      <c r="S1" s="17" t="s">
        <v>3</v>
      </c>
      <c r="T1" s="17" t="s">
        <v>4</v>
      </c>
      <c r="U1" s="17" t="s">
        <v>5</v>
      </c>
      <c r="Y1" s="1" t="s">
        <v>0</v>
      </c>
      <c r="Z1" s="21" t="s">
        <v>4842</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13</v>
      </c>
      <c r="P2" s="17">
        <v>29</v>
      </c>
      <c r="R2">
        <v>5</v>
      </c>
      <c r="S2">
        <v>8</v>
      </c>
      <c r="T2">
        <v>8</v>
      </c>
      <c r="U2">
        <v>8</v>
      </c>
      <c r="Y2" t="s">
        <v>1096</v>
      </c>
      <c r="Z2">
        <v>19.41</v>
      </c>
      <c r="AB2">
        <v>1.17</v>
      </c>
      <c r="AC2">
        <v>9.17</v>
      </c>
      <c r="AD2">
        <v>3.82</v>
      </c>
      <c r="AE2">
        <v>3.1200000000000006</v>
      </c>
      <c r="AF2">
        <v>2.13</v>
      </c>
    </row>
    <row r="3" spans="1:32" x14ac:dyDescent="0.3">
      <c r="A3" s="3"/>
      <c r="B3" s="2" t="s">
        <v>24</v>
      </c>
      <c r="C3" s="2"/>
      <c r="D3" s="2" t="s">
        <v>25</v>
      </c>
      <c r="E3" s="2"/>
      <c r="F3" s="2" t="s">
        <v>26</v>
      </c>
      <c r="G3" s="2"/>
      <c r="H3" s="2" t="s">
        <v>27</v>
      </c>
      <c r="I3" s="2"/>
      <c r="J3" s="2" t="s">
        <v>28</v>
      </c>
      <c r="O3" t="s">
        <v>7</v>
      </c>
      <c r="P3" s="17">
        <v>31</v>
      </c>
      <c r="R3">
        <v>9</v>
      </c>
      <c r="S3">
        <v>4</v>
      </c>
      <c r="T3">
        <v>6</v>
      </c>
      <c r="U3">
        <v>12</v>
      </c>
      <c r="Y3" t="s">
        <v>999</v>
      </c>
      <c r="Z3">
        <v>0.35</v>
      </c>
      <c r="AB3">
        <v>0</v>
      </c>
      <c r="AC3">
        <v>0</v>
      </c>
      <c r="AD3">
        <v>0</v>
      </c>
      <c r="AE3">
        <v>0.35</v>
      </c>
      <c r="AF3">
        <v>0</v>
      </c>
    </row>
    <row r="4" spans="1:32" x14ac:dyDescent="0.3">
      <c r="A4" s="2" t="s">
        <v>29</v>
      </c>
      <c r="B4" s="15" t="s">
        <v>13</v>
      </c>
      <c r="C4" s="3">
        <v>5</v>
      </c>
      <c r="D4" s="16" t="s">
        <v>7</v>
      </c>
      <c r="E4" s="3">
        <v>8</v>
      </c>
      <c r="F4" s="15" t="s">
        <v>15</v>
      </c>
      <c r="G4" s="3">
        <v>3.5</v>
      </c>
      <c r="H4" s="15" t="s">
        <v>14</v>
      </c>
      <c r="I4" s="3">
        <v>4</v>
      </c>
      <c r="J4" s="15" t="s">
        <v>12</v>
      </c>
      <c r="K4">
        <v>5</v>
      </c>
      <c r="O4" t="s">
        <v>15</v>
      </c>
      <c r="P4" s="17">
        <v>26.5</v>
      </c>
      <c r="R4">
        <v>5.5</v>
      </c>
      <c r="S4">
        <v>9</v>
      </c>
      <c r="T4">
        <v>3</v>
      </c>
      <c r="U4">
        <v>9</v>
      </c>
      <c r="Y4" t="s">
        <v>7</v>
      </c>
      <c r="Z4">
        <v>103.19000000000001</v>
      </c>
      <c r="AB4">
        <v>8.77</v>
      </c>
      <c r="AC4">
        <v>27.290000000000003</v>
      </c>
      <c r="AD4">
        <v>18.510000000000002</v>
      </c>
      <c r="AE4">
        <v>25.180000000000003</v>
      </c>
      <c r="AF4">
        <v>23.439999999999998</v>
      </c>
    </row>
    <row r="5" spans="1:32" x14ac:dyDescent="0.3">
      <c r="A5" s="2" t="s">
        <v>29</v>
      </c>
      <c r="B5" s="15" t="s">
        <v>15</v>
      </c>
      <c r="C5" s="3">
        <v>2</v>
      </c>
      <c r="D5" s="3"/>
      <c r="E5" s="3"/>
      <c r="F5" s="15" t="s">
        <v>14</v>
      </c>
      <c r="G5" s="3">
        <v>1</v>
      </c>
      <c r="H5" s="15" t="s">
        <v>12</v>
      </c>
      <c r="I5" s="3">
        <v>1</v>
      </c>
      <c r="J5" s="15"/>
      <c r="O5" t="s">
        <v>14</v>
      </c>
      <c r="P5" s="17">
        <v>23</v>
      </c>
      <c r="R5">
        <v>6</v>
      </c>
      <c r="S5">
        <v>5</v>
      </c>
      <c r="T5">
        <v>7</v>
      </c>
      <c r="U5">
        <v>5</v>
      </c>
      <c r="Y5" t="s">
        <v>13</v>
      </c>
      <c r="Z5">
        <v>26.879999999999995</v>
      </c>
      <c r="AB5">
        <v>3.15</v>
      </c>
      <c r="AC5">
        <v>3.62</v>
      </c>
      <c r="AD5">
        <v>9.99</v>
      </c>
      <c r="AE5">
        <v>5.81</v>
      </c>
      <c r="AF5">
        <v>4.3100000000000005</v>
      </c>
    </row>
    <row r="6" spans="1:32" x14ac:dyDescent="0.3">
      <c r="A6" s="2" t="s">
        <v>29</v>
      </c>
      <c r="B6" s="15" t="s">
        <v>14</v>
      </c>
      <c r="C6" s="3">
        <v>1</v>
      </c>
      <c r="D6" s="3"/>
      <c r="E6" s="3"/>
      <c r="F6" s="3"/>
      <c r="G6" s="3"/>
      <c r="H6" s="16" t="s">
        <v>7</v>
      </c>
      <c r="I6" s="3">
        <v>1</v>
      </c>
      <c r="J6" s="3"/>
      <c r="O6" t="s">
        <v>12</v>
      </c>
      <c r="P6" s="17">
        <v>19</v>
      </c>
      <c r="R6">
        <v>6</v>
      </c>
      <c r="S6">
        <v>6</v>
      </c>
      <c r="T6">
        <v>6</v>
      </c>
      <c r="U6">
        <v>1</v>
      </c>
      <c r="Y6" t="s">
        <v>589</v>
      </c>
      <c r="Z6">
        <v>17.100000000000001</v>
      </c>
      <c r="AB6">
        <v>3.07</v>
      </c>
      <c r="AC6">
        <v>0</v>
      </c>
      <c r="AD6">
        <v>6.76</v>
      </c>
      <c r="AE6">
        <v>4.57</v>
      </c>
      <c r="AF6">
        <v>2.7</v>
      </c>
    </row>
    <row r="7" spans="1:32" x14ac:dyDescent="0.3">
      <c r="A7" s="2"/>
      <c r="B7" s="15"/>
      <c r="C7" s="3"/>
      <c r="D7" s="3"/>
      <c r="E7" s="3"/>
      <c r="F7" s="3"/>
      <c r="G7" s="3"/>
      <c r="H7" s="3"/>
      <c r="I7" s="3"/>
      <c r="J7" s="3"/>
      <c r="O7" t="s">
        <v>694</v>
      </c>
      <c r="P7" s="17">
        <v>8</v>
      </c>
      <c r="R7">
        <v>0</v>
      </c>
      <c r="S7">
        <v>8</v>
      </c>
      <c r="T7">
        <v>0</v>
      </c>
      <c r="U7">
        <v>0</v>
      </c>
      <c r="Y7" t="s">
        <v>757</v>
      </c>
      <c r="Z7">
        <v>0.98</v>
      </c>
      <c r="AB7">
        <v>0</v>
      </c>
      <c r="AC7">
        <v>0</v>
      </c>
      <c r="AD7">
        <v>0.98</v>
      </c>
      <c r="AE7">
        <v>0</v>
      </c>
      <c r="AF7">
        <v>0</v>
      </c>
    </row>
    <row r="8" spans="1:32" x14ac:dyDescent="0.3">
      <c r="A8" s="2"/>
      <c r="B8" s="3"/>
      <c r="C8" s="3"/>
      <c r="D8" s="3"/>
      <c r="E8" s="3"/>
      <c r="F8" s="3"/>
      <c r="G8" s="3"/>
      <c r="H8" s="3"/>
      <c r="I8" s="3"/>
      <c r="J8" s="3"/>
      <c r="O8" t="s">
        <v>8</v>
      </c>
      <c r="P8" s="17">
        <v>2</v>
      </c>
      <c r="R8">
        <v>0</v>
      </c>
      <c r="S8">
        <v>0</v>
      </c>
      <c r="T8">
        <v>0</v>
      </c>
      <c r="U8">
        <v>2</v>
      </c>
      <c r="Y8" t="s">
        <v>602</v>
      </c>
      <c r="Z8">
        <v>1.26</v>
      </c>
      <c r="AB8">
        <v>0</v>
      </c>
      <c r="AC8">
        <v>0</v>
      </c>
      <c r="AD8">
        <v>0</v>
      </c>
      <c r="AE8">
        <v>1.26</v>
      </c>
      <c r="AF8">
        <v>0</v>
      </c>
    </row>
    <row r="9" spans="1:32" x14ac:dyDescent="0.3">
      <c r="A9" s="2" t="s">
        <v>30</v>
      </c>
      <c r="B9" s="15" t="s">
        <v>13</v>
      </c>
      <c r="C9" s="3">
        <v>5</v>
      </c>
      <c r="D9" s="16" t="s">
        <v>694</v>
      </c>
      <c r="E9" s="3">
        <v>8</v>
      </c>
      <c r="F9" s="15" t="s">
        <v>15</v>
      </c>
      <c r="G9" s="3">
        <v>7</v>
      </c>
      <c r="H9" s="15" t="s">
        <v>14</v>
      </c>
      <c r="I9" s="3">
        <v>3</v>
      </c>
      <c r="J9" s="15" t="s">
        <v>12</v>
      </c>
      <c r="K9">
        <v>5</v>
      </c>
    </row>
    <row r="10" spans="1:32" x14ac:dyDescent="0.3">
      <c r="A10" s="2" t="s">
        <v>30</v>
      </c>
      <c r="B10" s="15" t="s">
        <v>15</v>
      </c>
      <c r="C10" s="3">
        <v>2</v>
      </c>
      <c r="D10" s="3"/>
      <c r="E10" s="3"/>
      <c r="F10" s="15" t="s">
        <v>14</v>
      </c>
      <c r="G10" s="3">
        <v>1</v>
      </c>
      <c r="H10" s="15" t="s">
        <v>12</v>
      </c>
      <c r="I10" s="3">
        <v>1</v>
      </c>
      <c r="J10" s="15" t="s">
        <v>13</v>
      </c>
      <c r="K10">
        <v>3</v>
      </c>
    </row>
    <row r="11" spans="1:32" x14ac:dyDescent="0.3">
      <c r="A11" s="2" t="s">
        <v>30</v>
      </c>
      <c r="B11" s="15" t="s">
        <v>14</v>
      </c>
      <c r="C11" s="3">
        <v>1</v>
      </c>
      <c r="D11" s="3"/>
      <c r="E11" s="3"/>
      <c r="F11" s="3"/>
      <c r="G11" s="3"/>
      <c r="H11" s="16" t="s">
        <v>7</v>
      </c>
      <c r="I11" s="3">
        <v>4</v>
      </c>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15" t="s">
        <v>13</v>
      </c>
      <c r="C14" s="3">
        <v>5</v>
      </c>
      <c r="D14" s="16" t="s">
        <v>7</v>
      </c>
      <c r="E14" s="3">
        <v>2</v>
      </c>
      <c r="F14" s="15" t="s">
        <v>15</v>
      </c>
      <c r="G14" s="3">
        <v>1</v>
      </c>
      <c r="H14" s="15" t="s">
        <v>14</v>
      </c>
      <c r="I14" s="3">
        <v>3</v>
      </c>
      <c r="J14" s="15" t="s">
        <v>12</v>
      </c>
      <c r="K14">
        <v>5</v>
      </c>
    </row>
    <row r="15" spans="1:32" x14ac:dyDescent="0.3">
      <c r="A15" s="2" t="s">
        <v>31</v>
      </c>
      <c r="B15" s="15" t="s">
        <v>15</v>
      </c>
      <c r="C15" s="3">
        <v>2</v>
      </c>
      <c r="D15" s="3"/>
      <c r="E15" s="3"/>
      <c r="F15" s="15" t="s">
        <v>14</v>
      </c>
      <c r="G15" s="3">
        <v>3</v>
      </c>
      <c r="H15" s="15" t="s">
        <v>12</v>
      </c>
      <c r="I15" s="3">
        <v>1</v>
      </c>
      <c r="J15" s="15" t="s">
        <v>13</v>
      </c>
      <c r="K15">
        <v>3</v>
      </c>
    </row>
    <row r="16" spans="1:32" x14ac:dyDescent="0.3">
      <c r="A16" s="2" t="s">
        <v>31</v>
      </c>
      <c r="B16" s="15" t="s">
        <v>14</v>
      </c>
      <c r="C16" s="3">
        <v>1</v>
      </c>
      <c r="D16" s="3"/>
      <c r="E16" s="3"/>
      <c r="F16" s="3"/>
      <c r="G16" s="3"/>
      <c r="H16" s="16" t="s">
        <v>7</v>
      </c>
      <c r="I16" s="3">
        <v>4</v>
      </c>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15" t="s">
        <v>13</v>
      </c>
      <c r="C19" s="3">
        <v>5</v>
      </c>
      <c r="D19" s="16" t="s">
        <v>7</v>
      </c>
      <c r="E19" s="3">
        <v>8</v>
      </c>
      <c r="F19" s="15" t="s">
        <v>15</v>
      </c>
      <c r="G19" s="3">
        <v>7</v>
      </c>
      <c r="H19" s="15" t="s">
        <v>14</v>
      </c>
      <c r="I19" s="3">
        <v>3</v>
      </c>
      <c r="J19" s="19" t="s">
        <v>8</v>
      </c>
      <c r="K19">
        <v>2</v>
      </c>
    </row>
    <row r="20" spans="1:32" x14ac:dyDescent="0.3">
      <c r="A20" s="2" t="s">
        <v>32</v>
      </c>
      <c r="B20" s="15" t="s">
        <v>15</v>
      </c>
      <c r="C20" s="3">
        <v>2</v>
      </c>
      <c r="D20" s="3"/>
      <c r="E20" s="3"/>
      <c r="F20" s="15" t="s">
        <v>14</v>
      </c>
      <c r="G20" s="3">
        <v>1</v>
      </c>
      <c r="H20" s="15" t="s">
        <v>12</v>
      </c>
      <c r="I20" s="3">
        <v>1</v>
      </c>
      <c r="J20" s="15" t="s">
        <v>13</v>
      </c>
      <c r="K20">
        <v>3</v>
      </c>
    </row>
    <row r="21" spans="1:32" x14ac:dyDescent="0.3">
      <c r="A21" s="2" t="s">
        <v>32</v>
      </c>
      <c r="B21" s="15" t="s">
        <v>14</v>
      </c>
      <c r="C21" s="3">
        <v>1</v>
      </c>
      <c r="D21" s="3"/>
      <c r="E21" s="3"/>
      <c r="F21" s="3"/>
      <c r="G21" s="3"/>
      <c r="H21" s="16" t="s">
        <v>7</v>
      </c>
      <c r="I21" s="3">
        <v>4</v>
      </c>
      <c r="J21" s="3"/>
    </row>
    <row r="22" spans="1:32" x14ac:dyDescent="0.3">
      <c r="A22" s="2"/>
      <c r="B22" s="3"/>
      <c r="C22" s="3"/>
      <c r="D22" s="3"/>
      <c r="E22" s="3"/>
      <c r="F22" s="3"/>
      <c r="G22" s="3"/>
      <c r="H22" s="3"/>
      <c r="I22" s="3"/>
      <c r="J22" s="3"/>
    </row>
    <row r="23" spans="1:32" x14ac:dyDescent="0.3">
      <c r="A23" s="2"/>
      <c r="B23" s="3"/>
      <c r="C23" s="3"/>
      <c r="D23" s="3"/>
      <c r="E23" s="3"/>
      <c r="F23" s="3"/>
      <c r="G23" s="3"/>
      <c r="H23" s="3"/>
      <c r="I23" s="3"/>
      <c r="J23" s="3"/>
    </row>
    <row r="24" spans="1:32" x14ac:dyDescent="0.3">
      <c r="A24" s="2"/>
      <c r="B24" s="3"/>
      <c r="C24" s="3"/>
      <c r="D24" s="3"/>
      <c r="E24" s="3"/>
      <c r="F24" s="3"/>
      <c r="G24" s="3"/>
      <c r="H24" s="3"/>
      <c r="I24" s="3"/>
      <c r="J24" s="3"/>
    </row>
    <row r="25" spans="1:32" x14ac:dyDescent="0.3">
      <c r="A25" s="2"/>
      <c r="B25" s="3"/>
      <c r="C25" s="3"/>
      <c r="D25" s="3"/>
      <c r="E25" s="3"/>
      <c r="F25" s="3"/>
      <c r="G25" s="3"/>
      <c r="H25" s="3"/>
      <c r="I25" s="3"/>
      <c r="J25" s="3"/>
      <c r="O25" t="s">
        <v>744</v>
      </c>
      <c r="P25" s="17">
        <v>138.5</v>
      </c>
      <c r="R25">
        <v>31.5</v>
      </c>
      <c r="S25">
        <v>40</v>
      </c>
      <c r="T25">
        <v>30</v>
      </c>
      <c r="U25">
        <v>37</v>
      </c>
      <c r="Y25" t="s">
        <v>744</v>
      </c>
      <c r="Z25">
        <v>169.17</v>
      </c>
      <c r="AB25">
        <v>16.16</v>
      </c>
      <c r="AC25">
        <v>40.08</v>
      </c>
      <c r="AD25">
        <v>40.059999999999995</v>
      </c>
      <c r="AE25">
        <v>40.290000000000006</v>
      </c>
      <c r="AF25">
        <v>32.58</v>
      </c>
    </row>
    <row r="26" spans="1:32" x14ac:dyDescent="0.3">
      <c r="A26" s="2"/>
      <c r="B26" s="3"/>
      <c r="C26" s="3"/>
      <c r="D26" s="3"/>
      <c r="E26" s="3"/>
      <c r="F26" s="3"/>
      <c r="G26" s="3"/>
      <c r="H26" s="3"/>
      <c r="I26" s="3"/>
      <c r="J26" s="3"/>
    </row>
    <row r="27" spans="1:32" x14ac:dyDescent="0.3">
      <c r="A27" s="3"/>
      <c r="B27" s="3"/>
      <c r="C27" s="3"/>
      <c r="D27" s="3"/>
      <c r="E27" s="3"/>
      <c r="F27" s="3"/>
      <c r="G27" s="3"/>
      <c r="H27" s="3"/>
      <c r="I27" s="3"/>
      <c r="J27" s="3"/>
    </row>
    <row r="28" spans="1:32" x14ac:dyDescent="0.3">
      <c r="A28" s="3"/>
      <c r="B28" s="3"/>
      <c r="C28" s="3"/>
      <c r="D28" s="3"/>
      <c r="E28" s="3"/>
      <c r="F28" s="3"/>
      <c r="G28" s="3"/>
      <c r="H28" s="3"/>
      <c r="I28" s="3"/>
      <c r="J28" s="3"/>
    </row>
    <row r="29" spans="1:32" x14ac:dyDescent="0.3">
      <c r="A29" s="3"/>
      <c r="B29" s="3"/>
      <c r="C29" s="3"/>
      <c r="D29" s="3"/>
      <c r="E29" s="3"/>
      <c r="F29" s="3"/>
      <c r="G29" s="3"/>
      <c r="H29" s="3"/>
      <c r="I29" s="3"/>
      <c r="J29" s="3"/>
    </row>
    <row r="30" spans="1:32" x14ac:dyDescent="0.3">
      <c r="A30" s="3"/>
      <c r="B30" s="3"/>
      <c r="C30" s="3"/>
      <c r="D30" s="3"/>
      <c r="E30" s="3"/>
      <c r="F30" s="3"/>
      <c r="G30" s="3"/>
      <c r="H30" s="3"/>
      <c r="I30" s="3"/>
      <c r="J30" s="3"/>
    </row>
    <row r="31" spans="1:32" x14ac:dyDescent="0.3">
      <c r="D31" s="3"/>
      <c r="F31" s="3"/>
      <c r="H31" s="3"/>
      <c r="J31" s="3"/>
    </row>
    <row r="32" spans="1:32"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J4:J33 H4:H37 F4:F33 O2:O7 D4:D31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37"/>
  <sheetViews>
    <sheetView workbookViewId="0">
      <selection activeCell="Y1" sqref="Y1:AF1"/>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0.44140625" style="20" bestFit="1" customWidth="1"/>
    <col min="16" max="16" width="12.5546875" style="17" bestFit="1" customWidth="1"/>
  </cols>
  <sheetData>
    <row r="1" spans="1:32" x14ac:dyDescent="0.3">
      <c r="A1" s="14" t="s">
        <v>20</v>
      </c>
      <c r="B1" s="14" t="s">
        <v>33</v>
      </c>
      <c r="C1" s="14"/>
      <c r="D1" s="14"/>
      <c r="E1" s="14"/>
      <c r="F1" s="14"/>
      <c r="G1" s="14"/>
      <c r="H1" s="14"/>
      <c r="I1" s="14"/>
      <c r="J1" s="14"/>
      <c r="K1" s="14"/>
      <c r="L1" s="1" t="s">
        <v>22</v>
      </c>
      <c r="M1" s="1" cm="1">
        <f t="array" ref="M1">SUM(C:C+E:E+G:G+I:I+K:K)</f>
        <v>155</v>
      </c>
      <c r="O1" s="18" t="s">
        <v>0</v>
      </c>
      <c r="P1" s="21" t="s">
        <v>23</v>
      </c>
      <c r="Q1" s="23"/>
      <c r="R1" s="17" t="s">
        <v>2</v>
      </c>
      <c r="S1" s="17" t="s">
        <v>3</v>
      </c>
      <c r="T1" s="17" t="s">
        <v>4</v>
      </c>
      <c r="U1" s="17" t="s">
        <v>5</v>
      </c>
      <c r="Y1" s="1" t="s">
        <v>0</v>
      </c>
      <c r="Z1" s="21" t="s">
        <v>4842</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11</v>
      </c>
      <c r="P2" s="23">
        <v>16</v>
      </c>
      <c r="Q2" s="23"/>
      <c r="R2" s="24">
        <v>4</v>
      </c>
      <c r="S2" s="24">
        <v>4</v>
      </c>
      <c r="T2" s="24">
        <v>4</v>
      </c>
      <c r="U2" s="24">
        <v>4</v>
      </c>
      <c r="Y2" t="s">
        <v>2525</v>
      </c>
      <c r="Z2">
        <v>1.97</v>
      </c>
      <c r="AB2">
        <v>0</v>
      </c>
      <c r="AC2">
        <v>0</v>
      </c>
      <c r="AD2">
        <v>0</v>
      </c>
      <c r="AE2">
        <v>1.97</v>
      </c>
      <c r="AF2">
        <v>0</v>
      </c>
    </row>
    <row r="3" spans="1:32" x14ac:dyDescent="0.3">
      <c r="A3" s="3"/>
      <c r="B3" s="2" t="s">
        <v>24</v>
      </c>
      <c r="C3" s="2"/>
      <c r="D3" s="2" t="s">
        <v>25</v>
      </c>
      <c r="E3" s="2"/>
      <c r="F3" s="2" t="s">
        <v>26</v>
      </c>
      <c r="G3" s="2"/>
      <c r="H3" s="2" t="s">
        <v>27</v>
      </c>
      <c r="I3" s="2"/>
      <c r="J3" s="2" t="s">
        <v>28</v>
      </c>
      <c r="O3" t="s">
        <v>10</v>
      </c>
      <c r="P3" s="23">
        <v>28</v>
      </c>
      <c r="Q3" s="23"/>
      <c r="R3" s="24">
        <v>7</v>
      </c>
      <c r="S3" s="24">
        <v>7</v>
      </c>
      <c r="T3" s="24">
        <v>7</v>
      </c>
      <c r="U3" s="24">
        <v>7</v>
      </c>
      <c r="Y3" t="s">
        <v>978</v>
      </c>
      <c r="Z3">
        <v>0.12</v>
      </c>
      <c r="AB3">
        <v>0</v>
      </c>
      <c r="AC3">
        <v>0</v>
      </c>
      <c r="AD3">
        <v>0</v>
      </c>
      <c r="AE3">
        <v>0.12</v>
      </c>
      <c r="AF3">
        <v>0</v>
      </c>
    </row>
    <row r="4" spans="1:32" x14ac:dyDescent="0.3">
      <c r="A4" s="2" t="s">
        <v>29</v>
      </c>
      <c r="B4" s="15" t="s">
        <v>11</v>
      </c>
      <c r="C4" s="3">
        <v>4</v>
      </c>
      <c r="D4" s="15" t="s">
        <v>10</v>
      </c>
      <c r="E4" s="3">
        <v>5</v>
      </c>
      <c r="F4" s="15" t="s">
        <v>9</v>
      </c>
      <c r="G4" s="3">
        <v>8</v>
      </c>
      <c r="H4" s="15" t="s">
        <v>8</v>
      </c>
      <c r="I4" s="3">
        <v>4</v>
      </c>
      <c r="J4" s="3" t="s">
        <v>7</v>
      </c>
      <c r="K4">
        <v>7</v>
      </c>
      <c r="O4" t="s">
        <v>9</v>
      </c>
      <c r="P4" s="23">
        <v>52</v>
      </c>
      <c r="Q4" s="23"/>
      <c r="R4" s="24">
        <v>14</v>
      </c>
      <c r="S4" s="24">
        <v>14</v>
      </c>
      <c r="T4" s="24">
        <v>10</v>
      </c>
      <c r="U4" s="24">
        <v>14</v>
      </c>
      <c r="Y4" t="s">
        <v>2604</v>
      </c>
      <c r="Z4">
        <v>3.18</v>
      </c>
      <c r="AB4">
        <v>0</v>
      </c>
      <c r="AC4">
        <v>0</v>
      </c>
      <c r="AD4">
        <v>0</v>
      </c>
      <c r="AE4">
        <v>3.18</v>
      </c>
      <c r="AF4">
        <v>0</v>
      </c>
    </row>
    <row r="5" spans="1:32" x14ac:dyDescent="0.3">
      <c r="A5" s="2" t="s">
        <v>29</v>
      </c>
      <c r="B5" s="15" t="s">
        <v>10</v>
      </c>
      <c r="C5" s="3">
        <v>2</v>
      </c>
      <c r="D5" s="15" t="s">
        <v>9</v>
      </c>
      <c r="E5" s="3">
        <v>2</v>
      </c>
      <c r="F5" s="3"/>
      <c r="G5" s="3"/>
      <c r="H5" s="15" t="s">
        <v>9</v>
      </c>
      <c r="I5" s="3">
        <v>4</v>
      </c>
      <c r="J5" s="3"/>
      <c r="O5" t="s">
        <v>8</v>
      </c>
      <c r="P5" s="23">
        <v>24</v>
      </c>
      <c r="Q5" s="23"/>
      <c r="R5" s="24">
        <v>6</v>
      </c>
      <c r="S5" s="24">
        <v>6</v>
      </c>
      <c r="T5" s="24">
        <v>6</v>
      </c>
      <c r="U5" s="24">
        <v>6</v>
      </c>
      <c r="Y5" t="s">
        <v>7</v>
      </c>
      <c r="Z5">
        <v>117.4</v>
      </c>
      <c r="AB5">
        <v>3.66</v>
      </c>
      <c r="AC5">
        <v>29.920000000000005</v>
      </c>
      <c r="AD5">
        <v>34.120000000000005</v>
      </c>
      <c r="AE5">
        <v>24.769999999999996</v>
      </c>
      <c r="AF5">
        <v>24.93</v>
      </c>
    </row>
    <row r="6" spans="1:32" x14ac:dyDescent="0.3">
      <c r="A6" s="2" t="s">
        <v>29</v>
      </c>
      <c r="B6" s="15" t="s">
        <v>8</v>
      </c>
      <c r="C6" s="3">
        <v>2</v>
      </c>
      <c r="D6" s="3" t="s">
        <v>7</v>
      </c>
      <c r="E6" s="3">
        <v>1</v>
      </c>
      <c r="F6" s="3"/>
      <c r="G6" s="3"/>
      <c r="H6" s="3"/>
      <c r="I6" s="3"/>
      <c r="J6" s="3"/>
      <c r="O6" t="s">
        <v>7</v>
      </c>
      <c r="P6" s="23">
        <v>35</v>
      </c>
      <c r="Q6" s="23"/>
      <c r="R6" s="24">
        <v>8</v>
      </c>
      <c r="S6" s="24">
        <v>9</v>
      </c>
      <c r="T6" s="24">
        <v>9</v>
      </c>
      <c r="U6" s="24">
        <v>9</v>
      </c>
      <c r="Y6" t="s">
        <v>11</v>
      </c>
      <c r="Z6">
        <v>6.04</v>
      </c>
      <c r="AB6">
        <v>1.6199999999999999</v>
      </c>
      <c r="AC6">
        <v>4.42</v>
      </c>
      <c r="AD6">
        <v>0</v>
      </c>
      <c r="AE6">
        <v>0</v>
      </c>
      <c r="AF6">
        <v>0</v>
      </c>
    </row>
    <row r="7" spans="1:32" x14ac:dyDescent="0.3">
      <c r="A7" s="2"/>
      <c r="B7" s="3"/>
      <c r="C7" s="3"/>
      <c r="D7" s="3"/>
      <c r="E7" s="3"/>
      <c r="F7" s="3"/>
      <c r="G7" s="3"/>
      <c r="H7" s="3"/>
      <c r="I7" s="3"/>
      <c r="J7" s="3"/>
      <c r="O7"/>
      <c r="Y7" t="s">
        <v>1150</v>
      </c>
      <c r="Z7">
        <v>1.65</v>
      </c>
      <c r="AB7">
        <v>1.65</v>
      </c>
      <c r="AC7">
        <v>0</v>
      </c>
      <c r="AD7">
        <v>0</v>
      </c>
      <c r="AE7">
        <v>0</v>
      </c>
      <c r="AF7">
        <v>0</v>
      </c>
    </row>
    <row r="8" spans="1:32" x14ac:dyDescent="0.3">
      <c r="A8" s="2"/>
      <c r="B8" s="3"/>
      <c r="C8" s="3"/>
      <c r="D8" s="3"/>
      <c r="E8" s="3"/>
      <c r="F8" s="3"/>
      <c r="G8" s="3"/>
      <c r="H8" s="3"/>
      <c r="I8" s="3"/>
      <c r="J8" s="3"/>
      <c r="O8"/>
      <c r="Y8" t="s">
        <v>336</v>
      </c>
      <c r="Z8">
        <v>3.51</v>
      </c>
      <c r="AB8">
        <v>0</v>
      </c>
      <c r="AC8">
        <v>0</v>
      </c>
      <c r="AD8">
        <v>0</v>
      </c>
      <c r="AE8">
        <v>3.51</v>
      </c>
      <c r="AF8">
        <v>0</v>
      </c>
    </row>
    <row r="9" spans="1:32" x14ac:dyDescent="0.3">
      <c r="A9" s="2" t="s">
        <v>30</v>
      </c>
      <c r="B9" s="15" t="s">
        <v>11</v>
      </c>
      <c r="C9" s="3">
        <v>4</v>
      </c>
      <c r="D9" s="15" t="s">
        <v>10</v>
      </c>
      <c r="E9" s="3">
        <v>5</v>
      </c>
      <c r="F9" s="15" t="s">
        <v>9</v>
      </c>
      <c r="G9" s="3">
        <v>8</v>
      </c>
      <c r="H9" s="15" t="s">
        <v>8</v>
      </c>
      <c r="I9" s="3">
        <v>4</v>
      </c>
      <c r="J9" s="3" t="s">
        <v>7</v>
      </c>
      <c r="K9">
        <v>8</v>
      </c>
      <c r="O9"/>
      <c r="Y9" t="s">
        <v>375</v>
      </c>
      <c r="Z9">
        <v>0.45</v>
      </c>
      <c r="AB9">
        <v>0.45</v>
      </c>
      <c r="AC9">
        <v>0</v>
      </c>
      <c r="AD9">
        <v>0</v>
      </c>
      <c r="AE9">
        <v>0</v>
      </c>
      <c r="AF9">
        <v>0</v>
      </c>
    </row>
    <row r="10" spans="1:32" x14ac:dyDescent="0.3">
      <c r="A10" s="2" t="s">
        <v>30</v>
      </c>
      <c r="B10" s="15" t="s">
        <v>10</v>
      </c>
      <c r="C10" s="3">
        <v>2</v>
      </c>
      <c r="D10" s="15" t="s">
        <v>9</v>
      </c>
      <c r="E10" s="3">
        <v>2</v>
      </c>
      <c r="F10" s="3"/>
      <c r="G10" s="3"/>
      <c r="H10" s="15" t="s">
        <v>9</v>
      </c>
      <c r="I10" s="3">
        <v>4</v>
      </c>
      <c r="J10" s="3"/>
      <c r="O10"/>
      <c r="Y10" t="s">
        <v>2496</v>
      </c>
      <c r="Z10">
        <v>2.79</v>
      </c>
      <c r="AB10">
        <v>0</v>
      </c>
      <c r="AC10">
        <v>0</v>
      </c>
      <c r="AD10">
        <v>0</v>
      </c>
      <c r="AE10">
        <v>2.79</v>
      </c>
      <c r="AF10">
        <v>0</v>
      </c>
    </row>
    <row r="11" spans="1:32" x14ac:dyDescent="0.3">
      <c r="A11" s="2" t="s">
        <v>30</v>
      </c>
      <c r="B11" s="15" t="s">
        <v>8</v>
      </c>
      <c r="C11" s="3">
        <v>2</v>
      </c>
      <c r="D11" s="3" t="s">
        <v>7</v>
      </c>
      <c r="E11" s="3">
        <v>1</v>
      </c>
      <c r="F11" s="3"/>
      <c r="G11" s="3"/>
      <c r="H11" s="3"/>
      <c r="I11" s="3"/>
      <c r="J11" s="3"/>
      <c r="O11"/>
      <c r="Y11" t="s">
        <v>817</v>
      </c>
      <c r="Z11">
        <v>11.120000000000001</v>
      </c>
      <c r="AB11">
        <v>4.67</v>
      </c>
      <c r="AC11">
        <v>0</v>
      </c>
      <c r="AD11">
        <v>0</v>
      </c>
      <c r="AE11">
        <v>0</v>
      </c>
      <c r="AF11">
        <v>6.45</v>
      </c>
    </row>
    <row r="12" spans="1:32" x14ac:dyDescent="0.3">
      <c r="A12" s="2"/>
      <c r="B12" s="3"/>
      <c r="C12" s="3"/>
      <c r="D12" s="3"/>
      <c r="E12" s="3"/>
      <c r="F12" s="3"/>
      <c r="G12" s="3"/>
      <c r="H12" s="3"/>
      <c r="I12" s="3"/>
      <c r="J12" s="3"/>
      <c r="O12"/>
      <c r="Y12" t="s">
        <v>811</v>
      </c>
      <c r="Z12">
        <v>6.02</v>
      </c>
      <c r="AB12">
        <v>0</v>
      </c>
      <c r="AC12">
        <v>0</v>
      </c>
      <c r="AD12">
        <v>4.75</v>
      </c>
      <c r="AE12">
        <v>0</v>
      </c>
      <c r="AF12">
        <v>1.27</v>
      </c>
    </row>
    <row r="13" spans="1:32" x14ac:dyDescent="0.3">
      <c r="A13" s="2"/>
      <c r="B13" s="3"/>
      <c r="C13" s="3"/>
      <c r="D13" s="3"/>
      <c r="E13" s="3"/>
      <c r="F13" s="3"/>
      <c r="G13" s="3"/>
      <c r="H13" s="3"/>
      <c r="I13" s="3"/>
      <c r="J13" s="3"/>
      <c r="O13"/>
      <c r="Y13" t="s">
        <v>813</v>
      </c>
      <c r="Z13">
        <v>1.2</v>
      </c>
      <c r="AB13">
        <v>0</v>
      </c>
      <c r="AC13">
        <v>0</v>
      </c>
      <c r="AD13">
        <v>1.2</v>
      </c>
      <c r="AE13">
        <v>0</v>
      </c>
      <c r="AF13">
        <v>0</v>
      </c>
    </row>
    <row r="14" spans="1:32" x14ac:dyDescent="0.3">
      <c r="A14" s="2" t="s">
        <v>31</v>
      </c>
      <c r="B14" s="15" t="s">
        <v>11</v>
      </c>
      <c r="C14" s="3">
        <v>4</v>
      </c>
      <c r="D14" s="15" t="s">
        <v>10</v>
      </c>
      <c r="E14" s="3">
        <v>5</v>
      </c>
      <c r="F14" s="15" t="s">
        <v>9</v>
      </c>
      <c r="G14" s="3">
        <v>4</v>
      </c>
      <c r="H14" s="15" t="s">
        <v>8</v>
      </c>
      <c r="I14" s="3">
        <v>4</v>
      </c>
      <c r="J14" s="3" t="s">
        <v>7</v>
      </c>
      <c r="K14">
        <v>8</v>
      </c>
      <c r="O14"/>
      <c r="Y14" t="s">
        <v>770</v>
      </c>
      <c r="Z14">
        <v>0.73</v>
      </c>
      <c r="AB14">
        <v>0</v>
      </c>
      <c r="AC14">
        <v>0.73</v>
      </c>
      <c r="AD14">
        <v>0</v>
      </c>
      <c r="AE14">
        <v>0</v>
      </c>
      <c r="AF14">
        <v>0</v>
      </c>
    </row>
    <row r="15" spans="1:32" x14ac:dyDescent="0.3">
      <c r="A15" s="2" t="s">
        <v>31</v>
      </c>
      <c r="B15" s="15" t="s">
        <v>10</v>
      </c>
      <c r="C15" s="3">
        <v>2</v>
      </c>
      <c r="D15" s="15" t="s">
        <v>9</v>
      </c>
      <c r="E15" s="3">
        <v>2</v>
      </c>
      <c r="F15" s="3"/>
      <c r="G15" s="3"/>
      <c r="H15" s="15" t="s">
        <v>9</v>
      </c>
      <c r="I15" s="3">
        <v>4</v>
      </c>
      <c r="J15" s="3"/>
      <c r="O15"/>
      <c r="Y15" t="s">
        <v>898</v>
      </c>
      <c r="Z15">
        <v>9.49</v>
      </c>
      <c r="AB15">
        <v>3.8000000000000003</v>
      </c>
      <c r="AC15">
        <v>5.6899999999999995</v>
      </c>
      <c r="AD15">
        <v>0</v>
      </c>
      <c r="AE15">
        <v>0</v>
      </c>
      <c r="AF15">
        <v>0</v>
      </c>
    </row>
    <row r="16" spans="1:32" x14ac:dyDescent="0.3">
      <c r="A16" s="2" t="s">
        <v>31</v>
      </c>
      <c r="B16" s="15" t="s">
        <v>8</v>
      </c>
      <c r="C16" s="3">
        <v>2</v>
      </c>
      <c r="D16" s="3" t="s">
        <v>7</v>
      </c>
      <c r="E16" s="3">
        <v>1</v>
      </c>
      <c r="F16" s="3"/>
      <c r="G16" s="3"/>
      <c r="H16" s="3"/>
      <c r="I16" s="3"/>
      <c r="J16" s="3"/>
      <c r="O16"/>
      <c r="Y16" t="s">
        <v>563</v>
      </c>
      <c r="Z16">
        <v>3.63</v>
      </c>
      <c r="AB16">
        <v>0</v>
      </c>
      <c r="AC16">
        <v>0</v>
      </c>
      <c r="AD16">
        <v>0</v>
      </c>
      <c r="AE16">
        <v>3.63</v>
      </c>
      <c r="AF16">
        <v>0</v>
      </c>
    </row>
    <row r="17" spans="1:32" x14ac:dyDescent="0.3">
      <c r="A17" s="2"/>
      <c r="B17" s="3"/>
      <c r="C17" s="3"/>
      <c r="D17" s="3"/>
      <c r="E17" s="3"/>
      <c r="F17" s="3"/>
      <c r="G17" s="3"/>
      <c r="H17" s="3"/>
      <c r="I17" s="3"/>
      <c r="J17" s="3"/>
      <c r="O17"/>
      <c r="Y17" t="s">
        <v>646</v>
      </c>
      <c r="Z17">
        <v>0.17</v>
      </c>
      <c r="AB17">
        <v>0</v>
      </c>
      <c r="AC17">
        <v>0</v>
      </c>
      <c r="AD17">
        <v>0</v>
      </c>
      <c r="AE17">
        <v>0.17</v>
      </c>
      <c r="AF17">
        <v>0</v>
      </c>
    </row>
    <row r="18" spans="1:32" x14ac:dyDescent="0.3">
      <c r="A18" s="2"/>
      <c r="B18" s="3"/>
      <c r="C18" s="3"/>
      <c r="D18" s="3"/>
      <c r="E18" s="3"/>
      <c r="F18" s="3"/>
      <c r="G18" s="3"/>
      <c r="H18" s="3"/>
      <c r="I18" s="3"/>
      <c r="J18" s="3"/>
      <c r="O18"/>
      <c r="Y18" t="s">
        <v>654</v>
      </c>
      <c r="Z18">
        <v>0.13</v>
      </c>
      <c r="AB18">
        <v>0</v>
      </c>
      <c r="AC18">
        <v>0</v>
      </c>
      <c r="AD18">
        <v>0.13</v>
      </c>
      <c r="AE18">
        <v>0</v>
      </c>
      <c r="AF18">
        <v>0</v>
      </c>
    </row>
    <row r="19" spans="1:32" x14ac:dyDescent="0.3">
      <c r="A19" s="2" t="s">
        <v>32</v>
      </c>
      <c r="B19" s="15" t="s">
        <v>11</v>
      </c>
      <c r="C19" s="3">
        <v>4</v>
      </c>
      <c r="D19" s="15" t="s">
        <v>10</v>
      </c>
      <c r="E19" s="3">
        <v>5</v>
      </c>
      <c r="F19" s="15" t="s">
        <v>9</v>
      </c>
      <c r="G19" s="3">
        <v>8</v>
      </c>
      <c r="H19" s="15" t="s">
        <v>8</v>
      </c>
      <c r="I19" s="3">
        <v>4</v>
      </c>
      <c r="J19" s="3" t="s">
        <v>7</v>
      </c>
      <c r="K19">
        <v>8</v>
      </c>
      <c r="O19"/>
    </row>
    <row r="20" spans="1:32" x14ac:dyDescent="0.3">
      <c r="A20" s="2" t="s">
        <v>32</v>
      </c>
      <c r="B20" s="15" t="s">
        <v>10</v>
      </c>
      <c r="C20" s="3">
        <v>2</v>
      </c>
      <c r="D20" s="15" t="s">
        <v>9</v>
      </c>
      <c r="E20" s="3">
        <v>2</v>
      </c>
      <c r="F20" s="3"/>
      <c r="G20" s="3"/>
      <c r="H20" s="15" t="s">
        <v>9</v>
      </c>
      <c r="I20" s="3">
        <v>4</v>
      </c>
      <c r="J20" s="3"/>
      <c r="O20"/>
      <c r="P20" s="23"/>
      <c r="Q20" s="24"/>
      <c r="R20" s="24"/>
      <c r="S20" s="24"/>
      <c r="T20" s="24"/>
      <c r="U20" s="24"/>
    </row>
    <row r="21" spans="1:32" x14ac:dyDescent="0.3">
      <c r="A21" s="2" t="s">
        <v>32</v>
      </c>
      <c r="B21" s="15" t="s">
        <v>8</v>
      </c>
      <c r="C21" s="3">
        <v>2</v>
      </c>
      <c r="D21" s="3" t="s">
        <v>7</v>
      </c>
      <c r="E21" s="3">
        <v>1</v>
      </c>
      <c r="F21" s="3"/>
      <c r="G21" s="3"/>
      <c r="H21" s="3"/>
      <c r="I21" s="3"/>
      <c r="J21" s="3"/>
      <c r="O21"/>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c r="B24" s="3"/>
      <c r="C24" s="3"/>
      <c r="D24" s="3"/>
      <c r="E24" s="3"/>
      <c r="F24" s="3"/>
      <c r="G24" s="3"/>
      <c r="H24" s="3"/>
      <c r="I24" s="3"/>
      <c r="J24" s="3"/>
      <c r="O24"/>
    </row>
    <row r="25" spans="1:32" x14ac:dyDescent="0.3">
      <c r="A25" s="2"/>
      <c r="B25" s="3"/>
      <c r="C25" s="3"/>
      <c r="D25" s="3"/>
      <c r="E25" s="3"/>
      <c r="F25" s="3"/>
      <c r="G25" s="3"/>
      <c r="H25" s="3"/>
      <c r="I25" s="3"/>
      <c r="J25" s="3"/>
      <c r="O25" t="s">
        <v>744</v>
      </c>
      <c r="P25" s="17">
        <v>155</v>
      </c>
      <c r="R25">
        <v>39</v>
      </c>
      <c r="S25">
        <v>40</v>
      </c>
      <c r="T25">
        <v>36</v>
      </c>
      <c r="U25">
        <v>40</v>
      </c>
      <c r="Y25" t="s">
        <v>744</v>
      </c>
      <c r="Z25">
        <v>169.59999999999997</v>
      </c>
      <c r="AB25">
        <v>15.850000000000001</v>
      </c>
      <c r="AC25">
        <v>40.76</v>
      </c>
      <c r="AD25">
        <v>40.20000000000001</v>
      </c>
      <c r="AE25">
        <v>40.14</v>
      </c>
      <c r="AF25">
        <v>32.65</v>
      </c>
    </row>
    <row r="26" spans="1:32" x14ac:dyDescent="0.3">
      <c r="A26" s="2"/>
      <c r="B26" s="3"/>
      <c r="C26" s="3"/>
      <c r="D26" s="3"/>
      <c r="E26" s="3"/>
      <c r="F26" s="3"/>
      <c r="G26" s="3"/>
      <c r="H26" s="3"/>
      <c r="I26" s="3"/>
      <c r="J26" s="3"/>
      <c r="O26"/>
    </row>
    <row r="27" spans="1:32" x14ac:dyDescent="0.3">
      <c r="A27" s="3"/>
      <c r="B27" s="3"/>
      <c r="C27" s="3"/>
      <c r="D27" s="3"/>
      <c r="E27" s="3"/>
      <c r="F27" s="3"/>
      <c r="G27" s="3"/>
      <c r="H27" s="3"/>
      <c r="I27" s="3"/>
      <c r="J27" s="3"/>
      <c r="O27"/>
    </row>
    <row r="28" spans="1:32" x14ac:dyDescent="0.3">
      <c r="A28" s="3"/>
      <c r="B28" s="3"/>
      <c r="C28" s="3"/>
      <c r="D28" s="3"/>
      <c r="E28" s="3"/>
      <c r="F28" s="3"/>
      <c r="G28" s="3"/>
      <c r="H28" s="3"/>
      <c r="I28" s="3"/>
      <c r="J28" s="3"/>
      <c r="O28"/>
    </row>
    <row r="29" spans="1:32" x14ac:dyDescent="0.3">
      <c r="A29" s="3"/>
      <c r="B29" s="3"/>
      <c r="C29" s="3"/>
      <c r="D29" s="3"/>
      <c r="E29" s="3"/>
      <c r="F29" s="3"/>
      <c r="G29" s="3"/>
      <c r="H29" s="3"/>
      <c r="I29" s="3"/>
      <c r="J29" s="3"/>
      <c r="O29"/>
    </row>
    <row r="30" spans="1:32" x14ac:dyDescent="0.3">
      <c r="A30" s="3"/>
      <c r="B30" s="3"/>
      <c r="C30" s="3"/>
      <c r="D30" s="3"/>
      <c r="E30" s="3"/>
      <c r="F30" s="3"/>
      <c r="G30" s="3"/>
      <c r="H30" s="3"/>
      <c r="I30" s="3"/>
      <c r="J30" s="3"/>
      <c r="O30"/>
    </row>
    <row r="31" spans="1:32" x14ac:dyDescent="0.3">
      <c r="D31" s="3"/>
      <c r="F31" s="3"/>
      <c r="H31" s="3"/>
      <c r="J31" s="3"/>
      <c r="O31"/>
    </row>
    <row r="32" spans="1:32"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O2:O6 J4:J33 D4:D31 F4:F33 B4:B29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workbookViewId="0">
      <selection activeCell="AF6" sqref="AF6"/>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6" max="16" width="13.44140625" customWidth="1"/>
  </cols>
  <sheetData>
    <row r="1" spans="1:32" x14ac:dyDescent="0.3">
      <c r="A1" s="14" t="s">
        <v>20</v>
      </c>
      <c r="B1" s="14" t="s">
        <v>34</v>
      </c>
      <c r="C1" s="14"/>
      <c r="D1" s="14"/>
      <c r="E1" s="14"/>
      <c r="F1" s="14"/>
      <c r="G1" s="14"/>
      <c r="H1" s="14"/>
      <c r="I1" s="14"/>
      <c r="J1" s="14"/>
      <c r="K1" s="14"/>
      <c r="L1" s="1" t="s">
        <v>22</v>
      </c>
      <c r="M1" s="1" cm="1">
        <f t="array" ref="M1">SUM(C:C+E:E+G:G+I:I+K:K)</f>
        <v>160</v>
      </c>
      <c r="O1" s="18" t="s">
        <v>0</v>
      </c>
      <c r="P1" s="21" t="s">
        <v>23</v>
      </c>
      <c r="Q1" s="17"/>
      <c r="R1" s="17" t="s">
        <v>2</v>
      </c>
      <c r="S1" s="17" t="s">
        <v>3</v>
      </c>
      <c r="T1" s="17" t="s">
        <v>4</v>
      </c>
      <c r="U1" s="17" t="s">
        <v>5</v>
      </c>
      <c r="Y1" s="1" t="s">
        <v>0</v>
      </c>
      <c r="Z1" s="21" t="s">
        <v>4842</v>
      </c>
      <c r="AA1" s="17"/>
      <c r="AB1" s="17" t="s">
        <v>2</v>
      </c>
      <c r="AC1" s="17" t="s">
        <v>3</v>
      </c>
      <c r="AD1" s="17" t="s">
        <v>4</v>
      </c>
      <c r="AE1" s="17" t="s">
        <v>5</v>
      </c>
      <c r="AF1" s="17" t="s">
        <v>4524</v>
      </c>
    </row>
    <row r="2" spans="1:32" x14ac:dyDescent="0.3">
      <c r="A2" s="4"/>
      <c r="B2" s="4"/>
      <c r="C2" s="4"/>
      <c r="D2" s="4"/>
      <c r="E2" s="4"/>
      <c r="F2" s="4"/>
      <c r="G2" s="4"/>
      <c r="H2" s="4"/>
      <c r="I2" s="4"/>
      <c r="J2" s="4"/>
      <c r="K2" s="4"/>
      <c r="L2" s="1"/>
      <c r="M2" s="1"/>
      <c r="O2" t="s">
        <v>7</v>
      </c>
      <c r="P2" s="17">
        <v>160</v>
      </c>
      <c r="Q2" s="17"/>
      <c r="R2">
        <v>40</v>
      </c>
      <c r="S2">
        <v>40</v>
      </c>
      <c r="T2">
        <v>40</v>
      </c>
      <c r="U2">
        <v>40</v>
      </c>
      <c r="Y2" t="s">
        <v>7</v>
      </c>
      <c r="Z2">
        <v>168</v>
      </c>
      <c r="AB2">
        <v>16</v>
      </c>
      <c r="AC2">
        <v>40</v>
      </c>
      <c r="AD2">
        <v>40</v>
      </c>
      <c r="AE2">
        <v>40</v>
      </c>
      <c r="AF2">
        <v>32</v>
      </c>
    </row>
    <row r="3" spans="1:32" x14ac:dyDescent="0.3">
      <c r="A3" s="3"/>
      <c r="B3" s="2" t="s">
        <v>24</v>
      </c>
      <c r="C3" s="2"/>
      <c r="D3" s="2" t="s">
        <v>25</v>
      </c>
      <c r="E3" s="2"/>
      <c r="F3" s="2" t="s">
        <v>26</v>
      </c>
      <c r="G3" s="2"/>
      <c r="H3" s="2" t="s">
        <v>27</v>
      </c>
      <c r="I3" s="2"/>
      <c r="J3" s="2" t="s">
        <v>28</v>
      </c>
      <c r="P3" s="17"/>
      <c r="Q3" s="17"/>
    </row>
    <row r="4" spans="1:32" x14ac:dyDescent="0.3">
      <c r="A4" s="2" t="s">
        <v>29</v>
      </c>
      <c r="B4" s="3" t="s">
        <v>7</v>
      </c>
      <c r="C4" s="3">
        <v>8</v>
      </c>
      <c r="D4" s="3" t="s">
        <v>7</v>
      </c>
      <c r="E4" s="3">
        <v>8</v>
      </c>
      <c r="F4" s="3" t="s">
        <v>7</v>
      </c>
      <c r="G4" s="3">
        <v>8</v>
      </c>
      <c r="H4" s="3" t="s">
        <v>7</v>
      </c>
      <c r="I4" s="3">
        <v>8</v>
      </c>
      <c r="J4" s="3" t="s">
        <v>7</v>
      </c>
      <c r="K4">
        <v>8</v>
      </c>
      <c r="P4" s="17"/>
      <c r="Q4" s="17"/>
    </row>
    <row r="5" spans="1:32" x14ac:dyDescent="0.3">
      <c r="A5" s="2"/>
      <c r="B5" s="3"/>
      <c r="C5" s="3"/>
      <c r="D5" s="3"/>
      <c r="E5" s="3"/>
      <c r="F5" s="3"/>
      <c r="G5" s="3"/>
      <c r="H5" s="3"/>
      <c r="I5" s="3"/>
      <c r="J5" s="3"/>
      <c r="P5" s="17"/>
      <c r="Q5" s="17"/>
    </row>
    <row r="6" spans="1:32" x14ac:dyDescent="0.3">
      <c r="A6" s="2"/>
      <c r="B6" s="3"/>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v>
      </c>
      <c r="C9" s="3">
        <v>8</v>
      </c>
      <c r="D9" s="3" t="s">
        <v>7</v>
      </c>
      <c r="E9" s="3">
        <v>8</v>
      </c>
      <c r="F9" s="3" t="s">
        <v>7</v>
      </c>
      <c r="G9" s="3">
        <v>8</v>
      </c>
      <c r="H9" s="3" t="s">
        <v>7</v>
      </c>
      <c r="I9" s="3">
        <v>8</v>
      </c>
      <c r="J9" s="3" t="s">
        <v>7</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3" t="s">
        <v>7</v>
      </c>
      <c r="C14" s="3">
        <v>8</v>
      </c>
      <c r="D14" s="3" t="s">
        <v>7</v>
      </c>
      <c r="E14" s="3">
        <v>8</v>
      </c>
      <c r="F14" s="3" t="s">
        <v>7</v>
      </c>
      <c r="G14" s="3">
        <v>8</v>
      </c>
      <c r="H14" s="3" t="s">
        <v>7</v>
      </c>
      <c r="I14" s="3">
        <v>8</v>
      </c>
      <c r="J14" s="3" t="s">
        <v>7</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3" t="s">
        <v>7</v>
      </c>
      <c r="C19" s="3">
        <v>8</v>
      </c>
      <c r="D19" s="3" t="s">
        <v>7</v>
      </c>
      <c r="E19" s="3">
        <v>8</v>
      </c>
      <c r="F19" s="3" t="s">
        <v>7</v>
      </c>
      <c r="G19" s="3">
        <v>8</v>
      </c>
      <c r="H19" s="3" t="s">
        <v>7</v>
      </c>
      <c r="I19" s="3">
        <v>8</v>
      </c>
      <c r="J19" s="3" t="s">
        <v>7</v>
      </c>
      <c r="K19">
        <v>8</v>
      </c>
    </row>
    <row r="20" spans="1:32" x14ac:dyDescent="0.3">
      <c r="A20" s="2"/>
      <c r="B20" s="3"/>
      <c r="C20" s="3"/>
      <c r="D20" s="3"/>
      <c r="E20" s="3"/>
      <c r="F20" s="3"/>
      <c r="G20" s="3"/>
      <c r="H20" s="3"/>
      <c r="I20" s="3"/>
      <c r="J20" s="3"/>
    </row>
    <row r="21" spans="1:32" x14ac:dyDescent="0.3">
      <c r="A21" s="2"/>
      <c r="B21" s="3"/>
      <c r="C21" s="3"/>
      <c r="D21" s="3"/>
      <c r="E21" s="3"/>
      <c r="F21" s="3"/>
      <c r="G21" s="3"/>
      <c r="H21" s="3"/>
      <c r="I21" s="3"/>
      <c r="J21" s="3"/>
    </row>
    <row r="22" spans="1:32" x14ac:dyDescent="0.3">
      <c r="A22" s="2"/>
      <c r="B22" s="3"/>
      <c r="C22" s="3"/>
      <c r="D22" s="3"/>
      <c r="E22" s="3"/>
      <c r="F22" s="3"/>
      <c r="G22" s="3"/>
      <c r="H22" s="3"/>
      <c r="I22" s="3"/>
      <c r="J22" s="3"/>
    </row>
    <row r="23" spans="1:32" x14ac:dyDescent="0.3">
      <c r="A23" s="2"/>
      <c r="B23" s="3"/>
      <c r="C23" s="3"/>
      <c r="D23" s="3"/>
      <c r="E23" s="3"/>
      <c r="F23" s="3"/>
      <c r="G23" s="3"/>
      <c r="H23" s="3"/>
      <c r="I23" s="3"/>
      <c r="J23" s="3"/>
    </row>
    <row r="24" spans="1:32" x14ac:dyDescent="0.3">
      <c r="A24" s="2"/>
      <c r="B24" s="3"/>
      <c r="C24" s="3"/>
      <c r="D24" s="3"/>
      <c r="E24" s="3"/>
      <c r="F24" s="3"/>
      <c r="G24" s="3"/>
      <c r="H24" s="3"/>
      <c r="I24" s="3"/>
      <c r="J24" s="3"/>
    </row>
    <row r="25" spans="1:32" x14ac:dyDescent="0.3">
      <c r="A25" s="2"/>
      <c r="B25" s="3"/>
      <c r="C25" s="3"/>
      <c r="D25" s="3"/>
      <c r="E25" s="3"/>
      <c r="F25" s="3"/>
      <c r="G25" s="3"/>
      <c r="H25" s="3"/>
      <c r="I25" s="3"/>
      <c r="J25" s="3"/>
      <c r="O25" t="s">
        <v>744</v>
      </c>
      <c r="P25">
        <v>160</v>
      </c>
      <c r="R25">
        <v>40</v>
      </c>
      <c r="S25">
        <v>40</v>
      </c>
      <c r="T25">
        <v>40</v>
      </c>
      <c r="U25">
        <v>40</v>
      </c>
      <c r="Y25" t="s">
        <v>744</v>
      </c>
      <c r="Z25">
        <v>168</v>
      </c>
      <c r="AB25">
        <v>16</v>
      </c>
      <c r="AC25">
        <v>40</v>
      </c>
      <c r="AD25">
        <v>40</v>
      </c>
      <c r="AE25">
        <v>40</v>
      </c>
      <c r="AF25">
        <v>32</v>
      </c>
    </row>
    <row r="26" spans="1:32" x14ac:dyDescent="0.3">
      <c r="A26" s="2"/>
      <c r="B26" s="3"/>
      <c r="C26" s="3"/>
      <c r="D26" s="3"/>
      <c r="E26" s="3"/>
      <c r="F26" s="3"/>
      <c r="G26" s="3"/>
      <c r="H26" s="3"/>
      <c r="I26" s="3"/>
      <c r="J26" s="3"/>
    </row>
    <row r="27" spans="1:32" x14ac:dyDescent="0.3">
      <c r="A27" s="3"/>
      <c r="B27" s="3"/>
      <c r="C27" s="3"/>
      <c r="D27" s="3"/>
      <c r="E27" s="3"/>
      <c r="F27" s="3"/>
      <c r="G27" s="3"/>
      <c r="H27" s="3"/>
      <c r="I27" s="3"/>
      <c r="J27" s="3"/>
    </row>
    <row r="28" spans="1:32" x14ac:dyDescent="0.3">
      <c r="A28" s="3"/>
      <c r="B28" s="3"/>
      <c r="C28" s="3"/>
      <c r="D28" s="3"/>
      <c r="E28" s="3"/>
      <c r="F28" s="3"/>
      <c r="G28" s="3"/>
      <c r="H28" s="3"/>
      <c r="I28" s="3"/>
      <c r="J28" s="3"/>
    </row>
    <row r="29" spans="1:32" x14ac:dyDescent="0.3">
      <c r="A29" s="3"/>
      <c r="B29" s="3"/>
      <c r="C29" s="3"/>
      <c r="D29" s="3"/>
      <c r="E29" s="3"/>
      <c r="F29" s="3"/>
      <c r="G29" s="3"/>
      <c r="H29" s="3"/>
      <c r="I29" s="3"/>
      <c r="J29" s="3"/>
    </row>
    <row r="30" spans="1:32" x14ac:dyDescent="0.3">
      <c r="A30" s="3"/>
      <c r="B30" s="3"/>
      <c r="C30" s="3"/>
      <c r="D30" s="3"/>
      <c r="E30" s="3"/>
      <c r="F30" s="3"/>
      <c r="G30" s="3"/>
      <c r="H30" s="3"/>
      <c r="I30" s="3"/>
      <c r="J30" s="3"/>
    </row>
    <row r="31" spans="1:32" x14ac:dyDescent="0.3">
      <c r="D31" s="3"/>
      <c r="F31" s="3"/>
      <c r="H31" s="3"/>
      <c r="J31" s="3"/>
    </row>
    <row r="32" spans="1:32"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O2:O6 F4:F33 H4:H37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916"/>
  <sheetViews>
    <sheetView topLeftCell="A759" workbookViewId="0">
      <selection activeCell="A772" sqref="A772:A912"/>
    </sheetView>
  </sheetViews>
  <sheetFormatPr defaultRowHeight="14.4" x14ac:dyDescent="0.3"/>
  <cols>
    <col min="1" max="1" width="38.6640625" style="10" customWidth="1"/>
    <col min="4" max="4" width="8.88671875" customWidth="1"/>
  </cols>
  <sheetData>
    <row r="1" spans="1:1" x14ac:dyDescent="0.3">
      <c r="A1" s="9" t="s">
        <v>35</v>
      </c>
    </row>
    <row r="2" spans="1:1" x14ac:dyDescent="0.3">
      <c r="A2" s="10" t="s">
        <v>37</v>
      </c>
    </row>
    <row r="3" spans="1:1" x14ac:dyDescent="0.3">
      <c r="A3" s="10" t="s">
        <v>38</v>
      </c>
    </row>
    <row r="4" spans="1:1" x14ac:dyDescent="0.3">
      <c r="A4" t="s">
        <v>2525</v>
      </c>
    </row>
    <row r="5" spans="1:1" x14ac:dyDescent="0.3">
      <c r="A5" t="s">
        <v>827</v>
      </c>
    </row>
    <row r="6" spans="1:1" x14ac:dyDescent="0.3">
      <c r="A6" s="31" t="s">
        <v>40</v>
      </c>
    </row>
    <row r="7" spans="1:1" x14ac:dyDescent="0.3">
      <c r="A7" s="6" t="s">
        <v>39</v>
      </c>
    </row>
    <row r="8" spans="1:1" x14ac:dyDescent="0.3">
      <c r="A8" s="5" t="s">
        <v>42</v>
      </c>
    </row>
    <row r="9" spans="1:1" x14ac:dyDescent="0.3">
      <c r="A9" s="31" t="s">
        <v>43</v>
      </c>
    </row>
    <row r="10" spans="1:1" x14ac:dyDescent="0.3">
      <c r="A10" s="6" t="s">
        <v>45</v>
      </c>
    </row>
    <row r="11" spans="1:1" x14ac:dyDescent="0.3">
      <c r="A11" s="5" t="s">
        <v>46</v>
      </c>
    </row>
    <row r="12" spans="1:1" x14ac:dyDescent="0.3">
      <c r="A12" s="5" t="s">
        <v>47</v>
      </c>
    </row>
    <row r="13" spans="1:1" x14ac:dyDescent="0.3">
      <c r="A13" s="5" t="s">
        <v>49</v>
      </c>
    </row>
    <row r="14" spans="1:1" x14ac:dyDescent="0.3">
      <c r="A14" s="5" t="s">
        <v>50</v>
      </c>
    </row>
    <row r="15" spans="1:1" x14ac:dyDescent="0.3">
      <c r="A15" s="5" t="s">
        <v>36</v>
      </c>
    </row>
    <row r="16" spans="1:1" x14ac:dyDescent="0.3">
      <c r="A16" s="5" t="s">
        <v>716</v>
      </c>
    </row>
    <row r="17" spans="1:1" x14ac:dyDescent="0.3">
      <c r="A17" s="5" t="s">
        <v>711</v>
      </c>
    </row>
    <row r="18" spans="1:1" x14ac:dyDescent="0.3">
      <c r="A18" s="5" t="s">
        <v>714</v>
      </c>
    </row>
    <row r="19" spans="1:1" x14ac:dyDescent="0.3">
      <c r="A19" s="5" t="s">
        <v>715</v>
      </c>
    </row>
    <row r="20" spans="1:1" x14ac:dyDescent="0.3">
      <c r="A20" s="5" t="s">
        <v>713</v>
      </c>
    </row>
    <row r="21" spans="1:1" x14ac:dyDescent="0.3">
      <c r="A21" s="5" t="s">
        <v>51</v>
      </c>
    </row>
    <row r="22" spans="1:1" x14ac:dyDescent="0.3">
      <c r="A22" s="38" t="s">
        <v>845</v>
      </c>
    </row>
    <row r="23" spans="1:1" x14ac:dyDescent="0.3">
      <c r="A23" s="6" t="s">
        <v>52</v>
      </c>
    </row>
    <row r="24" spans="1:1" x14ac:dyDescent="0.3">
      <c r="A24" s="10" t="s">
        <v>53</v>
      </c>
    </row>
    <row r="25" spans="1:1" x14ac:dyDescent="0.3">
      <c r="A25" s="5" t="s">
        <v>54</v>
      </c>
    </row>
    <row r="26" spans="1:1" x14ac:dyDescent="0.3">
      <c r="A26" s="5" t="s">
        <v>55</v>
      </c>
    </row>
    <row r="27" spans="1:1" x14ac:dyDescent="0.3">
      <c r="A27" s="10" t="s">
        <v>57</v>
      </c>
    </row>
    <row r="28" spans="1:1" x14ac:dyDescent="0.3">
      <c r="A28" s="5" t="s">
        <v>58</v>
      </c>
    </row>
    <row r="29" spans="1:1" x14ac:dyDescent="0.3">
      <c r="A29" t="s">
        <v>790</v>
      </c>
    </row>
    <row r="30" spans="1:1" x14ac:dyDescent="0.3">
      <c r="A30" s="5" t="s">
        <v>59</v>
      </c>
    </row>
    <row r="31" spans="1:1" x14ac:dyDescent="0.3">
      <c r="A31" s="10" t="s">
        <v>61</v>
      </c>
    </row>
    <row r="32" spans="1:1" x14ac:dyDescent="0.3">
      <c r="A32" s="5" t="s">
        <v>63</v>
      </c>
    </row>
    <row r="33" spans="1:1" x14ac:dyDescent="0.3">
      <c r="A33" s="5" t="s">
        <v>64</v>
      </c>
    </row>
    <row r="34" spans="1:1" x14ac:dyDescent="0.3">
      <c r="A34" t="s">
        <v>2792</v>
      </c>
    </row>
    <row r="35" spans="1:1" x14ac:dyDescent="0.3">
      <c r="A35" s="5" t="s">
        <v>66</v>
      </c>
    </row>
    <row r="36" spans="1:1" x14ac:dyDescent="0.3">
      <c r="A36" s="5" t="s">
        <v>67</v>
      </c>
    </row>
    <row r="37" spans="1:1" x14ac:dyDescent="0.3">
      <c r="A37" s="7" t="s">
        <v>68</v>
      </c>
    </row>
    <row r="38" spans="1:1" x14ac:dyDescent="0.3">
      <c r="A38" s="5" t="s">
        <v>69</v>
      </c>
    </row>
    <row r="39" spans="1:1" x14ac:dyDescent="0.3">
      <c r="A39" s="10" t="s">
        <v>70</v>
      </c>
    </row>
    <row r="40" spans="1:1" x14ac:dyDescent="0.3">
      <c r="A40" s="5" t="s">
        <v>71</v>
      </c>
    </row>
    <row r="41" spans="1:1" x14ac:dyDescent="0.3">
      <c r="A41" s="5" t="s">
        <v>72</v>
      </c>
    </row>
    <row r="42" spans="1:1" x14ac:dyDescent="0.3">
      <c r="A42" s="7" t="s">
        <v>74</v>
      </c>
    </row>
    <row r="43" spans="1:1" x14ac:dyDescent="0.3">
      <c r="A43" s="5" t="s">
        <v>75</v>
      </c>
    </row>
    <row r="44" spans="1:1" x14ac:dyDescent="0.3">
      <c r="A44" s="12" t="s">
        <v>76</v>
      </c>
    </row>
    <row r="45" spans="1:1" x14ac:dyDescent="0.3">
      <c r="A45" s="5" t="s">
        <v>77</v>
      </c>
    </row>
    <row r="46" spans="1:1" x14ac:dyDescent="0.3">
      <c r="A46" s="5" t="s">
        <v>78</v>
      </c>
    </row>
    <row r="47" spans="1:1" x14ac:dyDescent="0.3">
      <c r="A47" s="5" t="s">
        <v>79</v>
      </c>
    </row>
    <row r="48" spans="1:1" x14ac:dyDescent="0.3">
      <c r="A48" s="10" t="s">
        <v>80</v>
      </c>
    </row>
    <row r="49" spans="1:1" x14ac:dyDescent="0.3">
      <c r="A49" s="5" t="s">
        <v>81</v>
      </c>
    </row>
    <row r="50" spans="1:1" x14ac:dyDescent="0.3">
      <c r="A50" s="5" t="s">
        <v>82</v>
      </c>
    </row>
    <row r="51" spans="1:1" x14ac:dyDescent="0.3">
      <c r="A51" s="5" t="s">
        <v>83</v>
      </c>
    </row>
    <row r="52" spans="1:1" x14ac:dyDescent="0.3">
      <c r="A52" s="5" t="s">
        <v>84</v>
      </c>
    </row>
    <row r="53" spans="1:1" x14ac:dyDescent="0.3">
      <c r="A53" t="s">
        <v>1631</v>
      </c>
    </row>
    <row r="54" spans="1:1" x14ac:dyDescent="0.3">
      <c r="A54" s="5" t="s">
        <v>85</v>
      </c>
    </row>
    <row r="55" spans="1:1" x14ac:dyDescent="0.3">
      <c r="A55" s="5" t="s">
        <v>86</v>
      </c>
    </row>
    <row r="56" spans="1:1" x14ac:dyDescent="0.3">
      <c r="A56" s="5" t="s">
        <v>87</v>
      </c>
    </row>
    <row r="57" spans="1:1" x14ac:dyDescent="0.3">
      <c r="A57" s="5" t="s">
        <v>88</v>
      </c>
    </row>
    <row r="58" spans="1:1" x14ac:dyDescent="0.3">
      <c r="A58" s="12" t="s">
        <v>89</v>
      </c>
    </row>
    <row r="59" spans="1:1" x14ac:dyDescent="0.3">
      <c r="A59" s="5" t="s">
        <v>90</v>
      </c>
    </row>
    <row r="60" spans="1:1" x14ac:dyDescent="0.3">
      <c r="A60" s="10" t="s">
        <v>91</v>
      </c>
    </row>
    <row r="61" spans="1:1" x14ac:dyDescent="0.3">
      <c r="A61" s="5" t="s">
        <v>92</v>
      </c>
    </row>
    <row r="62" spans="1:1" x14ac:dyDescent="0.3">
      <c r="A62" s="7" t="s">
        <v>93</v>
      </c>
    </row>
    <row r="63" spans="1:1" x14ac:dyDescent="0.3">
      <c r="A63" s="5" t="s">
        <v>94</v>
      </c>
    </row>
    <row r="64" spans="1:1" x14ac:dyDescent="0.3">
      <c r="A64" t="s">
        <v>1438</v>
      </c>
    </row>
    <row r="65" spans="1:1" x14ac:dyDescent="0.3">
      <c r="A65" s="10" t="s">
        <v>95</v>
      </c>
    </row>
    <row r="66" spans="1:1" x14ac:dyDescent="0.3">
      <c r="A66" s="5" t="s">
        <v>96</v>
      </c>
    </row>
    <row r="67" spans="1:1" x14ac:dyDescent="0.3">
      <c r="A67" s="5" t="s">
        <v>97</v>
      </c>
    </row>
    <row r="68" spans="1:1" x14ac:dyDescent="0.3">
      <c r="A68" s="5" t="s">
        <v>99</v>
      </c>
    </row>
    <row r="69" spans="1:1" x14ac:dyDescent="0.3">
      <c r="A69" s="5" t="s">
        <v>100</v>
      </c>
    </row>
    <row r="70" spans="1:1" x14ac:dyDescent="0.3">
      <c r="A70" t="s">
        <v>964</v>
      </c>
    </row>
    <row r="71" spans="1:1" x14ac:dyDescent="0.3">
      <c r="A71" t="s">
        <v>1709</v>
      </c>
    </row>
    <row r="72" spans="1:1" x14ac:dyDescent="0.3">
      <c r="A72" s="5" t="s">
        <v>101</v>
      </c>
    </row>
    <row r="73" spans="1:1" x14ac:dyDescent="0.3">
      <c r="A73" s="5" t="s">
        <v>102</v>
      </c>
    </row>
    <row r="74" spans="1:1" x14ac:dyDescent="0.3">
      <c r="A74" s="5" t="s">
        <v>103</v>
      </c>
    </row>
    <row r="75" spans="1:1" x14ac:dyDescent="0.3">
      <c r="A75" s="10" t="s">
        <v>104</v>
      </c>
    </row>
    <row r="76" spans="1:1" x14ac:dyDescent="0.3">
      <c r="A76" s="5" t="s">
        <v>105</v>
      </c>
    </row>
    <row r="77" spans="1:1" x14ac:dyDescent="0.3">
      <c r="A77" s="5" t="s">
        <v>106</v>
      </c>
    </row>
    <row r="78" spans="1:1" x14ac:dyDescent="0.3">
      <c r="A78" s="5" t="s">
        <v>107</v>
      </c>
    </row>
    <row r="79" spans="1:1" x14ac:dyDescent="0.3">
      <c r="A79" s="5" t="s">
        <v>108</v>
      </c>
    </row>
    <row r="80" spans="1:1" x14ac:dyDescent="0.3">
      <c r="A80" s="5" t="s">
        <v>109</v>
      </c>
    </row>
    <row r="81" spans="1:1" x14ac:dyDescent="0.3">
      <c r="A81" s="5" t="s">
        <v>110</v>
      </c>
    </row>
    <row r="82" spans="1:1" x14ac:dyDescent="0.3">
      <c r="A82" s="5" t="s">
        <v>111</v>
      </c>
    </row>
    <row r="83" spans="1:1" x14ac:dyDescent="0.3">
      <c r="A83" s="5" t="s">
        <v>112</v>
      </c>
    </row>
    <row r="84" spans="1:1" x14ac:dyDescent="0.3">
      <c r="A84" t="s">
        <v>978</v>
      </c>
    </row>
    <row r="85" spans="1:1" x14ac:dyDescent="0.3">
      <c r="A85" s="10" t="s">
        <v>113</v>
      </c>
    </row>
    <row r="86" spans="1:1" x14ac:dyDescent="0.3">
      <c r="A86" s="31" t="s">
        <v>114</v>
      </c>
    </row>
    <row r="87" spans="1:1" x14ac:dyDescent="0.3">
      <c r="A87" s="6" t="s">
        <v>115</v>
      </c>
    </row>
    <row r="88" spans="1:1" x14ac:dyDescent="0.3">
      <c r="A88" s="10" t="s">
        <v>116</v>
      </c>
    </row>
    <row r="89" spans="1:1" x14ac:dyDescent="0.3">
      <c r="A89" s="5" t="s">
        <v>117</v>
      </c>
    </row>
    <row r="90" spans="1:1" x14ac:dyDescent="0.3">
      <c r="A90" s="10" t="s">
        <v>118</v>
      </c>
    </row>
    <row r="91" spans="1:1" x14ac:dyDescent="0.3">
      <c r="A91" s="7" t="s">
        <v>119</v>
      </c>
    </row>
    <row r="92" spans="1:1" x14ac:dyDescent="0.3">
      <c r="A92" s="5" t="s">
        <v>121</v>
      </c>
    </row>
    <row r="93" spans="1:1" x14ac:dyDescent="0.3">
      <c r="A93" s="12" t="s">
        <v>122</v>
      </c>
    </row>
    <row r="94" spans="1:1" x14ac:dyDescent="0.3">
      <c r="A94" s="5" t="s">
        <v>125</v>
      </c>
    </row>
    <row r="95" spans="1:1" x14ac:dyDescent="0.3">
      <c r="A95" s="5" t="s">
        <v>706</v>
      </c>
    </row>
    <row r="96" spans="1:1" x14ac:dyDescent="0.3">
      <c r="A96" s="10" t="s">
        <v>126</v>
      </c>
    </row>
    <row r="97" spans="1:1" x14ac:dyDescent="0.3">
      <c r="A97" s="10" t="s">
        <v>127</v>
      </c>
    </row>
    <row r="98" spans="1:1" x14ac:dyDescent="0.3">
      <c r="A98" s="5" t="s">
        <v>128</v>
      </c>
    </row>
    <row r="99" spans="1:1" x14ac:dyDescent="0.3">
      <c r="A99" t="s">
        <v>903</v>
      </c>
    </row>
    <row r="100" spans="1:1" x14ac:dyDescent="0.3">
      <c r="A100" s="5" t="s">
        <v>129</v>
      </c>
    </row>
    <row r="101" spans="1:1" x14ac:dyDescent="0.3">
      <c r="A101" s="5" t="s">
        <v>130</v>
      </c>
    </row>
    <row r="102" spans="1:1" x14ac:dyDescent="0.3">
      <c r="A102" s="5" t="s">
        <v>131</v>
      </c>
    </row>
    <row r="103" spans="1:1" x14ac:dyDescent="0.3">
      <c r="A103" s="10" t="s">
        <v>132</v>
      </c>
    </row>
    <row r="104" spans="1:1" x14ac:dyDescent="0.3">
      <c r="A104" s="5" t="s">
        <v>133</v>
      </c>
    </row>
    <row r="105" spans="1:1" x14ac:dyDescent="0.3">
      <c r="A105" s="5" t="s">
        <v>134</v>
      </c>
    </row>
    <row r="106" spans="1:1" x14ac:dyDescent="0.3">
      <c r="A106" s="5" t="s">
        <v>135</v>
      </c>
    </row>
    <row r="107" spans="1:1" x14ac:dyDescent="0.3">
      <c r="A107" s="5" t="s">
        <v>136</v>
      </c>
    </row>
    <row r="108" spans="1:1" x14ac:dyDescent="0.3">
      <c r="A108" s="5" t="s">
        <v>137</v>
      </c>
    </row>
    <row r="109" spans="1:1" x14ac:dyDescent="0.3">
      <c r="A109" s="5" t="s">
        <v>730</v>
      </c>
    </row>
    <row r="110" spans="1:1" x14ac:dyDescent="0.3">
      <c r="A110" s="10" t="s">
        <v>138</v>
      </c>
    </row>
    <row r="111" spans="1:1" x14ac:dyDescent="0.3">
      <c r="A111" s="5" t="s">
        <v>139</v>
      </c>
    </row>
    <row r="112" spans="1:1" x14ac:dyDescent="0.3">
      <c r="A112" t="s">
        <v>4201</v>
      </c>
    </row>
    <row r="113" spans="1:1" x14ac:dyDescent="0.3">
      <c r="A113" t="s">
        <v>1084</v>
      </c>
    </row>
    <row r="114" spans="1:1" x14ac:dyDescent="0.3">
      <c r="A114" t="s">
        <v>1096</v>
      </c>
    </row>
    <row r="115" spans="1:1" x14ac:dyDescent="0.3">
      <c r="A115" s="5" t="s">
        <v>140</v>
      </c>
    </row>
    <row r="116" spans="1:1" x14ac:dyDescent="0.3">
      <c r="A116" s="5" t="s">
        <v>141</v>
      </c>
    </row>
    <row r="117" spans="1:1" x14ac:dyDescent="0.3">
      <c r="A117" s="10" t="s">
        <v>142</v>
      </c>
    </row>
    <row r="118" spans="1:1" x14ac:dyDescent="0.3">
      <c r="A118" s="5" t="s">
        <v>143</v>
      </c>
    </row>
    <row r="119" spans="1:1" x14ac:dyDescent="0.3">
      <c r="A119" s="10" t="s">
        <v>144</v>
      </c>
    </row>
    <row r="120" spans="1:1" x14ac:dyDescent="0.3">
      <c r="A120" s="10" t="s">
        <v>145</v>
      </c>
    </row>
    <row r="121" spans="1:1" x14ac:dyDescent="0.3">
      <c r="A121" s="5" t="s">
        <v>146</v>
      </c>
    </row>
    <row r="122" spans="1:1" x14ac:dyDescent="0.3">
      <c r="A122" s="5" t="s">
        <v>147</v>
      </c>
    </row>
    <row r="123" spans="1:1" x14ac:dyDescent="0.3">
      <c r="A123" s="5" t="s">
        <v>149</v>
      </c>
    </row>
    <row r="124" spans="1:1" x14ac:dyDescent="0.3">
      <c r="A124" s="5" t="s">
        <v>98</v>
      </c>
    </row>
    <row r="125" spans="1:1" x14ac:dyDescent="0.3">
      <c r="A125" s="5" t="s">
        <v>150</v>
      </c>
    </row>
    <row r="126" spans="1:1" x14ac:dyDescent="0.3">
      <c r="A126" s="5" t="s">
        <v>151</v>
      </c>
    </row>
    <row r="127" spans="1:1" x14ac:dyDescent="0.3">
      <c r="A127" s="5" t="s">
        <v>152</v>
      </c>
    </row>
    <row r="128" spans="1:1" x14ac:dyDescent="0.3">
      <c r="A128" s="5" t="s">
        <v>153</v>
      </c>
    </row>
    <row r="129" spans="1:1" x14ac:dyDescent="0.3">
      <c r="A129" t="s">
        <v>1543</v>
      </c>
    </row>
    <row r="130" spans="1:1" x14ac:dyDescent="0.3">
      <c r="A130" s="5" t="s">
        <v>154</v>
      </c>
    </row>
    <row r="131" spans="1:1" x14ac:dyDescent="0.3">
      <c r="A131" t="s">
        <v>2604</v>
      </c>
    </row>
    <row r="132" spans="1:1" x14ac:dyDescent="0.3">
      <c r="A132" s="7" t="s">
        <v>155</v>
      </c>
    </row>
    <row r="133" spans="1:1" x14ac:dyDescent="0.3">
      <c r="A133" s="7" t="s">
        <v>156</v>
      </c>
    </row>
    <row r="134" spans="1:1" x14ac:dyDescent="0.3">
      <c r="A134" s="5" t="s">
        <v>157</v>
      </c>
    </row>
    <row r="135" spans="1:1" x14ac:dyDescent="0.3">
      <c r="A135" s="5" t="s">
        <v>158</v>
      </c>
    </row>
    <row r="136" spans="1:1" x14ac:dyDescent="0.3">
      <c r="A136" s="5" t="s">
        <v>160</v>
      </c>
    </row>
    <row r="137" spans="1:1" x14ac:dyDescent="0.3">
      <c r="A137" s="5" t="s">
        <v>161</v>
      </c>
    </row>
    <row r="138" spans="1:1" x14ac:dyDescent="0.3">
      <c r="A138" s="10" t="s">
        <v>164</v>
      </c>
    </row>
    <row r="139" spans="1:1" x14ac:dyDescent="0.3">
      <c r="A139" s="5" t="s">
        <v>165</v>
      </c>
    </row>
    <row r="140" spans="1:1" x14ac:dyDescent="0.3">
      <c r="A140" s="5" t="s">
        <v>166</v>
      </c>
    </row>
    <row r="141" spans="1:1" x14ac:dyDescent="0.3">
      <c r="A141" s="5" t="s">
        <v>167</v>
      </c>
    </row>
    <row r="142" spans="1:1" x14ac:dyDescent="0.3">
      <c r="A142" s="5" t="s">
        <v>727</v>
      </c>
    </row>
    <row r="143" spans="1:1" x14ac:dyDescent="0.3">
      <c r="A143" s="5" t="s">
        <v>168</v>
      </c>
    </row>
    <row r="144" spans="1:1" x14ac:dyDescent="0.3">
      <c r="A144" s="5" t="s">
        <v>169</v>
      </c>
    </row>
    <row r="145" spans="1:1" x14ac:dyDescent="0.3">
      <c r="A145" s="5" t="s">
        <v>170</v>
      </c>
    </row>
    <row r="146" spans="1:1" x14ac:dyDescent="0.3">
      <c r="A146" s="5" t="s">
        <v>171</v>
      </c>
    </row>
    <row r="147" spans="1:1" x14ac:dyDescent="0.3">
      <c r="A147" s="10" t="s">
        <v>15</v>
      </c>
    </row>
    <row r="148" spans="1:1" x14ac:dyDescent="0.3">
      <c r="A148" s="5" t="s">
        <v>172</v>
      </c>
    </row>
    <row r="149" spans="1:1" x14ac:dyDescent="0.3">
      <c r="A149" s="5" t="s">
        <v>173</v>
      </c>
    </row>
    <row r="150" spans="1:1" x14ac:dyDescent="0.3">
      <c r="A150" s="5" t="s">
        <v>60</v>
      </c>
    </row>
    <row r="151" spans="1:1" x14ac:dyDescent="0.3">
      <c r="A151" s="5" t="s">
        <v>174</v>
      </c>
    </row>
    <row r="152" spans="1:1" x14ac:dyDescent="0.3">
      <c r="A152" s="5" t="s">
        <v>175</v>
      </c>
    </row>
    <row r="153" spans="1:1" x14ac:dyDescent="0.3">
      <c r="A153" s="5" t="s">
        <v>176</v>
      </c>
    </row>
    <row r="154" spans="1:1" x14ac:dyDescent="0.3">
      <c r="A154" s="5" t="s">
        <v>177</v>
      </c>
    </row>
    <row r="155" spans="1:1" x14ac:dyDescent="0.3">
      <c r="A155" s="34" t="s">
        <v>56</v>
      </c>
    </row>
    <row r="156" spans="1:1" x14ac:dyDescent="0.3">
      <c r="A156" s="10" t="s">
        <v>178</v>
      </c>
    </row>
    <row r="157" spans="1:1" x14ac:dyDescent="0.3">
      <c r="A157" s="5" t="s">
        <v>148</v>
      </c>
    </row>
    <row r="158" spans="1:1" x14ac:dyDescent="0.3">
      <c r="A158" s="5" t="s">
        <v>180</v>
      </c>
    </row>
    <row r="159" spans="1:1" x14ac:dyDescent="0.3">
      <c r="A159" s="5" t="s">
        <v>181</v>
      </c>
    </row>
    <row r="160" spans="1:1" x14ac:dyDescent="0.3">
      <c r="A160" s="5" t="s">
        <v>182</v>
      </c>
    </row>
    <row r="161" spans="1:1" x14ac:dyDescent="0.3">
      <c r="A161" s="5" t="s">
        <v>183</v>
      </c>
    </row>
    <row r="162" spans="1:1" x14ac:dyDescent="0.3">
      <c r="A162" s="10" t="s">
        <v>123</v>
      </c>
    </row>
    <row r="163" spans="1:1" x14ac:dyDescent="0.3">
      <c r="A163" s="10" t="s">
        <v>124</v>
      </c>
    </row>
    <row r="164" spans="1:1" x14ac:dyDescent="0.3">
      <c r="A164" s="5" t="s">
        <v>704</v>
      </c>
    </row>
    <row r="165" spans="1:1" x14ac:dyDescent="0.3">
      <c r="A165" s="5" t="s">
        <v>184</v>
      </c>
    </row>
    <row r="166" spans="1:1" x14ac:dyDescent="0.3">
      <c r="A166" s="10" t="s">
        <v>185</v>
      </c>
    </row>
    <row r="167" spans="1:1" x14ac:dyDescent="0.3">
      <c r="A167" s="12" t="s">
        <v>186</v>
      </c>
    </row>
    <row r="168" spans="1:1" x14ac:dyDescent="0.3">
      <c r="A168" s="5" t="s">
        <v>187</v>
      </c>
    </row>
    <row r="169" spans="1:1" x14ac:dyDescent="0.3">
      <c r="A169" s="5" t="s">
        <v>189</v>
      </c>
    </row>
    <row r="170" spans="1:1" x14ac:dyDescent="0.3">
      <c r="A170" t="s">
        <v>934</v>
      </c>
    </row>
    <row r="171" spans="1:1" x14ac:dyDescent="0.3">
      <c r="A171" s="10" t="s">
        <v>191</v>
      </c>
    </row>
    <row r="172" spans="1:1" x14ac:dyDescent="0.3">
      <c r="A172" s="5" t="s">
        <v>194</v>
      </c>
    </row>
    <row r="173" spans="1:1" x14ac:dyDescent="0.3">
      <c r="A173" s="5" t="s">
        <v>195</v>
      </c>
    </row>
    <row r="174" spans="1:1" x14ac:dyDescent="0.3">
      <c r="A174" s="10" t="s">
        <v>197</v>
      </c>
    </row>
    <row r="175" spans="1:1" x14ac:dyDescent="0.3">
      <c r="A175" s="5" t="s">
        <v>198</v>
      </c>
    </row>
    <row r="176" spans="1:1" x14ac:dyDescent="0.3">
      <c r="A176" s="5" t="s">
        <v>199</v>
      </c>
    </row>
    <row r="177" spans="1:1" x14ac:dyDescent="0.3">
      <c r="A177" s="5" t="s">
        <v>200</v>
      </c>
    </row>
    <row r="178" spans="1:1" x14ac:dyDescent="0.3">
      <c r="A178" s="5" t="s">
        <v>201</v>
      </c>
    </row>
    <row r="179" spans="1:1" x14ac:dyDescent="0.3">
      <c r="A179" s="10" t="s">
        <v>202</v>
      </c>
    </row>
    <row r="180" spans="1:1" x14ac:dyDescent="0.3">
      <c r="A180" s="5" t="s">
        <v>203</v>
      </c>
    </row>
    <row r="181" spans="1:1" x14ac:dyDescent="0.3">
      <c r="A181" s="10" t="s">
        <v>204</v>
      </c>
    </row>
    <row r="182" spans="1:1" x14ac:dyDescent="0.3">
      <c r="A182" s="5" t="s">
        <v>205</v>
      </c>
    </row>
    <row r="183" spans="1:1" x14ac:dyDescent="0.3">
      <c r="A183" t="s">
        <v>999</v>
      </c>
    </row>
    <row r="184" spans="1:1" x14ac:dyDescent="0.3">
      <c r="A184" s="34" t="s">
        <v>7</v>
      </c>
    </row>
    <row r="185" spans="1:1" x14ac:dyDescent="0.3">
      <c r="A185" s="6" t="s">
        <v>206</v>
      </c>
    </row>
    <row r="186" spans="1:1" x14ac:dyDescent="0.3">
      <c r="A186" s="5" t="s">
        <v>738</v>
      </c>
    </row>
    <row r="187" spans="1:1" x14ac:dyDescent="0.3">
      <c r="A187" s="5" t="s">
        <v>207</v>
      </c>
    </row>
    <row r="188" spans="1:1" x14ac:dyDescent="0.3">
      <c r="A188" s="5" t="s">
        <v>208</v>
      </c>
    </row>
    <row r="189" spans="1:1" x14ac:dyDescent="0.3">
      <c r="A189" s="5" t="s">
        <v>209</v>
      </c>
    </row>
    <row r="190" spans="1:1" x14ac:dyDescent="0.3">
      <c r="A190" s="5" t="s">
        <v>13</v>
      </c>
    </row>
    <row r="191" spans="1:1" x14ac:dyDescent="0.3">
      <c r="A191" s="5" t="s">
        <v>210</v>
      </c>
    </row>
    <row r="192" spans="1:1" x14ac:dyDescent="0.3">
      <c r="A192" s="5" t="s">
        <v>718</v>
      </c>
    </row>
    <row r="193" spans="1:1" x14ac:dyDescent="0.3">
      <c r="A193" s="5" t="s">
        <v>719</v>
      </c>
    </row>
    <row r="194" spans="1:1" x14ac:dyDescent="0.3">
      <c r="A194" s="5" t="s">
        <v>720</v>
      </c>
    </row>
    <row r="195" spans="1:1" x14ac:dyDescent="0.3">
      <c r="A195" s="5" t="s">
        <v>721</v>
      </c>
    </row>
    <row r="196" spans="1:1" x14ac:dyDescent="0.3">
      <c r="A196" s="5" t="s">
        <v>211</v>
      </c>
    </row>
    <row r="197" spans="1:1" x14ac:dyDescent="0.3">
      <c r="A197" s="5" t="s">
        <v>212</v>
      </c>
    </row>
    <row r="198" spans="1:1" x14ac:dyDescent="0.3">
      <c r="A198" s="5" t="s">
        <v>213</v>
      </c>
    </row>
    <row r="199" spans="1:1" x14ac:dyDescent="0.3">
      <c r="A199" s="10" t="s">
        <v>214</v>
      </c>
    </row>
    <row r="200" spans="1:1" x14ac:dyDescent="0.3">
      <c r="A200" t="s">
        <v>2613</v>
      </c>
    </row>
    <row r="201" spans="1:1" x14ac:dyDescent="0.3">
      <c r="A201" s="31" t="s">
        <v>215</v>
      </c>
    </row>
    <row r="202" spans="1:1" x14ac:dyDescent="0.3">
      <c r="A202" s="5" t="s">
        <v>216</v>
      </c>
    </row>
    <row r="203" spans="1:1" x14ac:dyDescent="0.3">
      <c r="A203" s="5" t="s">
        <v>217</v>
      </c>
    </row>
    <row r="204" spans="1:1" x14ac:dyDescent="0.3">
      <c r="A204" s="5" t="s">
        <v>218</v>
      </c>
    </row>
    <row r="205" spans="1:1" x14ac:dyDescent="0.3">
      <c r="A205" s="5" t="s">
        <v>219</v>
      </c>
    </row>
    <row r="206" spans="1:1" x14ac:dyDescent="0.3">
      <c r="A206" s="5" t="s">
        <v>220</v>
      </c>
    </row>
    <row r="207" spans="1:1" x14ac:dyDescent="0.3">
      <c r="A207" s="10" t="s">
        <v>221</v>
      </c>
    </row>
    <row r="208" spans="1:1" x14ac:dyDescent="0.3">
      <c r="A208" s="5" t="s">
        <v>223</v>
      </c>
    </row>
    <row r="209" spans="1:1" x14ac:dyDescent="0.3">
      <c r="A209" s="5" t="s">
        <v>224</v>
      </c>
    </row>
    <row r="210" spans="1:1" x14ac:dyDescent="0.3">
      <c r="A210" s="10" t="s">
        <v>225</v>
      </c>
    </row>
    <row r="211" spans="1:1" x14ac:dyDescent="0.3">
      <c r="A211" s="5" t="s">
        <v>226</v>
      </c>
    </row>
    <row r="212" spans="1:1" x14ac:dyDescent="0.3">
      <c r="A212" s="5" t="s">
        <v>227</v>
      </c>
    </row>
    <row r="213" spans="1:1" x14ac:dyDescent="0.3">
      <c r="A213" s="5" t="s">
        <v>228</v>
      </c>
    </row>
    <row r="214" spans="1:1" x14ac:dyDescent="0.3">
      <c r="A214" s="5" t="s">
        <v>229</v>
      </c>
    </row>
    <row r="215" spans="1:1" x14ac:dyDescent="0.3">
      <c r="A215" s="5" t="s">
        <v>230</v>
      </c>
    </row>
    <row r="216" spans="1:1" x14ac:dyDescent="0.3">
      <c r="A216" s="5" t="s">
        <v>231</v>
      </c>
    </row>
    <row r="217" spans="1:1" x14ac:dyDescent="0.3">
      <c r="A217" s="5" t="s">
        <v>232</v>
      </c>
    </row>
    <row r="218" spans="1:1" x14ac:dyDescent="0.3">
      <c r="A218" s="5" t="s">
        <v>234</v>
      </c>
    </row>
    <row r="219" spans="1:1" x14ac:dyDescent="0.3">
      <c r="A219" s="5" t="s">
        <v>235</v>
      </c>
    </row>
    <row r="220" spans="1:1" x14ac:dyDescent="0.3">
      <c r="A220" s="5" t="s">
        <v>236</v>
      </c>
    </row>
    <row r="221" spans="1:1" x14ac:dyDescent="0.3">
      <c r="A221" t="s">
        <v>1046</v>
      </c>
    </row>
    <row r="222" spans="1:1" x14ac:dyDescent="0.3">
      <c r="A222" s="5" t="s">
        <v>237</v>
      </c>
    </row>
    <row r="223" spans="1:1" x14ac:dyDescent="0.3">
      <c r="A223" s="5" t="s">
        <v>238</v>
      </c>
    </row>
    <row r="224" spans="1:1" x14ac:dyDescent="0.3">
      <c r="A224" s="5" t="s">
        <v>239</v>
      </c>
    </row>
    <row r="225" spans="1:1" x14ac:dyDescent="0.3">
      <c r="A225" s="5" t="s">
        <v>702</v>
      </c>
    </row>
    <row r="226" spans="1:1" x14ac:dyDescent="0.3">
      <c r="A226" s="5" t="s">
        <v>240</v>
      </c>
    </row>
    <row r="227" spans="1:1" x14ac:dyDescent="0.3">
      <c r="A227" s="5" t="s">
        <v>241</v>
      </c>
    </row>
    <row r="228" spans="1:1" x14ac:dyDescent="0.3">
      <c r="A228" s="5" t="s">
        <v>242</v>
      </c>
    </row>
    <row r="229" spans="1:1" x14ac:dyDescent="0.3">
      <c r="A229" s="7" t="s">
        <v>243</v>
      </c>
    </row>
    <row r="230" spans="1:1" x14ac:dyDescent="0.3">
      <c r="A230" s="5" t="s">
        <v>244</v>
      </c>
    </row>
    <row r="231" spans="1:1" x14ac:dyDescent="0.3">
      <c r="A231" s="5" t="s">
        <v>245</v>
      </c>
    </row>
    <row r="232" spans="1:1" x14ac:dyDescent="0.3">
      <c r="A232" s="5" t="s">
        <v>246</v>
      </c>
    </row>
    <row r="233" spans="1:1" x14ac:dyDescent="0.3">
      <c r="A233" s="5" t="s">
        <v>41</v>
      </c>
    </row>
    <row r="234" spans="1:1" x14ac:dyDescent="0.3">
      <c r="A234" s="5" t="s">
        <v>247</v>
      </c>
    </row>
    <row r="235" spans="1:1" x14ac:dyDescent="0.3">
      <c r="A235" s="10" t="s">
        <v>248</v>
      </c>
    </row>
    <row r="236" spans="1:1" x14ac:dyDescent="0.3">
      <c r="A236" s="5" t="s">
        <v>700</v>
      </c>
    </row>
    <row r="237" spans="1:1" x14ac:dyDescent="0.3">
      <c r="A237" s="5" t="s">
        <v>249</v>
      </c>
    </row>
    <row r="238" spans="1:1" x14ac:dyDescent="0.3">
      <c r="A238" s="5" t="s">
        <v>250</v>
      </c>
    </row>
    <row r="239" spans="1:1" x14ac:dyDescent="0.3">
      <c r="A239" s="5" t="s">
        <v>251</v>
      </c>
    </row>
    <row r="240" spans="1:1" x14ac:dyDescent="0.3">
      <c r="A240" s="5" t="s">
        <v>252</v>
      </c>
    </row>
    <row r="241" spans="1:1" x14ac:dyDescent="0.3">
      <c r="A241" s="5" t="s">
        <v>253</v>
      </c>
    </row>
    <row r="242" spans="1:1" x14ac:dyDescent="0.3">
      <c r="A242" s="5" t="s">
        <v>254</v>
      </c>
    </row>
    <row r="243" spans="1:1" x14ac:dyDescent="0.3">
      <c r="A243" s="5" t="s">
        <v>255</v>
      </c>
    </row>
    <row r="244" spans="1:1" x14ac:dyDescent="0.3">
      <c r="A244" s="5" t="s">
        <v>256</v>
      </c>
    </row>
    <row r="245" spans="1:1" x14ac:dyDescent="0.3">
      <c r="A245" s="5" t="s">
        <v>257</v>
      </c>
    </row>
    <row r="246" spans="1:1" x14ac:dyDescent="0.3">
      <c r="A246" s="10" t="s">
        <v>258</v>
      </c>
    </row>
    <row r="247" spans="1:1" x14ac:dyDescent="0.3">
      <c r="A247" s="5" t="s">
        <v>259</v>
      </c>
    </row>
    <row r="248" spans="1:1" x14ac:dyDescent="0.3">
      <c r="A248" s="5" t="s">
        <v>260</v>
      </c>
    </row>
    <row r="249" spans="1:1" x14ac:dyDescent="0.3">
      <c r="A249" s="5" t="s">
        <v>261</v>
      </c>
    </row>
    <row r="250" spans="1:1" x14ac:dyDescent="0.3">
      <c r="A250" s="5" t="s">
        <v>262</v>
      </c>
    </row>
    <row r="251" spans="1:1" x14ac:dyDescent="0.3">
      <c r="A251" s="5" t="s">
        <v>737</v>
      </c>
    </row>
    <row r="252" spans="1:1" x14ac:dyDescent="0.3">
      <c r="A252" s="5" t="s">
        <v>263</v>
      </c>
    </row>
    <row r="253" spans="1:1" x14ac:dyDescent="0.3">
      <c r="A253" s="5" t="s">
        <v>264</v>
      </c>
    </row>
    <row r="254" spans="1:1" x14ac:dyDescent="0.3">
      <c r="A254" s="7" t="s">
        <v>265</v>
      </c>
    </row>
    <row r="255" spans="1:1" x14ac:dyDescent="0.3">
      <c r="A255" s="5" t="s">
        <v>266</v>
      </c>
    </row>
    <row r="256" spans="1:1" x14ac:dyDescent="0.3">
      <c r="A256" s="10" t="s">
        <v>267</v>
      </c>
    </row>
    <row r="257" spans="1:1" x14ac:dyDescent="0.3">
      <c r="A257" t="s">
        <v>1852</v>
      </c>
    </row>
    <row r="258" spans="1:1" x14ac:dyDescent="0.3">
      <c r="A258" t="s">
        <v>857</v>
      </c>
    </row>
    <row r="259" spans="1:1" x14ac:dyDescent="0.3">
      <c r="A259" s="7" t="s">
        <v>712</v>
      </c>
    </row>
    <row r="260" spans="1:1" x14ac:dyDescent="0.3">
      <c r="A260" s="34" t="s">
        <v>268</v>
      </c>
    </row>
    <row r="261" spans="1:1" x14ac:dyDescent="0.3">
      <c r="A261" s="6" t="s">
        <v>269</v>
      </c>
    </row>
    <row r="262" spans="1:1" x14ac:dyDescent="0.3">
      <c r="A262" s="5" t="s">
        <v>270</v>
      </c>
    </row>
    <row r="263" spans="1:1" x14ac:dyDescent="0.3">
      <c r="A263" s="5" t="s">
        <v>271</v>
      </c>
    </row>
    <row r="264" spans="1:1" x14ac:dyDescent="0.3">
      <c r="A264" s="5" t="s">
        <v>272</v>
      </c>
    </row>
    <row r="265" spans="1:1" x14ac:dyDescent="0.3">
      <c r="A265" s="5" t="s">
        <v>273</v>
      </c>
    </row>
    <row r="266" spans="1:1" x14ac:dyDescent="0.3">
      <c r="A266" s="5" t="s">
        <v>274</v>
      </c>
    </row>
    <row r="267" spans="1:1" x14ac:dyDescent="0.3">
      <c r="A267" s="5" t="s">
        <v>275</v>
      </c>
    </row>
    <row r="268" spans="1:1" x14ac:dyDescent="0.3">
      <c r="A268" s="5" t="s">
        <v>276</v>
      </c>
    </row>
    <row r="269" spans="1:1" x14ac:dyDescent="0.3">
      <c r="A269" s="5" t="s">
        <v>277</v>
      </c>
    </row>
    <row r="270" spans="1:1" x14ac:dyDescent="0.3">
      <c r="A270" s="31" t="s">
        <v>278</v>
      </c>
    </row>
    <row r="271" spans="1:1" x14ac:dyDescent="0.3">
      <c r="A271" s="6" t="s">
        <v>279</v>
      </c>
    </row>
    <row r="272" spans="1:1" x14ac:dyDescent="0.3">
      <c r="A272" s="5" t="s">
        <v>281</v>
      </c>
    </row>
    <row r="273" spans="1:1" x14ac:dyDescent="0.3">
      <c r="A273" s="5" t="s">
        <v>282</v>
      </c>
    </row>
    <row r="274" spans="1:1" x14ac:dyDescent="0.3">
      <c r="A274" s="10" t="s">
        <v>283</v>
      </c>
    </row>
    <row r="275" spans="1:1" x14ac:dyDescent="0.3">
      <c r="A275" s="5" t="s">
        <v>284</v>
      </c>
    </row>
    <row r="276" spans="1:1" x14ac:dyDescent="0.3">
      <c r="A276" s="10" t="s">
        <v>285</v>
      </c>
    </row>
    <row r="277" spans="1:1" x14ac:dyDescent="0.3">
      <c r="A277" s="5" t="s">
        <v>286</v>
      </c>
    </row>
    <row r="278" spans="1:1" x14ac:dyDescent="0.3">
      <c r="A278" s="5" t="s">
        <v>62</v>
      </c>
    </row>
    <row r="279" spans="1:1" x14ac:dyDescent="0.3">
      <c r="A279" s="5" t="s">
        <v>287</v>
      </c>
    </row>
    <row r="280" spans="1:1" x14ac:dyDescent="0.3">
      <c r="A280" s="5" t="s">
        <v>288</v>
      </c>
    </row>
    <row r="281" spans="1:1" x14ac:dyDescent="0.3">
      <c r="A281" s="5" t="s">
        <v>192</v>
      </c>
    </row>
    <row r="282" spans="1:1" x14ac:dyDescent="0.3">
      <c r="A282" s="12" t="s">
        <v>289</v>
      </c>
    </row>
    <row r="283" spans="1:1" x14ac:dyDescent="0.3">
      <c r="A283" s="5" t="s">
        <v>290</v>
      </c>
    </row>
    <row r="284" spans="1:1" x14ac:dyDescent="0.3">
      <c r="A284" s="31" t="s">
        <v>291</v>
      </c>
    </row>
    <row r="285" spans="1:1" x14ac:dyDescent="0.3">
      <c r="A285" s="5" t="s">
        <v>292</v>
      </c>
    </row>
    <row r="286" spans="1:1" x14ac:dyDescent="0.3">
      <c r="A286" s="5" t="s">
        <v>293</v>
      </c>
    </row>
    <row r="287" spans="1:1" x14ac:dyDescent="0.3">
      <c r="A287" s="5" t="s">
        <v>294</v>
      </c>
    </row>
    <row r="288" spans="1:1" x14ac:dyDescent="0.3">
      <c r="A288" s="10" t="s">
        <v>295</v>
      </c>
    </row>
    <row r="289" spans="1:1" x14ac:dyDescent="0.3">
      <c r="A289" s="10" t="s">
        <v>11</v>
      </c>
    </row>
    <row r="290" spans="1:1" x14ac:dyDescent="0.3">
      <c r="A290" s="10" t="s">
        <v>296</v>
      </c>
    </row>
    <row r="291" spans="1:1" x14ac:dyDescent="0.3">
      <c r="A291" s="31" t="s">
        <v>297</v>
      </c>
    </row>
    <row r="292" spans="1:1" x14ac:dyDescent="0.3">
      <c r="A292" s="6" t="s">
        <v>298</v>
      </c>
    </row>
    <row r="293" spans="1:1" x14ac:dyDescent="0.3">
      <c r="A293" t="s">
        <v>3920</v>
      </c>
    </row>
    <row r="294" spans="1:1" x14ac:dyDescent="0.3">
      <c r="A294" s="5" t="s">
        <v>299</v>
      </c>
    </row>
    <row r="295" spans="1:1" x14ac:dyDescent="0.3">
      <c r="A295" s="31" t="s">
        <v>120</v>
      </c>
    </row>
    <row r="296" spans="1:1" x14ac:dyDescent="0.3">
      <c r="A296" s="31" t="s">
        <v>300</v>
      </c>
    </row>
    <row r="297" spans="1:1" x14ac:dyDescent="0.3">
      <c r="A297" s="5" t="s">
        <v>301</v>
      </c>
    </row>
    <row r="298" spans="1:1" x14ac:dyDescent="0.3">
      <c r="A298" s="10" t="s">
        <v>302</v>
      </c>
    </row>
    <row r="299" spans="1:1" x14ac:dyDescent="0.3">
      <c r="A299" s="5" t="s">
        <v>303</v>
      </c>
    </row>
    <row r="300" spans="1:1" x14ac:dyDescent="0.3">
      <c r="A300" s="10" t="s">
        <v>304</v>
      </c>
    </row>
    <row r="301" spans="1:1" x14ac:dyDescent="0.3">
      <c r="A301" s="5" t="s">
        <v>305</v>
      </c>
    </row>
    <row r="302" spans="1:1" x14ac:dyDescent="0.3">
      <c r="A302" s="5" t="s">
        <v>306</v>
      </c>
    </row>
    <row r="303" spans="1:1" x14ac:dyDescent="0.3">
      <c r="A303" t="s">
        <v>1150</v>
      </c>
    </row>
    <row r="304" spans="1:1" x14ac:dyDescent="0.3">
      <c r="A304" s="5" t="s">
        <v>307</v>
      </c>
    </row>
    <row r="305" spans="1:1" x14ac:dyDescent="0.3">
      <c r="A305" s="5" t="s">
        <v>308</v>
      </c>
    </row>
    <row r="306" spans="1:1" x14ac:dyDescent="0.3">
      <c r="A306" s="5" t="s">
        <v>309</v>
      </c>
    </row>
    <row r="307" spans="1:1" x14ac:dyDescent="0.3">
      <c r="A307" s="5" t="s">
        <v>310</v>
      </c>
    </row>
    <row r="308" spans="1:1" x14ac:dyDescent="0.3">
      <c r="A308" s="5" t="s">
        <v>311</v>
      </c>
    </row>
    <row r="309" spans="1:1" x14ac:dyDescent="0.3">
      <c r="A309" s="5" t="s">
        <v>312</v>
      </c>
    </row>
    <row r="310" spans="1:1" x14ac:dyDescent="0.3">
      <c r="A310" s="5" t="s">
        <v>313</v>
      </c>
    </row>
    <row r="311" spans="1:1" x14ac:dyDescent="0.3">
      <c r="A311" s="10" t="s">
        <v>314</v>
      </c>
    </row>
    <row r="312" spans="1:1" x14ac:dyDescent="0.3">
      <c r="A312" s="5" t="s">
        <v>315</v>
      </c>
    </row>
    <row r="313" spans="1:1" x14ac:dyDescent="0.3">
      <c r="A313" s="10" t="s">
        <v>316</v>
      </c>
    </row>
    <row r="314" spans="1:1" x14ac:dyDescent="0.3">
      <c r="A314" s="5" t="s">
        <v>317</v>
      </c>
    </row>
    <row r="315" spans="1:1" x14ac:dyDescent="0.3">
      <c r="A315" s="10" t="s">
        <v>318</v>
      </c>
    </row>
    <row r="316" spans="1:1" x14ac:dyDescent="0.3">
      <c r="A316" s="7" t="s">
        <v>319</v>
      </c>
    </row>
    <row r="317" spans="1:1" x14ac:dyDescent="0.3">
      <c r="A317" s="5" t="s">
        <v>320</v>
      </c>
    </row>
    <row r="318" spans="1:1" x14ac:dyDescent="0.3">
      <c r="A318" s="31" t="s">
        <v>321</v>
      </c>
    </row>
    <row r="319" spans="1:1" x14ac:dyDescent="0.3">
      <c r="A319" s="12" t="s">
        <v>322</v>
      </c>
    </row>
    <row r="320" spans="1:1" x14ac:dyDescent="0.3">
      <c r="A320" s="5" t="s">
        <v>323</v>
      </c>
    </row>
    <row r="321" spans="1:1" x14ac:dyDescent="0.3">
      <c r="A321" s="5" t="s">
        <v>324</v>
      </c>
    </row>
    <row r="322" spans="1:1" x14ac:dyDescent="0.3">
      <c r="A322" s="7" t="s">
        <v>734</v>
      </c>
    </row>
    <row r="323" spans="1:1" x14ac:dyDescent="0.3">
      <c r="A323" s="5" t="s">
        <v>326</v>
      </c>
    </row>
    <row r="324" spans="1:1" x14ac:dyDescent="0.3">
      <c r="A324" s="5" t="s">
        <v>327</v>
      </c>
    </row>
    <row r="325" spans="1:1" x14ac:dyDescent="0.3">
      <c r="A325" s="5" t="s">
        <v>328</v>
      </c>
    </row>
    <row r="326" spans="1:1" x14ac:dyDescent="0.3">
      <c r="A326" s="5" t="s">
        <v>331</v>
      </c>
    </row>
    <row r="327" spans="1:1" x14ac:dyDescent="0.3">
      <c r="A327" s="5" t="s">
        <v>333</v>
      </c>
    </row>
    <row r="328" spans="1:1" x14ac:dyDescent="0.3">
      <c r="A328" s="10" t="s">
        <v>332</v>
      </c>
    </row>
    <row r="329" spans="1:1" x14ac:dyDescent="0.3">
      <c r="A329" s="34" t="s">
        <v>334</v>
      </c>
    </row>
    <row r="330" spans="1:1" x14ac:dyDescent="0.3">
      <c r="A330" s="6" t="s">
        <v>34</v>
      </c>
    </row>
    <row r="331" spans="1:1" x14ac:dyDescent="0.3">
      <c r="A331" s="33" t="s">
        <v>735</v>
      </c>
    </row>
    <row r="332" spans="1:1" x14ac:dyDescent="0.3">
      <c r="A332" s="6" t="s">
        <v>703</v>
      </c>
    </row>
    <row r="333" spans="1:1" x14ac:dyDescent="0.3">
      <c r="A333" s="5" t="s">
        <v>336</v>
      </c>
    </row>
    <row r="334" spans="1:1" x14ac:dyDescent="0.3">
      <c r="A334" s="5" t="s">
        <v>337</v>
      </c>
    </row>
    <row r="335" spans="1:1" x14ac:dyDescent="0.3">
      <c r="A335" s="5" t="s">
        <v>338</v>
      </c>
    </row>
    <row r="336" spans="1:1" x14ac:dyDescent="0.3">
      <c r="A336" s="12" t="s">
        <v>339</v>
      </c>
    </row>
    <row r="337" spans="1:1" x14ac:dyDescent="0.3">
      <c r="A337" s="5" t="s">
        <v>340</v>
      </c>
    </row>
    <row r="338" spans="1:1" x14ac:dyDescent="0.3">
      <c r="A338" s="10" t="s">
        <v>341</v>
      </c>
    </row>
    <row r="339" spans="1:1" x14ac:dyDescent="0.3">
      <c r="A339" s="5" t="s">
        <v>342</v>
      </c>
    </row>
    <row r="340" spans="1:1" x14ac:dyDescent="0.3">
      <c r="A340" s="5" t="s">
        <v>343</v>
      </c>
    </row>
    <row r="341" spans="1:1" x14ac:dyDescent="0.3">
      <c r="A341" s="5" t="s">
        <v>344</v>
      </c>
    </row>
    <row r="342" spans="1:1" x14ac:dyDescent="0.3">
      <c r="A342" s="10" t="s">
        <v>44</v>
      </c>
    </row>
    <row r="343" spans="1:1" x14ac:dyDescent="0.3">
      <c r="A343" s="5" t="s">
        <v>346</v>
      </c>
    </row>
    <row r="344" spans="1:1" x14ac:dyDescent="0.3">
      <c r="A344" s="5" t="s">
        <v>347</v>
      </c>
    </row>
    <row r="345" spans="1:1" x14ac:dyDescent="0.3">
      <c r="A345" s="10" t="s">
        <v>348</v>
      </c>
    </row>
    <row r="346" spans="1:1" x14ac:dyDescent="0.3">
      <c r="A346" s="5" t="s">
        <v>349</v>
      </c>
    </row>
    <row r="347" spans="1:1" x14ac:dyDescent="0.3">
      <c r="A347" s="5" t="s">
        <v>350</v>
      </c>
    </row>
    <row r="348" spans="1:1" x14ac:dyDescent="0.3">
      <c r="A348" s="5" t="s">
        <v>352</v>
      </c>
    </row>
    <row r="349" spans="1:1" x14ac:dyDescent="0.3">
      <c r="A349" s="5" t="s">
        <v>222</v>
      </c>
    </row>
    <row r="350" spans="1:1" x14ac:dyDescent="0.3">
      <c r="A350" s="10" t="s">
        <v>159</v>
      </c>
    </row>
    <row r="351" spans="1:1" x14ac:dyDescent="0.3">
      <c r="A351" s="5" t="s">
        <v>353</v>
      </c>
    </row>
    <row r="352" spans="1:1" x14ac:dyDescent="0.3">
      <c r="A352" s="5" t="s">
        <v>354</v>
      </c>
    </row>
    <row r="353" spans="1:1" x14ac:dyDescent="0.3">
      <c r="A353" s="5" t="s">
        <v>355</v>
      </c>
    </row>
    <row r="354" spans="1:1" x14ac:dyDescent="0.3">
      <c r="A354" s="5" t="s">
        <v>356</v>
      </c>
    </row>
    <row r="355" spans="1:1" x14ac:dyDescent="0.3">
      <c r="A355" s="5" t="s">
        <v>162</v>
      </c>
    </row>
    <row r="356" spans="1:1" x14ac:dyDescent="0.3">
      <c r="A356" s="5" t="s">
        <v>73</v>
      </c>
    </row>
    <row r="357" spans="1:1" x14ac:dyDescent="0.3">
      <c r="A357" s="7" t="s">
        <v>357</v>
      </c>
    </row>
    <row r="358" spans="1:1" x14ac:dyDescent="0.3">
      <c r="A358" s="5" t="s">
        <v>358</v>
      </c>
    </row>
    <row r="359" spans="1:1" x14ac:dyDescent="0.3">
      <c r="A359" s="31" t="s">
        <v>359</v>
      </c>
    </row>
    <row r="360" spans="1:1" x14ac:dyDescent="0.3">
      <c r="A360" s="5" t="s">
        <v>360</v>
      </c>
    </row>
    <row r="361" spans="1:1" x14ac:dyDescent="0.3">
      <c r="A361" s="31" t="s">
        <v>361</v>
      </c>
    </row>
    <row r="362" spans="1:1" x14ac:dyDescent="0.3">
      <c r="A362" s="5" t="s">
        <v>363</v>
      </c>
    </row>
    <row r="363" spans="1:1" x14ac:dyDescent="0.3">
      <c r="A363" s="5" t="s">
        <v>364</v>
      </c>
    </row>
    <row r="364" spans="1:1" x14ac:dyDescent="0.3">
      <c r="A364" s="10" t="s">
        <v>188</v>
      </c>
    </row>
    <row r="365" spans="1:1" x14ac:dyDescent="0.3">
      <c r="A365" s="10" t="s">
        <v>365</v>
      </c>
    </row>
    <row r="366" spans="1:1" x14ac:dyDescent="0.3">
      <c r="A366" s="5" t="s">
        <v>366</v>
      </c>
    </row>
    <row r="367" spans="1:1" x14ac:dyDescent="0.3">
      <c r="A367" s="5" t="s">
        <v>367</v>
      </c>
    </row>
    <row r="368" spans="1:1" x14ac:dyDescent="0.3">
      <c r="A368" s="5" t="s">
        <v>368</v>
      </c>
    </row>
    <row r="369" spans="1:1" x14ac:dyDescent="0.3">
      <c r="A369" s="7" t="s">
        <v>369</v>
      </c>
    </row>
    <row r="370" spans="1:1" x14ac:dyDescent="0.3">
      <c r="A370" s="10" t="s">
        <v>370</v>
      </c>
    </row>
    <row r="371" spans="1:1" x14ac:dyDescent="0.3">
      <c r="A371" s="5" t="s">
        <v>372</v>
      </c>
    </row>
    <row r="372" spans="1:1" x14ac:dyDescent="0.3">
      <c r="A372" s="10" t="s">
        <v>371</v>
      </c>
    </row>
    <row r="373" spans="1:1" x14ac:dyDescent="0.3">
      <c r="A373" s="5" t="s">
        <v>373</v>
      </c>
    </row>
    <row r="374" spans="1:1" x14ac:dyDescent="0.3">
      <c r="A374" s="5" t="s">
        <v>374</v>
      </c>
    </row>
    <row r="375" spans="1:1" x14ac:dyDescent="0.3">
      <c r="A375" s="5" t="s">
        <v>375</v>
      </c>
    </row>
    <row r="376" spans="1:1" x14ac:dyDescent="0.3">
      <c r="A376" s="5" t="s">
        <v>376</v>
      </c>
    </row>
    <row r="377" spans="1:1" x14ac:dyDescent="0.3">
      <c r="A377" s="5" t="s">
        <v>377</v>
      </c>
    </row>
    <row r="378" spans="1:1" x14ac:dyDescent="0.3">
      <c r="A378" s="10" t="s">
        <v>378</v>
      </c>
    </row>
    <row r="379" spans="1:1" x14ac:dyDescent="0.3">
      <c r="A379" s="5" t="s">
        <v>379</v>
      </c>
    </row>
    <row r="380" spans="1:1" x14ac:dyDescent="0.3">
      <c r="A380" s="5" t="s">
        <v>380</v>
      </c>
    </row>
    <row r="381" spans="1:1" x14ac:dyDescent="0.3">
      <c r="A381" s="5" t="s">
        <v>381</v>
      </c>
    </row>
    <row r="382" spans="1:1" x14ac:dyDescent="0.3">
      <c r="A382" t="s">
        <v>2605</v>
      </c>
    </row>
    <row r="383" spans="1:1" x14ac:dyDescent="0.3">
      <c r="A383" t="s">
        <v>2496</v>
      </c>
    </row>
    <row r="384" spans="1:1" x14ac:dyDescent="0.3">
      <c r="A384" s="5" t="s">
        <v>382</v>
      </c>
    </row>
    <row r="385" spans="1:1" x14ac:dyDescent="0.3">
      <c r="A385" s="5" t="s">
        <v>383</v>
      </c>
    </row>
    <row r="386" spans="1:1" x14ac:dyDescent="0.3">
      <c r="A386" s="10" t="s">
        <v>384</v>
      </c>
    </row>
    <row r="387" spans="1:1" x14ac:dyDescent="0.3">
      <c r="A387" s="5" t="s">
        <v>385</v>
      </c>
    </row>
    <row r="388" spans="1:1" x14ac:dyDescent="0.3">
      <c r="A388" s="5" t="s">
        <v>386</v>
      </c>
    </row>
    <row r="389" spans="1:1" x14ac:dyDescent="0.3">
      <c r="A389" s="5" t="s">
        <v>387</v>
      </c>
    </row>
    <row r="390" spans="1:1" x14ac:dyDescent="0.3">
      <c r="A390" s="5" t="s">
        <v>388</v>
      </c>
    </row>
    <row r="391" spans="1:1" x14ac:dyDescent="0.3">
      <c r="A391" s="5" t="s">
        <v>389</v>
      </c>
    </row>
    <row r="392" spans="1:1" x14ac:dyDescent="0.3">
      <c r="A392" s="5" t="s">
        <v>390</v>
      </c>
    </row>
    <row r="393" spans="1:1" x14ac:dyDescent="0.3">
      <c r="A393" s="5" t="s">
        <v>391</v>
      </c>
    </row>
    <row r="394" spans="1:1" x14ac:dyDescent="0.3">
      <c r="A394" s="12" t="s">
        <v>392</v>
      </c>
    </row>
    <row r="395" spans="1:1" x14ac:dyDescent="0.3">
      <c r="A395" s="5" t="s">
        <v>190</v>
      </c>
    </row>
    <row r="396" spans="1:1" x14ac:dyDescent="0.3">
      <c r="A396" s="5" t="s">
        <v>393</v>
      </c>
    </row>
    <row r="397" spans="1:1" x14ac:dyDescent="0.3">
      <c r="A397" s="10" t="s">
        <v>394</v>
      </c>
    </row>
    <row r="398" spans="1:1" x14ac:dyDescent="0.3">
      <c r="A398" s="5" t="s">
        <v>395</v>
      </c>
    </row>
    <row r="399" spans="1:1" x14ac:dyDescent="0.3">
      <c r="A399" t="s">
        <v>1695</v>
      </c>
    </row>
    <row r="400" spans="1:1" x14ac:dyDescent="0.3">
      <c r="A400" s="5" t="s">
        <v>396</v>
      </c>
    </row>
    <row r="401" spans="1:1" x14ac:dyDescent="0.3">
      <c r="A401" s="5" t="s">
        <v>397</v>
      </c>
    </row>
    <row r="402" spans="1:1" x14ac:dyDescent="0.3">
      <c r="A402" s="5" t="s">
        <v>398</v>
      </c>
    </row>
    <row r="403" spans="1:1" x14ac:dyDescent="0.3">
      <c r="A403" s="5" t="s">
        <v>399</v>
      </c>
    </row>
    <row r="404" spans="1:1" x14ac:dyDescent="0.3">
      <c r="A404" s="5" t="s">
        <v>400</v>
      </c>
    </row>
    <row r="405" spans="1:1" x14ac:dyDescent="0.3">
      <c r="A405" t="s">
        <v>1013</v>
      </c>
    </row>
    <row r="406" spans="1:1" x14ac:dyDescent="0.3">
      <c r="A406" s="5" t="s">
        <v>401</v>
      </c>
    </row>
    <row r="407" spans="1:1" x14ac:dyDescent="0.3">
      <c r="A407" s="5" t="s">
        <v>402</v>
      </c>
    </row>
    <row r="408" spans="1:1" x14ac:dyDescent="0.3">
      <c r="A408" s="31" t="s">
        <v>404</v>
      </c>
    </row>
    <row r="409" spans="1:1" x14ac:dyDescent="0.3">
      <c r="A409" s="11" t="s">
        <v>405</v>
      </c>
    </row>
    <row r="410" spans="1:1" x14ac:dyDescent="0.3">
      <c r="A410" s="11" t="s">
        <v>408</v>
      </c>
    </row>
    <row r="411" spans="1:1" x14ac:dyDescent="0.3">
      <c r="A411" s="6" t="s">
        <v>409</v>
      </c>
    </row>
    <row r="412" spans="1:1" x14ac:dyDescent="0.3">
      <c r="A412" s="6" t="s">
        <v>410</v>
      </c>
    </row>
    <row r="413" spans="1:1" x14ac:dyDescent="0.3">
      <c r="A413" s="6" t="s">
        <v>411</v>
      </c>
    </row>
    <row r="414" spans="1:1" x14ac:dyDescent="0.3">
      <c r="A414" s="6" t="s">
        <v>412</v>
      </c>
    </row>
    <row r="415" spans="1:1" x14ac:dyDescent="0.3">
      <c r="A415" s="11" t="s">
        <v>728</v>
      </c>
    </row>
    <row r="416" spans="1:1" x14ac:dyDescent="0.3">
      <c r="A416" s="6" t="s">
        <v>413</v>
      </c>
    </row>
    <row r="417" spans="1:1" x14ac:dyDescent="0.3">
      <c r="A417" s="32" t="s">
        <v>1273</v>
      </c>
    </row>
    <row r="418" spans="1:1" x14ac:dyDescent="0.3">
      <c r="A418" s="6" t="s">
        <v>414</v>
      </c>
    </row>
    <row r="419" spans="1:1" x14ac:dyDescent="0.3">
      <c r="A419" s="11" t="s">
        <v>362</v>
      </c>
    </row>
    <row r="420" spans="1:1" x14ac:dyDescent="0.3">
      <c r="A420" s="6" t="s">
        <v>417</v>
      </c>
    </row>
    <row r="421" spans="1:1" x14ac:dyDescent="0.3">
      <c r="A421" s="6" t="s">
        <v>418</v>
      </c>
    </row>
    <row r="422" spans="1:1" x14ac:dyDescent="0.3">
      <c r="A422" s="6" t="s">
        <v>420</v>
      </c>
    </row>
    <row r="423" spans="1:1" x14ac:dyDescent="0.3">
      <c r="A423" s="6" t="s">
        <v>708</v>
      </c>
    </row>
    <row r="424" spans="1:1" x14ac:dyDescent="0.3">
      <c r="A424" s="6" t="s">
        <v>421</v>
      </c>
    </row>
    <row r="425" spans="1:1" x14ac:dyDescent="0.3">
      <c r="A425" s="8" t="s">
        <v>422</v>
      </c>
    </row>
    <row r="426" spans="1:1" x14ac:dyDescent="0.3">
      <c r="A426" s="6" t="s">
        <v>423</v>
      </c>
    </row>
    <row r="427" spans="1:1" x14ac:dyDescent="0.3">
      <c r="A427" s="8" t="s">
        <v>425</v>
      </c>
    </row>
    <row r="428" spans="1:1" x14ac:dyDescent="0.3">
      <c r="A428" s="6" t="s">
        <v>426</v>
      </c>
    </row>
    <row r="429" spans="1:1" x14ac:dyDescent="0.3">
      <c r="A429" s="6" t="s">
        <v>427</v>
      </c>
    </row>
    <row r="430" spans="1:1" x14ac:dyDescent="0.3">
      <c r="A430" s="6" t="s">
        <v>428</v>
      </c>
    </row>
    <row r="431" spans="1:1" x14ac:dyDescent="0.3">
      <c r="A431" s="6" t="s">
        <v>429</v>
      </c>
    </row>
    <row r="432" spans="1:1" x14ac:dyDescent="0.3">
      <c r="A432" s="31" t="s">
        <v>430</v>
      </c>
    </row>
    <row r="433" spans="1:1" x14ac:dyDescent="0.3">
      <c r="A433" s="6" t="s">
        <v>432</v>
      </c>
    </row>
    <row r="434" spans="1:1" x14ac:dyDescent="0.3">
      <c r="A434" s="34" t="s">
        <v>433</v>
      </c>
    </row>
    <row r="435" spans="1:1" x14ac:dyDescent="0.3">
      <c r="A435" s="6" t="s">
        <v>434</v>
      </c>
    </row>
    <row r="436" spans="1:1" x14ac:dyDescent="0.3">
      <c r="A436" s="6" t="s">
        <v>435</v>
      </c>
    </row>
    <row r="437" spans="1:1" x14ac:dyDescent="0.3">
      <c r="A437" s="34" t="s">
        <v>436</v>
      </c>
    </row>
    <row r="438" spans="1:1" x14ac:dyDescent="0.3">
      <c r="A438" s="8" t="s">
        <v>437</v>
      </c>
    </row>
    <row r="439" spans="1:1" x14ac:dyDescent="0.3">
      <c r="A439" s="6" t="s">
        <v>438</v>
      </c>
    </row>
    <row r="440" spans="1:1" x14ac:dyDescent="0.3">
      <c r="A440" s="6" t="s">
        <v>439</v>
      </c>
    </row>
    <row r="441" spans="1:1" x14ac:dyDescent="0.3">
      <c r="A441" s="11" t="s">
        <v>441</v>
      </c>
    </row>
    <row r="442" spans="1:1" x14ac:dyDescent="0.3">
      <c r="A442" s="6" t="s">
        <v>442</v>
      </c>
    </row>
    <row r="443" spans="1:1" x14ac:dyDescent="0.3">
      <c r="A443" s="6" t="s">
        <v>443</v>
      </c>
    </row>
    <row r="444" spans="1:1" x14ac:dyDescent="0.3">
      <c r="A444" s="6" t="s">
        <v>444</v>
      </c>
    </row>
    <row r="445" spans="1:1" x14ac:dyDescent="0.3">
      <c r="A445" s="6" t="s">
        <v>445</v>
      </c>
    </row>
    <row r="446" spans="1:1" x14ac:dyDescent="0.3">
      <c r="A446" s="6" t="s">
        <v>446</v>
      </c>
    </row>
    <row r="447" spans="1:1" x14ac:dyDescent="0.3">
      <c r="A447" s="6" t="s">
        <v>335</v>
      </c>
    </row>
    <row r="448" spans="1:1" x14ac:dyDescent="0.3">
      <c r="A448" s="32" t="s">
        <v>767</v>
      </c>
    </row>
    <row r="449" spans="1:1" x14ac:dyDescent="0.3">
      <c r="A449" s="6" t="s">
        <v>447</v>
      </c>
    </row>
    <row r="450" spans="1:1" x14ac:dyDescent="0.3">
      <c r="A450" s="6" t="s">
        <v>450</v>
      </c>
    </row>
    <row r="451" spans="1:1" x14ac:dyDescent="0.3">
      <c r="A451" s="6" t="s">
        <v>451</v>
      </c>
    </row>
    <row r="452" spans="1:1" x14ac:dyDescent="0.3">
      <c r="A452" s="11" t="s">
        <v>452</v>
      </c>
    </row>
    <row r="453" spans="1:1" x14ac:dyDescent="0.3">
      <c r="A453" s="6" t="s">
        <v>453</v>
      </c>
    </row>
    <row r="454" spans="1:1" x14ac:dyDescent="0.3">
      <c r="A454" s="11" t="s">
        <v>454</v>
      </c>
    </row>
    <row r="455" spans="1:1" x14ac:dyDescent="0.3">
      <c r="A455" s="6" t="s">
        <v>455</v>
      </c>
    </row>
    <row r="456" spans="1:1" x14ac:dyDescent="0.3">
      <c r="A456" s="6" t="s">
        <v>456</v>
      </c>
    </row>
    <row r="457" spans="1:1" x14ac:dyDescent="0.3">
      <c r="A457" s="6" t="s">
        <v>457</v>
      </c>
    </row>
    <row r="458" spans="1:1" x14ac:dyDescent="0.3">
      <c r="A458" s="6" t="s">
        <v>458</v>
      </c>
    </row>
    <row r="459" spans="1:1" x14ac:dyDescent="0.3">
      <c r="A459" s="6" t="s">
        <v>459</v>
      </c>
    </row>
    <row r="460" spans="1:1" x14ac:dyDescent="0.3">
      <c r="A460" s="6" t="s">
        <v>460</v>
      </c>
    </row>
    <row r="461" spans="1:1" x14ac:dyDescent="0.3">
      <c r="A461" s="6" t="s">
        <v>461</v>
      </c>
    </row>
    <row r="462" spans="1:1" x14ac:dyDescent="0.3">
      <c r="A462" s="6" t="s">
        <v>462</v>
      </c>
    </row>
    <row r="463" spans="1:1" x14ac:dyDescent="0.3">
      <c r="A463" s="6" t="s">
        <v>463</v>
      </c>
    </row>
    <row r="464" spans="1:1" x14ac:dyDescent="0.3">
      <c r="A464" s="6" t="s">
        <v>464</v>
      </c>
    </row>
    <row r="465" spans="1:1" x14ac:dyDescent="0.3">
      <c r="A465" s="6" t="s">
        <v>465</v>
      </c>
    </row>
    <row r="466" spans="1:1" x14ac:dyDescent="0.3">
      <c r="A466" s="6" t="s">
        <v>467</v>
      </c>
    </row>
    <row r="467" spans="1:1" x14ac:dyDescent="0.3">
      <c r="A467" s="32" t="s">
        <v>922</v>
      </c>
    </row>
    <row r="468" spans="1:1" x14ac:dyDescent="0.3">
      <c r="A468" s="6" t="s">
        <v>468</v>
      </c>
    </row>
    <row r="469" spans="1:1" x14ac:dyDescent="0.3">
      <c r="A469" s="11" t="s">
        <v>469</v>
      </c>
    </row>
    <row r="470" spans="1:1" x14ac:dyDescent="0.3">
      <c r="A470" s="6" t="s">
        <v>470</v>
      </c>
    </row>
    <row r="471" spans="1:1" x14ac:dyDescent="0.3">
      <c r="A471" s="6" t="s">
        <v>471</v>
      </c>
    </row>
    <row r="472" spans="1:1" x14ac:dyDescent="0.3">
      <c r="A472" s="6" t="s">
        <v>472</v>
      </c>
    </row>
    <row r="473" spans="1:1" x14ac:dyDescent="0.3">
      <c r="A473" s="34" t="s">
        <v>473</v>
      </c>
    </row>
    <row r="474" spans="1:1" x14ac:dyDescent="0.3">
      <c r="A474" s="6" t="s">
        <v>474</v>
      </c>
    </row>
    <row r="475" spans="1:1" x14ac:dyDescent="0.3">
      <c r="A475" s="6" t="s">
        <v>475</v>
      </c>
    </row>
    <row r="476" spans="1:1" x14ac:dyDescent="0.3">
      <c r="A476" s="6" t="s">
        <v>476</v>
      </c>
    </row>
    <row r="477" spans="1:1" x14ac:dyDescent="0.3">
      <c r="A477" s="6" t="s">
        <v>419</v>
      </c>
    </row>
    <row r="478" spans="1:1" x14ac:dyDescent="0.3">
      <c r="A478" s="6" t="s">
        <v>477</v>
      </c>
    </row>
    <row r="479" spans="1:1" x14ac:dyDescent="0.3">
      <c r="A479" s="6" t="s">
        <v>478</v>
      </c>
    </row>
    <row r="480" spans="1:1" x14ac:dyDescent="0.3">
      <c r="A480" s="6" t="s">
        <v>705</v>
      </c>
    </row>
    <row r="481" spans="1:1" x14ac:dyDescent="0.3">
      <c r="A481" s="36" t="s">
        <v>546</v>
      </c>
    </row>
    <row r="482" spans="1:1" x14ac:dyDescent="0.3">
      <c r="A482" s="6" t="s">
        <v>479</v>
      </c>
    </row>
    <row r="483" spans="1:1" x14ac:dyDescent="0.3">
      <c r="A483" s="6" t="s">
        <v>480</v>
      </c>
    </row>
    <row r="484" spans="1:1" x14ac:dyDescent="0.3">
      <c r="A484" s="11" t="s">
        <v>481</v>
      </c>
    </row>
    <row r="485" spans="1:1" x14ac:dyDescent="0.3">
      <c r="A485" s="6" t="s">
        <v>482</v>
      </c>
    </row>
    <row r="486" spans="1:1" x14ac:dyDescent="0.3">
      <c r="A486" s="32" t="s">
        <v>805</v>
      </c>
    </row>
    <row r="487" spans="1:1" x14ac:dyDescent="0.3">
      <c r="A487" s="6" t="s">
        <v>483</v>
      </c>
    </row>
    <row r="488" spans="1:1" x14ac:dyDescent="0.3">
      <c r="A488" s="6" t="s">
        <v>484</v>
      </c>
    </row>
    <row r="489" spans="1:1" x14ac:dyDescent="0.3">
      <c r="A489" s="8" t="s">
        <v>733</v>
      </c>
    </row>
    <row r="490" spans="1:1" x14ac:dyDescent="0.3">
      <c r="A490" s="32" t="s">
        <v>817</v>
      </c>
    </row>
    <row r="491" spans="1:1" x14ac:dyDescent="0.3">
      <c r="A491" s="32" t="s">
        <v>814</v>
      </c>
    </row>
    <row r="492" spans="1:1" x14ac:dyDescent="0.3">
      <c r="A492" s="32" t="s">
        <v>815</v>
      </c>
    </row>
    <row r="493" spans="1:1" x14ac:dyDescent="0.3">
      <c r="A493" s="32" t="s">
        <v>811</v>
      </c>
    </row>
    <row r="494" spans="1:1" x14ac:dyDescent="0.3">
      <c r="A494" t="s">
        <v>813</v>
      </c>
    </row>
    <row r="495" spans="1:1" x14ac:dyDescent="0.3">
      <c r="A495" t="s">
        <v>1069</v>
      </c>
    </row>
    <row r="496" spans="1:1" x14ac:dyDescent="0.3">
      <c r="A496" s="35" t="s">
        <v>485</v>
      </c>
    </row>
    <row r="497" spans="1:1" x14ac:dyDescent="0.3">
      <c r="A497" s="31" t="s">
        <v>486</v>
      </c>
    </row>
    <row r="498" spans="1:1" x14ac:dyDescent="0.3">
      <c r="A498" s="34" t="s">
        <v>487</v>
      </c>
    </row>
    <row r="499" spans="1:1" x14ac:dyDescent="0.3">
      <c r="A499" s="31" t="s">
        <v>488</v>
      </c>
    </row>
    <row r="500" spans="1:1" x14ac:dyDescent="0.3">
      <c r="A500" s="31" t="s">
        <v>489</v>
      </c>
    </row>
    <row r="501" spans="1:1" x14ac:dyDescent="0.3">
      <c r="A501" s="34" t="s">
        <v>490</v>
      </c>
    </row>
    <row r="502" spans="1:1" x14ac:dyDescent="0.3">
      <c r="A502" s="31" t="s">
        <v>491</v>
      </c>
    </row>
    <row r="503" spans="1:1" x14ac:dyDescent="0.3">
      <c r="A503" s="31" t="s">
        <v>492</v>
      </c>
    </row>
    <row r="504" spans="1:1" x14ac:dyDescent="0.3">
      <c r="A504" s="10" t="s">
        <v>722</v>
      </c>
    </row>
    <row r="505" spans="1:1" x14ac:dyDescent="0.3">
      <c r="A505" s="31" t="s">
        <v>493</v>
      </c>
    </row>
    <row r="506" spans="1:1" x14ac:dyDescent="0.3">
      <c r="A506" s="35" t="s">
        <v>494</v>
      </c>
    </row>
    <row r="507" spans="1:1" x14ac:dyDescent="0.3">
      <c r="A507" s="31" t="s">
        <v>495</v>
      </c>
    </row>
    <row r="508" spans="1:1" x14ac:dyDescent="0.3">
      <c r="A508" s="31" t="s">
        <v>496</v>
      </c>
    </row>
    <row r="509" spans="1:1" x14ac:dyDescent="0.3">
      <c r="A509" s="31" t="s">
        <v>497</v>
      </c>
    </row>
    <row r="510" spans="1:1" x14ac:dyDescent="0.3">
      <c r="A510" s="34" t="s">
        <v>498</v>
      </c>
    </row>
    <row r="511" spans="1:1" x14ac:dyDescent="0.3">
      <c r="A511" t="s">
        <v>879</v>
      </c>
    </row>
    <row r="512" spans="1:1" x14ac:dyDescent="0.3">
      <c r="A512" s="31" t="s">
        <v>499</v>
      </c>
    </row>
    <row r="513" spans="1:1" x14ac:dyDescent="0.3">
      <c r="A513" s="31" t="s">
        <v>500</v>
      </c>
    </row>
    <row r="514" spans="1:1" x14ac:dyDescent="0.3">
      <c r="A514" s="31" t="s">
        <v>501</v>
      </c>
    </row>
    <row r="515" spans="1:1" x14ac:dyDescent="0.3">
      <c r="A515" s="5" t="s">
        <v>196</v>
      </c>
    </row>
    <row r="516" spans="1:1" x14ac:dyDescent="0.3">
      <c r="A516" s="5" t="s">
        <v>502</v>
      </c>
    </row>
    <row r="517" spans="1:1" x14ac:dyDescent="0.3">
      <c r="A517" s="31" t="s">
        <v>503</v>
      </c>
    </row>
    <row r="518" spans="1:1" x14ac:dyDescent="0.3">
      <c r="A518" t="s">
        <v>770</v>
      </c>
    </row>
    <row r="519" spans="1:1" x14ac:dyDescent="0.3">
      <c r="A519" s="31" t="s">
        <v>504</v>
      </c>
    </row>
    <row r="520" spans="1:1" x14ac:dyDescent="0.3">
      <c r="A520" s="34" t="s">
        <v>505</v>
      </c>
    </row>
    <row r="521" spans="1:1" x14ac:dyDescent="0.3">
      <c r="A521" s="31" t="s">
        <v>506</v>
      </c>
    </row>
    <row r="522" spans="1:1" x14ac:dyDescent="0.3">
      <c r="A522" s="31" t="s">
        <v>507</v>
      </c>
    </row>
    <row r="523" spans="1:1" x14ac:dyDescent="0.3">
      <c r="A523" s="31" t="s">
        <v>440</v>
      </c>
    </row>
    <row r="524" spans="1:1" x14ac:dyDescent="0.3">
      <c r="A524" s="31" t="s">
        <v>508</v>
      </c>
    </row>
    <row r="525" spans="1:1" x14ac:dyDescent="0.3">
      <c r="A525" s="31" t="s">
        <v>509</v>
      </c>
    </row>
    <row r="526" spans="1:1" x14ac:dyDescent="0.3">
      <c r="A526" s="31" t="s">
        <v>510</v>
      </c>
    </row>
    <row r="527" spans="1:1" x14ac:dyDescent="0.3">
      <c r="A527" s="31" t="s">
        <v>10</v>
      </c>
    </row>
    <row r="528" spans="1:1" x14ac:dyDescent="0.3">
      <c r="A528" s="31" t="s">
        <v>511</v>
      </c>
    </row>
    <row r="529" spans="1:1" x14ac:dyDescent="0.3">
      <c r="A529" t="s">
        <v>985</v>
      </c>
    </row>
    <row r="530" spans="1:1" x14ac:dyDescent="0.3">
      <c r="A530" s="34" t="s">
        <v>512</v>
      </c>
    </row>
    <row r="531" spans="1:1" x14ac:dyDescent="0.3">
      <c r="A531" s="34" t="s">
        <v>513</v>
      </c>
    </row>
    <row r="532" spans="1:1" x14ac:dyDescent="0.3">
      <c r="A532" s="5" t="s">
        <v>725</v>
      </c>
    </row>
    <row r="533" spans="1:1" x14ac:dyDescent="0.3">
      <c r="A533" s="31" t="s">
        <v>514</v>
      </c>
    </row>
    <row r="534" spans="1:1" x14ac:dyDescent="0.3">
      <c r="A534" s="31" t="s">
        <v>515</v>
      </c>
    </row>
    <row r="535" spans="1:1" x14ac:dyDescent="0.3">
      <c r="A535" s="31" t="s">
        <v>516</v>
      </c>
    </row>
    <row r="536" spans="1:1" x14ac:dyDescent="0.3">
      <c r="A536" s="31" t="s">
        <v>517</v>
      </c>
    </row>
    <row r="537" spans="1:1" x14ac:dyDescent="0.3">
      <c r="A537" s="34" t="s">
        <v>518</v>
      </c>
    </row>
    <row r="538" spans="1:1" x14ac:dyDescent="0.3">
      <c r="A538" s="31" t="s">
        <v>519</v>
      </c>
    </row>
    <row r="539" spans="1:1" x14ac:dyDescent="0.3">
      <c r="A539" t="s">
        <v>898</v>
      </c>
    </row>
    <row r="540" spans="1:1" x14ac:dyDescent="0.3">
      <c r="A540" s="31" t="s">
        <v>520</v>
      </c>
    </row>
    <row r="541" spans="1:1" x14ac:dyDescent="0.3">
      <c r="A541" s="13" t="s">
        <v>522</v>
      </c>
    </row>
    <row r="542" spans="1:1" x14ac:dyDescent="0.3">
      <c r="A542" s="5" t="s">
        <v>466</v>
      </c>
    </row>
    <row r="543" spans="1:1" x14ac:dyDescent="0.3">
      <c r="A543" s="5" t="s">
        <v>523</v>
      </c>
    </row>
    <row r="544" spans="1:1" x14ac:dyDescent="0.3">
      <c r="A544" s="5" t="s">
        <v>524</v>
      </c>
    </row>
    <row r="545" spans="1:1" x14ac:dyDescent="0.3">
      <c r="A545" s="5" t="s">
        <v>525</v>
      </c>
    </row>
    <row r="546" spans="1:1" x14ac:dyDescent="0.3">
      <c r="A546" s="5" t="s">
        <v>526</v>
      </c>
    </row>
    <row r="547" spans="1:1" x14ac:dyDescent="0.3">
      <c r="A547" s="7" t="s">
        <v>527</v>
      </c>
    </row>
    <row r="548" spans="1:1" x14ac:dyDescent="0.3">
      <c r="A548" s="5" t="s">
        <v>528</v>
      </c>
    </row>
    <row r="549" spans="1:1" x14ac:dyDescent="0.3">
      <c r="A549" s="10" t="s">
        <v>529</v>
      </c>
    </row>
    <row r="550" spans="1:1" x14ac:dyDescent="0.3">
      <c r="A550" s="7" t="s">
        <v>530</v>
      </c>
    </row>
    <row r="551" spans="1:1" x14ac:dyDescent="0.3">
      <c r="A551" s="5" t="s">
        <v>531</v>
      </c>
    </row>
    <row r="552" spans="1:1" x14ac:dyDescent="0.3">
      <c r="A552" s="7" t="s">
        <v>532</v>
      </c>
    </row>
    <row r="553" spans="1:1" x14ac:dyDescent="0.3">
      <c r="A553" s="5" t="s">
        <v>533</v>
      </c>
    </row>
    <row r="554" spans="1:1" x14ac:dyDescent="0.3">
      <c r="A554" s="7" t="s">
        <v>534</v>
      </c>
    </row>
    <row r="555" spans="1:1" x14ac:dyDescent="0.3">
      <c r="A555" s="5" t="s">
        <v>535</v>
      </c>
    </row>
    <row r="556" spans="1:1" x14ac:dyDescent="0.3">
      <c r="A556" s="10" t="s">
        <v>726</v>
      </c>
    </row>
    <row r="557" spans="1:1" x14ac:dyDescent="0.3">
      <c r="A557" s="10" t="s">
        <v>536</v>
      </c>
    </row>
    <row r="558" spans="1:1" x14ac:dyDescent="0.3">
      <c r="A558" s="31" t="s">
        <v>537</v>
      </c>
    </row>
    <row r="559" spans="1:1" x14ac:dyDescent="0.3">
      <c r="A559" s="6" t="s">
        <v>538</v>
      </c>
    </row>
    <row r="560" spans="1:1" x14ac:dyDescent="0.3">
      <c r="A560" s="5" t="s">
        <v>539</v>
      </c>
    </row>
    <row r="561" spans="1:1" x14ac:dyDescent="0.3">
      <c r="A561" s="34" t="s">
        <v>540</v>
      </c>
    </row>
    <row r="562" spans="1:1" x14ac:dyDescent="0.3">
      <c r="A562" s="6" t="s">
        <v>541</v>
      </c>
    </row>
    <row r="563" spans="1:1" x14ac:dyDescent="0.3">
      <c r="A563" s="5" t="s">
        <v>709</v>
      </c>
    </row>
    <row r="564" spans="1:1" x14ac:dyDescent="0.3">
      <c r="A564" s="5" t="s">
        <v>542</v>
      </c>
    </row>
    <row r="565" spans="1:1" x14ac:dyDescent="0.3">
      <c r="A565" s="5" t="s">
        <v>707</v>
      </c>
    </row>
    <row r="566" spans="1:1" x14ac:dyDescent="0.3">
      <c r="A566" s="5" t="s">
        <v>543</v>
      </c>
    </row>
    <row r="567" spans="1:1" x14ac:dyDescent="0.3">
      <c r="A567" s="5" t="s">
        <v>544</v>
      </c>
    </row>
    <row r="568" spans="1:1" x14ac:dyDescent="0.3">
      <c r="A568" s="5" t="s">
        <v>545</v>
      </c>
    </row>
    <row r="569" spans="1:1" x14ac:dyDescent="0.3">
      <c r="A569" s="33" t="s">
        <v>448</v>
      </c>
    </row>
    <row r="570" spans="1:1" x14ac:dyDescent="0.3">
      <c r="A570" s="5" t="s">
        <v>547</v>
      </c>
    </row>
    <row r="571" spans="1:1" x14ac:dyDescent="0.3">
      <c r="A571" s="5" t="s">
        <v>431</v>
      </c>
    </row>
    <row r="572" spans="1:1" x14ac:dyDescent="0.3">
      <c r="A572" s="5" t="s">
        <v>325</v>
      </c>
    </row>
    <row r="573" spans="1:1" x14ac:dyDescent="0.3">
      <c r="A573" s="38" t="s">
        <v>885</v>
      </c>
    </row>
    <row r="574" spans="1:1" x14ac:dyDescent="0.3">
      <c r="A574" s="6" t="s">
        <v>548</v>
      </c>
    </row>
    <row r="575" spans="1:1" x14ac:dyDescent="0.3">
      <c r="A575" s="5" t="s">
        <v>549</v>
      </c>
    </row>
    <row r="576" spans="1:1" x14ac:dyDescent="0.3">
      <c r="A576" s="5" t="s">
        <v>550</v>
      </c>
    </row>
    <row r="577" spans="1:1" x14ac:dyDescent="0.3">
      <c r="A577" s="10" t="s">
        <v>551</v>
      </c>
    </row>
    <row r="578" spans="1:1" x14ac:dyDescent="0.3">
      <c r="A578" s="5" t="s">
        <v>552</v>
      </c>
    </row>
    <row r="579" spans="1:1" x14ac:dyDescent="0.3">
      <c r="A579" t="s">
        <v>882</v>
      </c>
    </row>
    <row r="580" spans="1:1" x14ac:dyDescent="0.3">
      <c r="A580" s="5" t="s">
        <v>553</v>
      </c>
    </row>
    <row r="581" spans="1:1" x14ac:dyDescent="0.3">
      <c r="A581" s="5" t="s">
        <v>554</v>
      </c>
    </row>
    <row r="582" spans="1:1" x14ac:dyDescent="0.3">
      <c r="A582" s="5" t="s">
        <v>555</v>
      </c>
    </row>
    <row r="583" spans="1:1" x14ac:dyDescent="0.3">
      <c r="A583" s="5" t="s">
        <v>556</v>
      </c>
    </row>
    <row r="584" spans="1:1" x14ac:dyDescent="0.3">
      <c r="A584" s="5" t="s">
        <v>557</v>
      </c>
    </row>
    <row r="585" spans="1:1" x14ac:dyDescent="0.3">
      <c r="A585" s="5" t="s">
        <v>558</v>
      </c>
    </row>
    <row r="586" spans="1:1" x14ac:dyDescent="0.3">
      <c r="A586" s="5" t="s">
        <v>559</v>
      </c>
    </row>
    <row r="587" spans="1:1" x14ac:dyDescent="0.3">
      <c r="A587" s="5" t="s">
        <v>560</v>
      </c>
    </row>
    <row r="588" spans="1:1" x14ac:dyDescent="0.3">
      <c r="A588" s="5" t="s">
        <v>561</v>
      </c>
    </row>
    <row r="589" spans="1:1" x14ac:dyDescent="0.3">
      <c r="A589" s="5" t="s">
        <v>562</v>
      </c>
    </row>
    <row r="590" spans="1:1" x14ac:dyDescent="0.3">
      <c r="A590" t="s">
        <v>910</v>
      </c>
    </row>
    <row r="591" spans="1:1" x14ac:dyDescent="0.3">
      <c r="A591" t="s">
        <v>1172</v>
      </c>
    </row>
    <row r="592" spans="1:1" x14ac:dyDescent="0.3">
      <c r="A592" t="s">
        <v>2987</v>
      </c>
    </row>
    <row r="593" spans="1:1" x14ac:dyDescent="0.3">
      <c r="A593" s="5" t="s">
        <v>563</v>
      </c>
    </row>
    <row r="594" spans="1:1" x14ac:dyDescent="0.3">
      <c r="A594" s="7" t="s">
        <v>280</v>
      </c>
    </row>
    <row r="595" spans="1:1" x14ac:dyDescent="0.3">
      <c r="A595" s="7" t="s">
        <v>573</v>
      </c>
    </row>
    <row r="596" spans="1:1" x14ac:dyDescent="0.3">
      <c r="A596" s="5" t="s">
        <v>564</v>
      </c>
    </row>
    <row r="597" spans="1:1" x14ac:dyDescent="0.3">
      <c r="A597" s="5" t="s">
        <v>565</v>
      </c>
    </row>
    <row r="598" spans="1:1" x14ac:dyDescent="0.3">
      <c r="A598" s="5" t="s">
        <v>415</v>
      </c>
    </row>
    <row r="599" spans="1:1" x14ac:dyDescent="0.3">
      <c r="A599" s="5" t="s">
        <v>710</v>
      </c>
    </row>
    <row r="600" spans="1:1" x14ac:dyDescent="0.3">
      <c r="A600" s="12" t="s">
        <v>566</v>
      </c>
    </row>
    <row r="601" spans="1:1" x14ac:dyDescent="0.3">
      <c r="A601" s="10" t="s">
        <v>567</v>
      </c>
    </row>
    <row r="602" spans="1:1" x14ac:dyDescent="0.3">
      <c r="A602" s="5" t="s">
        <v>568</v>
      </c>
    </row>
    <row r="603" spans="1:1" x14ac:dyDescent="0.3">
      <c r="A603" s="31" t="s">
        <v>569</v>
      </c>
    </row>
    <row r="604" spans="1:1" x14ac:dyDescent="0.3">
      <c r="A604" s="6" t="s">
        <v>570</v>
      </c>
    </row>
    <row r="605" spans="1:1" x14ac:dyDescent="0.3">
      <c r="A605" t="s">
        <v>2261</v>
      </c>
    </row>
    <row r="606" spans="1:1" x14ac:dyDescent="0.3">
      <c r="A606" s="12" t="s">
        <v>571</v>
      </c>
    </row>
    <row r="607" spans="1:1" x14ac:dyDescent="0.3">
      <c r="A607" s="10" t="s">
        <v>572</v>
      </c>
    </row>
    <row r="608" spans="1:1" x14ac:dyDescent="0.3">
      <c r="A608" s="5" t="s">
        <v>574</v>
      </c>
    </row>
    <row r="609" spans="1:1" x14ac:dyDescent="0.3">
      <c r="A609" s="12" t="s">
        <v>575</v>
      </c>
    </row>
    <row r="610" spans="1:1" x14ac:dyDescent="0.3">
      <c r="A610" s="34" t="s">
        <v>48</v>
      </c>
    </row>
    <row r="611" spans="1:1" x14ac:dyDescent="0.3">
      <c r="A611" s="11" t="s">
        <v>576</v>
      </c>
    </row>
    <row r="612" spans="1:1" x14ac:dyDescent="0.3">
      <c r="A612" s="5" t="s">
        <v>233</v>
      </c>
    </row>
    <row r="613" spans="1:1" x14ac:dyDescent="0.3">
      <c r="A613" t="s">
        <v>1409</v>
      </c>
    </row>
    <row r="614" spans="1:1" x14ac:dyDescent="0.3">
      <c r="A614" s="12" t="s">
        <v>577</v>
      </c>
    </row>
    <row r="615" spans="1:1" x14ac:dyDescent="0.3">
      <c r="A615" s="31" t="s">
        <v>578</v>
      </c>
    </row>
    <row r="616" spans="1:1" x14ac:dyDescent="0.3">
      <c r="A616" s="6" t="s">
        <v>579</v>
      </c>
    </row>
    <row r="617" spans="1:1" x14ac:dyDescent="0.3">
      <c r="A617" s="5" t="s">
        <v>580</v>
      </c>
    </row>
    <row r="618" spans="1:1" x14ac:dyDescent="0.3">
      <c r="A618" s="5" t="s">
        <v>581</v>
      </c>
    </row>
    <row r="619" spans="1:1" x14ac:dyDescent="0.3">
      <c r="A619" s="31" t="s">
        <v>582</v>
      </c>
    </row>
    <row r="620" spans="1:1" x14ac:dyDescent="0.3">
      <c r="A620" s="6" t="s">
        <v>717</v>
      </c>
    </row>
    <row r="621" spans="1:1" x14ac:dyDescent="0.3">
      <c r="A621" s="31" t="s">
        <v>583</v>
      </c>
    </row>
    <row r="622" spans="1:1" x14ac:dyDescent="0.3">
      <c r="A622" s="6" t="s">
        <v>584</v>
      </c>
    </row>
    <row r="623" spans="1:1" x14ac:dyDescent="0.3">
      <c r="A623" s="5" t="s">
        <v>585</v>
      </c>
    </row>
    <row r="624" spans="1:1" x14ac:dyDescent="0.3">
      <c r="A624" s="34" t="s">
        <v>586</v>
      </c>
    </row>
    <row r="625" spans="1:1" x14ac:dyDescent="0.3">
      <c r="A625" s="6" t="s">
        <v>587</v>
      </c>
    </row>
    <row r="626" spans="1:1" x14ac:dyDescent="0.3">
      <c r="A626" s="5" t="s">
        <v>588</v>
      </c>
    </row>
    <row r="627" spans="1:1" x14ac:dyDescent="0.3">
      <c r="A627" s="5" t="s">
        <v>589</v>
      </c>
    </row>
    <row r="628" spans="1:1" x14ac:dyDescent="0.3">
      <c r="A628" s="31" t="s">
        <v>590</v>
      </c>
    </row>
    <row r="629" spans="1:1" x14ac:dyDescent="0.3">
      <c r="A629" s="5" t="s">
        <v>591</v>
      </c>
    </row>
    <row r="630" spans="1:1" x14ac:dyDescent="0.3">
      <c r="A630" s="5" t="s">
        <v>592</v>
      </c>
    </row>
    <row r="631" spans="1:1" x14ac:dyDescent="0.3">
      <c r="A631" t="s">
        <v>757</v>
      </c>
    </row>
    <row r="632" spans="1:1" x14ac:dyDescent="0.3">
      <c r="A632" s="5" t="s">
        <v>593</v>
      </c>
    </row>
    <row r="633" spans="1:1" x14ac:dyDescent="0.3">
      <c r="A633" s="5" t="s">
        <v>594</v>
      </c>
    </row>
    <row r="634" spans="1:1" x14ac:dyDescent="0.3">
      <c r="A634" s="5" t="s">
        <v>595</v>
      </c>
    </row>
    <row r="635" spans="1:1" x14ac:dyDescent="0.3">
      <c r="A635" s="5" t="s">
        <v>596</v>
      </c>
    </row>
    <row r="636" spans="1:1" x14ac:dyDescent="0.3">
      <c r="A636" s="5" t="s">
        <v>597</v>
      </c>
    </row>
    <row r="637" spans="1:1" x14ac:dyDescent="0.3">
      <c r="A637" s="5" t="s">
        <v>598</v>
      </c>
    </row>
    <row r="638" spans="1:1" x14ac:dyDescent="0.3">
      <c r="A638" s="5" t="s">
        <v>599</v>
      </c>
    </row>
    <row r="639" spans="1:1" x14ac:dyDescent="0.3">
      <c r="A639" s="5" t="s">
        <v>600</v>
      </c>
    </row>
    <row r="640" spans="1:1" x14ac:dyDescent="0.3">
      <c r="A640" s="5" t="s">
        <v>601</v>
      </c>
    </row>
    <row r="641" spans="1:1" x14ac:dyDescent="0.3">
      <c r="A641" s="31" t="s">
        <v>602</v>
      </c>
    </row>
    <row r="642" spans="1:1" x14ac:dyDescent="0.3">
      <c r="A642" s="5" t="s">
        <v>603</v>
      </c>
    </row>
    <row r="643" spans="1:1" x14ac:dyDescent="0.3">
      <c r="A643" s="5" t="s">
        <v>14</v>
      </c>
    </row>
    <row r="644" spans="1:1" x14ac:dyDescent="0.3">
      <c r="A644" s="5" t="s">
        <v>604</v>
      </c>
    </row>
    <row r="645" spans="1:1" x14ac:dyDescent="0.3">
      <c r="A645" s="7" t="s">
        <v>736</v>
      </c>
    </row>
    <row r="646" spans="1:1" x14ac:dyDescent="0.3">
      <c r="A646" s="5" t="s">
        <v>605</v>
      </c>
    </row>
    <row r="647" spans="1:1" x14ac:dyDescent="0.3">
      <c r="A647" s="5" t="s">
        <v>724</v>
      </c>
    </row>
    <row r="648" spans="1:1" x14ac:dyDescent="0.3">
      <c r="A648" s="5" t="s">
        <v>606</v>
      </c>
    </row>
    <row r="649" spans="1:1" x14ac:dyDescent="0.3">
      <c r="A649" s="5" t="s">
        <v>607</v>
      </c>
    </row>
    <row r="650" spans="1:1" x14ac:dyDescent="0.3">
      <c r="A650" s="7" t="s">
        <v>608</v>
      </c>
    </row>
    <row r="651" spans="1:1" x14ac:dyDescent="0.3">
      <c r="A651" s="5" t="s">
        <v>701</v>
      </c>
    </row>
    <row r="652" spans="1:1" x14ac:dyDescent="0.3">
      <c r="A652" t="s">
        <v>2435</v>
      </c>
    </row>
    <row r="653" spans="1:1" x14ac:dyDescent="0.3">
      <c r="A653" s="31" t="s">
        <v>609</v>
      </c>
    </row>
    <row r="654" spans="1:1" x14ac:dyDescent="0.3">
      <c r="A654" s="6" t="s">
        <v>610</v>
      </c>
    </row>
    <row r="655" spans="1:1" x14ac:dyDescent="0.3">
      <c r="A655" s="5" t="s">
        <v>611</v>
      </c>
    </row>
    <row r="656" spans="1:1" x14ac:dyDescent="0.3">
      <c r="A656" s="5" t="s">
        <v>612</v>
      </c>
    </row>
    <row r="657" spans="1:1" x14ac:dyDescent="0.3">
      <c r="A657" s="5" t="s">
        <v>613</v>
      </c>
    </row>
    <row r="658" spans="1:1" x14ac:dyDescent="0.3">
      <c r="A658" t="s">
        <v>2867</v>
      </c>
    </row>
    <row r="659" spans="1:1" x14ac:dyDescent="0.3">
      <c r="A659" s="5" t="s">
        <v>163</v>
      </c>
    </row>
    <row r="660" spans="1:1" x14ac:dyDescent="0.3">
      <c r="A660" s="10" t="s">
        <v>193</v>
      </c>
    </row>
    <row r="661" spans="1:1" x14ac:dyDescent="0.3">
      <c r="A661" s="5" t="s">
        <v>614</v>
      </c>
    </row>
    <row r="662" spans="1:1" x14ac:dyDescent="0.3">
      <c r="A662" s="5" t="s">
        <v>615</v>
      </c>
    </row>
    <row r="663" spans="1:1" x14ac:dyDescent="0.3">
      <c r="A663" s="5" t="s">
        <v>616</v>
      </c>
    </row>
    <row r="664" spans="1:1" x14ac:dyDescent="0.3">
      <c r="A664" s="5" t="s">
        <v>617</v>
      </c>
    </row>
    <row r="665" spans="1:1" x14ac:dyDescent="0.3">
      <c r="A665" s="5" t="s">
        <v>618</v>
      </c>
    </row>
    <row r="666" spans="1:1" x14ac:dyDescent="0.3">
      <c r="A666" s="5" t="s">
        <v>619</v>
      </c>
    </row>
    <row r="667" spans="1:1" x14ac:dyDescent="0.3">
      <c r="A667" s="5" t="s">
        <v>620</v>
      </c>
    </row>
    <row r="668" spans="1:1" x14ac:dyDescent="0.3">
      <c r="A668" s="7" t="s">
        <v>732</v>
      </c>
    </row>
    <row r="669" spans="1:1" x14ac:dyDescent="0.3">
      <c r="A669" s="5" t="s">
        <v>621</v>
      </c>
    </row>
    <row r="670" spans="1:1" x14ac:dyDescent="0.3">
      <c r="A670" s="5" t="s">
        <v>622</v>
      </c>
    </row>
    <row r="671" spans="1:1" x14ac:dyDescent="0.3">
      <c r="A671" s="10" t="s">
        <v>351</v>
      </c>
    </row>
    <row r="672" spans="1:1" x14ac:dyDescent="0.3">
      <c r="A672" s="5" t="s">
        <v>623</v>
      </c>
    </row>
    <row r="673" spans="1:1" x14ac:dyDescent="0.3">
      <c r="A673" t="s">
        <v>2797</v>
      </c>
    </row>
    <row r="674" spans="1:1" x14ac:dyDescent="0.3">
      <c r="A674" s="5" t="s">
        <v>624</v>
      </c>
    </row>
    <row r="675" spans="1:1" x14ac:dyDescent="0.3">
      <c r="A675" s="34" t="s">
        <v>521</v>
      </c>
    </row>
    <row r="676" spans="1:1" x14ac:dyDescent="0.3">
      <c r="A676" t="s">
        <v>3357</v>
      </c>
    </row>
    <row r="677" spans="1:1" x14ac:dyDescent="0.3">
      <c r="A677" s="5" t="s">
        <v>625</v>
      </c>
    </row>
    <row r="678" spans="1:1" x14ac:dyDescent="0.3">
      <c r="A678" s="5" t="s">
        <v>626</v>
      </c>
    </row>
    <row r="679" spans="1:1" x14ac:dyDescent="0.3">
      <c r="A679" t="s">
        <v>1340</v>
      </c>
    </row>
    <row r="680" spans="1:1" x14ac:dyDescent="0.3">
      <c r="A680" t="s">
        <v>1342</v>
      </c>
    </row>
    <row r="681" spans="1:1" x14ac:dyDescent="0.3">
      <c r="A681" t="s">
        <v>1343</v>
      </c>
    </row>
    <row r="682" spans="1:1" x14ac:dyDescent="0.3">
      <c r="A682" s="5" t="s">
        <v>627</v>
      </c>
    </row>
    <row r="683" spans="1:1" x14ac:dyDescent="0.3">
      <c r="A683" s="5" t="s">
        <v>628</v>
      </c>
    </row>
    <row r="684" spans="1:1" x14ac:dyDescent="0.3">
      <c r="A684" s="5" t="s">
        <v>629</v>
      </c>
    </row>
    <row r="685" spans="1:1" x14ac:dyDescent="0.3">
      <c r="A685" s="10" t="s">
        <v>630</v>
      </c>
    </row>
    <row r="686" spans="1:1" x14ac:dyDescent="0.3">
      <c r="A686" s="31" t="s">
        <v>631</v>
      </c>
    </row>
    <row r="687" spans="1:1" x14ac:dyDescent="0.3">
      <c r="A687" s="5" t="s">
        <v>632</v>
      </c>
    </row>
    <row r="688" spans="1:1" x14ac:dyDescent="0.3">
      <c r="A688" s="5" t="s">
        <v>633</v>
      </c>
    </row>
    <row r="689" spans="1:1" x14ac:dyDescent="0.3">
      <c r="A689" s="5" t="s">
        <v>634</v>
      </c>
    </row>
    <row r="690" spans="1:1" x14ac:dyDescent="0.3">
      <c r="A690" s="5" t="s">
        <v>635</v>
      </c>
    </row>
    <row r="691" spans="1:1" x14ac:dyDescent="0.3">
      <c r="A691" s="7" t="s">
        <v>636</v>
      </c>
    </row>
    <row r="692" spans="1:1" x14ac:dyDescent="0.3">
      <c r="A692" s="5" t="s">
        <v>637</v>
      </c>
    </row>
    <row r="693" spans="1:1" x14ac:dyDescent="0.3">
      <c r="A693" s="31" t="s">
        <v>638</v>
      </c>
    </row>
    <row r="694" spans="1:1" x14ac:dyDescent="0.3">
      <c r="A694" t="s">
        <v>4202</v>
      </c>
    </row>
    <row r="695" spans="1:1" x14ac:dyDescent="0.3">
      <c r="A695" s="5" t="s">
        <v>639</v>
      </c>
    </row>
    <row r="696" spans="1:1" x14ac:dyDescent="0.3">
      <c r="A696" s="10" t="s">
        <v>640</v>
      </c>
    </row>
    <row r="697" spans="1:1" x14ac:dyDescent="0.3">
      <c r="A697" s="5" t="s">
        <v>641</v>
      </c>
    </row>
    <row r="698" spans="1:1" x14ac:dyDescent="0.3">
      <c r="A698" s="5" t="s">
        <v>642</v>
      </c>
    </row>
    <row r="699" spans="1:1" x14ac:dyDescent="0.3">
      <c r="A699" s="5" t="s">
        <v>406</v>
      </c>
    </row>
    <row r="700" spans="1:1" x14ac:dyDescent="0.3">
      <c r="A700" s="10" t="s">
        <v>416</v>
      </c>
    </row>
    <row r="701" spans="1:1" x14ac:dyDescent="0.3">
      <c r="A701" s="5" t="s">
        <v>644</v>
      </c>
    </row>
    <row r="702" spans="1:1" x14ac:dyDescent="0.3">
      <c r="A702" s="5" t="s">
        <v>645</v>
      </c>
    </row>
    <row r="703" spans="1:1" x14ac:dyDescent="0.3">
      <c r="A703" s="31" t="s">
        <v>643</v>
      </c>
    </row>
    <row r="704" spans="1:1" x14ac:dyDescent="0.3">
      <c r="A704" s="5" t="s">
        <v>646</v>
      </c>
    </row>
    <row r="705" spans="1:1" x14ac:dyDescent="0.3">
      <c r="A705" s="31" t="s">
        <v>647</v>
      </c>
    </row>
    <row r="706" spans="1:1" x14ac:dyDescent="0.3">
      <c r="A706" s="5" t="s">
        <v>648</v>
      </c>
    </row>
    <row r="707" spans="1:1" x14ac:dyDescent="0.3">
      <c r="A707" s="31" t="s">
        <v>649</v>
      </c>
    </row>
    <row r="708" spans="1:1" x14ac:dyDescent="0.3">
      <c r="A708" s="5" t="s">
        <v>650</v>
      </c>
    </row>
    <row r="709" spans="1:1" x14ac:dyDescent="0.3">
      <c r="A709" s="5" t="s">
        <v>651</v>
      </c>
    </row>
    <row r="710" spans="1:1" x14ac:dyDescent="0.3">
      <c r="A710" s="31" t="s">
        <v>652</v>
      </c>
    </row>
    <row r="711" spans="1:1" x14ac:dyDescent="0.3">
      <c r="A711" s="5" t="s">
        <v>653</v>
      </c>
    </row>
    <row r="712" spans="1:1" x14ac:dyDescent="0.3">
      <c r="A712" s="5" t="s">
        <v>654</v>
      </c>
    </row>
    <row r="713" spans="1:1" x14ac:dyDescent="0.3">
      <c r="A713" s="5" t="s">
        <v>655</v>
      </c>
    </row>
    <row r="714" spans="1:1" x14ac:dyDescent="0.3">
      <c r="A714" s="13" t="s">
        <v>403</v>
      </c>
    </row>
    <row r="715" spans="1:1" x14ac:dyDescent="0.3">
      <c r="A715" s="5" t="s">
        <v>656</v>
      </c>
    </row>
    <row r="716" spans="1:1" x14ac:dyDescent="0.3">
      <c r="A716" s="5" t="s">
        <v>657</v>
      </c>
    </row>
    <row r="717" spans="1:1" x14ac:dyDescent="0.3">
      <c r="A717" s="12" t="s">
        <v>658</v>
      </c>
    </row>
    <row r="718" spans="1:1" x14ac:dyDescent="0.3">
      <c r="A718" s="5" t="s">
        <v>659</v>
      </c>
    </row>
    <row r="719" spans="1:1" x14ac:dyDescent="0.3">
      <c r="A719" s="5" t="s">
        <v>660</v>
      </c>
    </row>
    <row r="720" spans="1:1" x14ac:dyDescent="0.3">
      <c r="A720" s="7" t="s">
        <v>661</v>
      </c>
    </row>
    <row r="721" spans="1:1" x14ac:dyDescent="0.3">
      <c r="A721" s="5" t="s">
        <v>662</v>
      </c>
    </row>
    <row r="722" spans="1:1" x14ac:dyDescent="0.3">
      <c r="A722" s="5" t="s">
        <v>663</v>
      </c>
    </row>
    <row r="723" spans="1:1" x14ac:dyDescent="0.3">
      <c r="A723" s="5" t="s">
        <v>664</v>
      </c>
    </row>
    <row r="724" spans="1:1" x14ac:dyDescent="0.3">
      <c r="A724" t="s">
        <v>917</v>
      </c>
    </row>
    <row r="725" spans="1:1" x14ac:dyDescent="0.3">
      <c r="A725" s="5" t="s">
        <v>665</v>
      </c>
    </row>
    <row r="726" spans="1:1" x14ac:dyDescent="0.3">
      <c r="A726" s="5" t="s">
        <v>329</v>
      </c>
    </row>
    <row r="727" spans="1:1" x14ac:dyDescent="0.3">
      <c r="A727" s="34" t="s">
        <v>449</v>
      </c>
    </row>
    <row r="728" spans="1:1" x14ac:dyDescent="0.3">
      <c r="A728" s="5" t="s">
        <v>666</v>
      </c>
    </row>
    <row r="729" spans="1:1" x14ac:dyDescent="0.3">
      <c r="A729" s="5" t="s">
        <v>667</v>
      </c>
    </row>
    <row r="730" spans="1:1" x14ac:dyDescent="0.3">
      <c r="A730" s="5" t="s">
        <v>668</v>
      </c>
    </row>
    <row r="731" spans="1:1" x14ac:dyDescent="0.3">
      <c r="A731" s="5" t="s">
        <v>669</v>
      </c>
    </row>
    <row r="732" spans="1:1" x14ac:dyDescent="0.3">
      <c r="A732" s="5" t="s">
        <v>670</v>
      </c>
    </row>
    <row r="733" spans="1:1" x14ac:dyDescent="0.3">
      <c r="A733" s="10" t="s">
        <v>723</v>
      </c>
    </row>
    <row r="734" spans="1:1" x14ac:dyDescent="0.3">
      <c r="A734" s="5" t="s">
        <v>671</v>
      </c>
    </row>
    <row r="735" spans="1:1" x14ac:dyDescent="0.3">
      <c r="A735" s="5" t="s">
        <v>672</v>
      </c>
    </row>
    <row r="736" spans="1:1" x14ac:dyDescent="0.3">
      <c r="A736" s="10" t="s">
        <v>330</v>
      </c>
    </row>
    <row r="737" spans="1:1" x14ac:dyDescent="0.3">
      <c r="A737" s="5" t="s">
        <v>673</v>
      </c>
    </row>
    <row r="738" spans="1:1" x14ac:dyDescent="0.3">
      <c r="A738" s="5" t="s">
        <v>674</v>
      </c>
    </row>
    <row r="739" spans="1:1" x14ac:dyDescent="0.3">
      <c r="A739" s="7" t="s">
        <v>729</v>
      </c>
    </row>
    <row r="740" spans="1:1" x14ac:dyDescent="0.3">
      <c r="A740" s="10" t="s">
        <v>407</v>
      </c>
    </row>
    <row r="741" spans="1:1" x14ac:dyDescent="0.3">
      <c r="A741" s="10" t="s">
        <v>675</v>
      </c>
    </row>
    <row r="742" spans="1:1" x14ac:dyDescent="0.3">
      <c r="A742" s="7" t="s">
        <v>731</v>
      </c>
    </row>
    <row r="743" spans="1:1" x14ac:dyDescent="0.3">
      <c r="A743" s="5" t="s">
        <v>676</v>
      </c>
    </row>
    <row r="744" spans="1:1" x14ac:dyDescent="0.3">
      <c r="A744" t="s">
        <v>1989</v>
      </c>
    </row>
    <row r="745" spans="1:1" x14ac:dyDescent="0.3">
      <c r="A745" s="10" t="s">
        <v>677</v>
      </c>
    </row>
    <row r="746" spans="1:1" x14ac:dyDescent="0.3">
      <c r="A746" s="5" t="s">
        <v>678</v>
      </c>
    </row>
    <row r="747" spans="1:1" x14ac:dyDescent="0.3">
      <c r="A747" s="5" t="s">
        <v>679</v>
      </c>
    </row>
    <row r="748" spans="1:1" x14ac:dyDescent="0.3">
      <c r="A748" s="5" t="s">
        <v>680</v>
      </c>
    </row>
    <row r="749" spans="1:1" x14ac:dyDescent="0.3">
      <c r="A749" s="31" t="s">
        <v>681</v>
      </c>
    </row>
    <row r="750" spans="1:1" x14ac:dyDescent="0.3">
      <c r="A750" s="10" t="s">
        <v>179</v>
      </c>
    </row>
    <row r="751" spans="1:1" x14ac:dyDescent="0.3">
      <c r="A751" s="10" t="s">
        <v>682</v>
      </c>
    </row>
    <row r="752" spans="1:1" x14ac:dyDescent="0.3">
      <c r="A752" s="5" t="s">
        <v>683</v>
      </c>
    </row>
    <row r="753" spans="1:1" x14ac:dyDescent="0.3">
      <c r="A753" s="5" t="s">
        <v>684</v>
      </c>
    </row>
    <row r="754" spans="1:1" x14ac:dyDescent="0.3">
      <c r="A754" s="10" t="s">
        <v>685</v>
      </c>
    </row>
    <row r="755" spans="1:1" x14ac:dyDescent="0.3">
      <c r="A755" s="10" t="s">
        <v>686</v>
      </c>
    </row>
    <row r="756" spans="1:1" x14ac:dyDescent="0.3">
      <c r="A756" s="5" t="s">
        <v>687</v>
      </c>
    </row>
    <row r="757" spans="1:1" x14ac:dyDescent="0.3">
      <c r="A757" s="5" t="s">
        <v>688</v>
      </c>
    </row>
    <row r="758" spans="1:1" x14ac:dyDescent="0.3">
      <c r="A758" s="5" t="s">
        <v>689</v>
      </c>
    </row>
    <row r="759" spans="1:1" x14ac:dyDescent="0.3">
      <c r="A759" s="5" t="s">
        <v>690</v>
      </c>
    </row>
    <row r="760" spans="1:1" x14ac:dyDescent="0.3">
      <c r="A760" s="10" t="s">
        <v>345</v>
      </c>
    </row>
    <row r="761" spans="1:1" x14ac:dyDescent="0.3">
      <c r="A761" s="5" t="s">
        <v>424</v>
      </c>
    </row>
    <row r="762" spans="1:1" x14ac:dyDescent="0.3">
      <c r="A762" s="5" t="s">
        <v>691</v>
      </c>
    </row>
    <row r="763" spans="1:1" x14ac:dyDescent="0.3">
      <c r="A763" s="5" t="s">
        <v>692</v>
      </c>
    </row>
    <row r="764" spans="1:1" x14ac:dyDescent="0.3">
      <c r="A764" s="5" t="s">
        <v>693</v>
      </c>
    </row>
    <row r="765" spans="1:1" x14ac:dyDescent="0.3">
      <c r="A765" s="5" t="s">
        <v>694</v>
      </c>
    </row>
    <row r="766" spans="1:1" x14ac:dyDescent="0.3">
      <c r="A766" s="5" t="s">
        <v>695</v>
      </c>
    </row>
    <row r="767" spans="1:1" x14ac:dyDescent="0.3">
      <c r="A767" s="5" t="s">
        <v>696</v>
      </c>
    </row>
    <row r="768" spans="1:1" x14ac:dyDescent="0.3">
      <c r="A768" s="5" t="s">
        <v>65</v>
      </c>
    </row>
    <row r="769" spans="1:1" x14ac:dyDescent="0.3">
      <c r="A769" s="5" t="s">
        <v>697</v>
      </c>
    </row>
    <row r="770" spans="1:1" x14ac:dyDescent="0.3">
      <c r="A770" s="5" t="s">
        <v>698</v>
      </c>
    </row>
    <row r="771" spans="1:1" x14ac:dyDescent="0.3">
      <c r="A771" s="5" t="s">
        <v>699</v>
      </c>
    </row>
    <row r="772" spans="1:1" x14ac:dyDescent="0.3">
      <c r="A772"/>
    </row>
    <row r="773" spans="1:1" x14ac:dyDescent="0.3">
      <c r="A773"/>
    </row>
    <row r="774" spans="1:1" x14ac:dyDescent="0.3">
      <c r="A774"/>
    </row>
    <row r="775" spans="1:1" x14ac:dyDescent="0.3">
      <c r="A775"/>
    </row>
    <row r="776" spans="1:1" x14ac:dyDescent="0.3">
      <c r="A776"/>
    </row>
    <row r="777" spans="1:1" x14ac:dyDescent="0.3">
      <c r="A777"/>
    </row>
    <row r="778" spans="1:1" x14ac:dyDescent="0.3">
      <c r="A778"/>
    </row>
    <row r="779" spans="1:1" x14ac:dyDescent="0.3">
      <c r="A779"/>
    </row>
    <row r="780" spans="1:1" x14ac:dyDescent="0.3">
      <c r="A780"/>
    </row>
    <row r="781" spans="1:1" x14ac:dyDescent="0.3">
      <c r="A781"/>
    </row>
    <row r="782" spans="1:1" x14ac:dyDescent="0.3">
      <c r="A782"/>
    </row>
    <row r="783" spans="1:1" x14ac:dyDescent="0.3">
      <c r="A783"/>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sheetData>
  <sortState xmlns:xlrd2="http://schemas.microsoft.com/office/spreadsheetml/2017/richdata2" ref="A2:A916">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Client Summary</vt:lpstr>
      <vt:lpstr>Staff Summary</vt:lpstr>
      <vt:lpstr>PivotTS</vt:lpstr>
      <vt:lpstr>TS</vt:lpstr>
      <vt:lpstr>TEMP</vt:lpstr>
      <vt:lpstr>Master</vt:lpstr>
      <vt:lpstr>Jeric Rivera</vt:lpstr>
      <vt:lpstr>Ann Morei Narag</vt:lpstr>
      <vt:lpstr>Jennica Felipe</vt:lpstr>
      <vt:lpstr>Jordan Martinez</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2024-04-04T02:01:28Z</dcterms:modified>
  <cp:category/>
  <cp:contentStatus/>
</cp:coreProperties>
</file>